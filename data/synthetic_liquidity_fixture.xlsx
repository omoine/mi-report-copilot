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ostro Transfer View" sheetId="2" state="visible" r:id="rId2"/>
    <sheet name="Client View" sheetId="3" state="visible" r:id="rId3"/>
    <sheet name="Business Ledger Txn View" sheetId="4" state="visible" r:id="rId4"/>
    <sheet name="Data Dictionary" sheetId="5" state="visible" r:id="rId5"/>
    <sheet name="View Controls" sheetId="6" state="visible" r:id="rId6"/>
    <sheet name="Reference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#,##0.000"/>
    <numFmt numFmtId="167" formatCode="yyyy-mm-dd h:mm:ss"/>
    <numFmt numFmtId="168" formatCode="dd/mm/yyyy hh:mm"/>
  </numFmts>
  <fonts count="5">
    <font>
      <name val="Calibri"/>
      <family val="2"/>
      <color theme="1"/>
      <sz val="11"/>
      <scheme val="minor"/>
    </font>
    <font>
      <b val="1"/>
    </font>
    <font>
      <b val="1"/>
      <sz val="13"/>
    </font>
    <font>
      <color rgb="001F4E79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F2E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168" fontId="0" fillId="0" borderId="0" pivotButton="0" quotePrefix="0" xfId="0"/>
    <xf numFmtId="0" fontId="4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Synthetic Liquidity Views - one month</t>
        </is>
      </c>
    </row>
    <row r="2">
      <c r="A2" t="inlineStr">
        <is>
          <t>Generated data. Every identifier, name, counterparty and amount is fabricated.</t>
        </is>
      </c>
    </row>
    <row r="3">
      <c r="A3" t="inlineStr"/>
    </row>
    <row r="4">
      <c r="A4" t="inlineStr">
        <is>
          <t>Period: 17 Aug 2026 to 20 Aug 2026 (4 business days)</t>
        </is>
      </c>
    </row>
    <row r="5">
      <c r="A5" t="inlineStr">
        <is>
          <t>Account/currency pairs in the universe: 60</t>
        </is>
      </c>
    </row>
    <row r="6">
      <c r="A6" t="inlineStr">
        <is>
          <t>Pairs with activity in the period: 20</t>
        </is>
      </c>
    </row>
    <row r="7">
      <c r="A7" t="inlineStr"/>
    </row>
    <row r="8">
      <c r="A8" s="1" t="inlineStr">
        <is>
          <t>Shape derived from an OCR profile of production screenshots:</t>
        </is>
      </c>
    </row>
    <row r="9">
      <c r="A9" t="inlineStr">
        <is>
          <t xml:space="preserve">  currency mix over 29 currencies</t>
        </is>
      </c>
    </row>
    <row r="10">
      <c r="A10" t="inlineStr">
        <is>
          <t xml:space="preserve">  transfer status and sending strategy mix</t>
        </is>
      </c>
    </row>
    <row r="11">
      <c r="A11" t="inlineStr">
        <is>
          <t xml:space="preserve">  transaction value magnitudes</t>
        </is>
      </c>
    </row>
    <row r="12">
      <c r="A12" t="inlineStr">
        <is>
          <t>Identifiers were NOT derived from that source - the OCR recovered none.</t>
        </is>
      </c>
    </row>
    <row r="13">
      <c r="A13" t="inlineStr"/>
    </row>
    <row r="14">
      <c r="A14" s="1" t="inlineStr">
        <is>
          <t>Deliberate features, so reports have something to find:</t>
        </is>
      </c>
    </row>
    <row r="15">
      <c r="A15" t="inlineStr">
        <is>
          <t xml:space="preserve">  elevated activity on 19 Aug (a stressed day)</t>
        </is>
      </c>
    </row>
    <row r="16">
      <c r="A16" t="inlineStr">
        <is>
          <t xml:space="preserve">  reduced activity on 17 Aug (a quiet day)</t>
        </is>
      </c>
    </row>
    <row r="17">
      <c r="A17" t="inlineStr">
        <is>
          <t xml:space="preserve">  reconciliation breaks on a small share of account-days</t>
        </is>
      </c>
    </row>
    <row r="18">
      <c r="A18" t="inlineStr">
        <is>
          <t xml:space="preserve">  failed and pending transfers, and rejected messages</t>
        </is>
      </c>
    </row>
    <row r="19">
      <c r="A19" t="inlineStr">
        <is>
          <t xml:space="preserve">  month-end and day-of-week volume effects</t>
        </is>
      </c>
    </row>
    <row r="20">
      <c r="A20" t="inlineStr">
        <is>
          <t xml:space="preserve">  an intraday arrival curve with morning and afternoon peaks</t>
        </is>
      </c>
    </row>
    <row r="21">
      <c r="A21" t="inlineStr"/>
    </row>
    <row r="22">
      <c r="A22" t="inlineStr">
        <is>
          <t>Upstream Transaction ID on the ledger references a transfer Reference,</t>
        </is>
      </c>
    </row>
    <row r="23">
      <c r="A23" t="inlineStr">
        <is>
          <t>so the transfer and ledger views can be combined.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30" customWidth="1" min="4" max="4"/>
    <col width="13" customWidth="1" min="5" max="5"/>
    <col width="13" customWidth="1" min="6" max="6"/>
    <col width="14" customWidth="1" min="7" max="7"/>
    <col width="16" customWidth="1" min="8" max="8"/>
    <col width="17" customWidth="1" min="9" max="9"/>
    <col width="26" customWidth="1" min="10" max="10"/>
    <col width="20" customWidth="1" min="11" max="11"/>
    <col width="13" customWidth="1" min="12" max="12"/>
    <col width="16" customWidth="1" min="13" max="13"/>
    <col width="14" customWidth="1" min="14" max="14"/>
    <col width="17" customWidth="1" min="15" max="15"/>
    <col width="15" customWidth="1" min="16" max="16"/>
    <col width="19" customWidth="1" min="17" max="17"/>
    <col width="18" customWidth="1" min="18" max="18"/>
    <col width="13" customWidth="1" min="19" max="19"/>
  </cols>
  <sheetData>
    <row r="1">
      <c r="A1" s="2" t="inlineStr">
        <is>
          <t>Nostro Transfer View</t>
        </is>
      </c>
    </row>
    <row r="2">
      <c r="A2" s="3" t="inlineStr">
        <is>
          <t>Group</t>
        </is>
      </c>
      <c r="B2" s="3" t="inlineStr">
        <is>
          <t>SYNTHETIC FUNDING ALL ENTITY</t>
        </is>
      </c>
      <c r="D2" s="3" t="inlineStr">
        <is>
          <t>Value Date</t>
        </is>
      </c>
      <c r="E2" s="4" t="n">
        <v>46251</v>
      </c>
      <c r="G2" s="3" t="inlineStr">
        <is>
          <t>To</t>
        </is>
      </c>
      <c r="H2" s="4" t="n">
        <v>46254</v>
      </c>
      <c r="J2" s="3" t="inlineStr">
        <is>
          <t>Time Zone</t>
        </is>
      </c>
      <c r="K2" s="3" t="inlineStr">
        <is>
          <t>London</t>
        </is>
      </c>
      <c r="M2" s="3" t="inlineStr">
        <is>
          <t>Display Currency</t>
        </is>
      </c>
      <c r="N2" s="3" t="inlineStr">
        <is>
          <t>GBP</t>
        </is>
      </c>
    </row>
    <row r="3">
      <c r="A3" s="3" t="inlineStr">
        <is>
          <t>Scope</t>
        </is>
      </c>
      <c r="B3" s="3" t="inlineStr">
        <is>
          <t>All</t>
        </is>
      </c>
      <c r="D3" s="3" t="inlineStr">
        <is>
          <t>Items Loaded</t>
        </is>
      </c>
      <c r="E3" s="3" t="n">
        <v>825</v>
      </c>
      <c r="G3" s="3" t="inlineStr">
        <is>
          <t>Data Classification</t>
        </is>
      </c>
      <c r="H3" s="3" t="inlineStr">
        <is>
          <t>Synthetic / non-production</t>
        </is>
      </c>
    </row>
    <row r="6">
      <c r="A6" s="5" t="inlineStr">
        <is>
          <t>Source Account</t>
        </is>
      </c>
      <c r="B6" s="5" t="inlineStr">
        <is>
          <t>Source Account Venue Location</t>
        </is>
      </c>
      <c r="C6" s="5" t="inlineStr">
        <is>
          <t>Target Account</t>
        </is>
      </c>
      <c r="D6" s="5" t="inlineStr">
        <is>
          <t>Target Account Venue Location</t>
        </is>
      </c>
      <c r="E6" s="5" t="inlineStr">
        <is>
          <t>Currency</t>
        </is>
      </c>
      <c r="F6" s="5" t="inlineStr">
        <is>
          <t>Reference</t>
        </is>
      </c>
      <c r="G6" s="5" t="inlineStr">
        <is>
          <t>Value Date</t>
        </is>
      </c>
      <c r="H6" s="5" t="inlineStr">
        <is>
          <t>Value Amount</t>
        </is>
      </c>
      <c r="I6" s="5" t="inlineStr">
        <is>
          <t>CCY (Display)</t>
        </is>
      </c>
      <c r="J6" s="5" t="inlineStr">
        <is>
          <t>Value Amount (Display)</t>
        </is>
      </c>
      <c r="K6" s="5" t="inlineStr">
        <is>
          <t>Sending Strategy</t>
        </is>
      </c>
      <c r="L6" s="5" t="inlineStr">
        <is>
          <t>Comment</t>
        </is>
      </c>
      <c r="M6" s="5" t="inlineStr">
        <is>
          <t>Created Time</t>
        </is>
      </c>
      <c r="N6" s="5" t="inlineStr">
        <is>
          <t>Created By</t>
        </is>
      </c>
      <c r="O6" s="5" t="inlineStr">
        <is>
          <t>Approved Time</t>
        </is>
      </c>
      <c r="P6" s="5" t="inlineStr">
        <is>
          <t>Approved By</t>
        </is>
      </c>
      <c r="Q6" s="5" t="inlineStr">
        <is>
          <t>Transfer Status</t>
        </is>
      </c>
      <c r="R6" s="5" t="inlineStr">
        <is>
          <t>Message Status</t>
        </is>
      </c>
      <c r="S6" s="5" t="inlineStr">
        <is>
          <t>Actions</t>
        </is>
      </c>
    </row>
    <row r="7">
      <c r="A7" t="inlineStr">
        <is>
          <t>359365220160</t>
        </is>
      </c>
      <c r="B7" t="inlineStr">
        <is>
          <t>Dunlin Commercial Bank Paris</t>
        </is>
      </c>
      <c r="C7" t="inlineStr">
        <is>
          <t>794226063698</t>
        </is>
      </c>
      <c r="D7" t="inlineStr">
        <is>
          <t>Cedar Clearing New York</t>
        </is>
      </c>
      <c r="E7" t="inlineStr">
        <is>
          <t>EUR</t>
        </is>
      </c>
      <c r="F7" t="inlineStr">
        <is>
          <t>NT26081700001</t>
        </is>
      </c>
      <c r="G7" s="6" t="n">
        <v>46251</v>
      </c>
      <c r="H7" s="7" t="n">
        <v>294858680.52</v>
      </c>
      <c r="I7" t="inlineStr">
        <is>
          <t>GBP</t>
        </is>
      </c>
      <c r="J7" s="7" t="n">
        <v>252988747.886</v>
      </c>
      <c r="K7" t="inlineStr">
        <is>
          <t>SYRM</t>
        </is>
      </c>
      <c r="L7" t="inlineStr">
        <is>
          <t>Balance alignment</t>
        </is>
      </c>
      <c r="M7" s="8" t="n">
        <v>46251.27199074074</v>
      </c>
      <c r="N7" t="inlineStr">
        <is>
          <t>Ellis Delaney</t>
        </is>
      </c>
      <c r="O7" s="8" t="n">
        <v>46251.31226851852</v>
      </c>
      <c r="P7" t="inlineStr">
        <is>
          <t>Noor Brookes</t>
        </is>
      </c>
      <c r="Q7" t="inlineStr">
        <is>
          <t>LEDGER_OR_CASHFLOW_RECEIVED</t>
        </is>
      </c>
      <c r="R7" t="inlineStr">
        <is>
          <t>SYRM_ACKNOWLEDGED</t>
        </is>
      </c>
      <c r="S7" t="inlineStr">
        <is>
          <t>View details</t>
        </is>
      </c>
    </row>
    <row r="8">
      <c r="A8" t="inlineStr">
        <is>
          <t>794226063698</t>
        </is>
      </c>
      <c r="B8" t="inlineStr">
        <is>
          <t>Sablewood Settlement Bank Oslo</t>
        </is>
      </c>
      <c r="C8" t="inlineStr">
        <is>
          <t>468341071172</t>
        </is>
      </c>
      <c r="D8" t="inlineStr">
        <is>
          <t>Redstart Commercial Bank Stockholm</t>
        </is>
      </c>
      <c r="E8" t="inlineStr">
        <is>
          <t>AED</t>
        </is>
      </c>
      <c r="F8" t="inlineStr">
        <is>
          <t>NT26081700002</t>
        </is>
      </c>
      <c r="G8" s="6" t="n">
        <v>46251</v>
      </c>
      <c r="H8" s="7" t="n">
        <v>66543122.005</v>
      </c>
      <c r="I8" t="inlineStr">
        <is>
          <t>GBP</t>
        </is>
      </c>
      <c r="J8" s="7" t="n">
        <v>14173684.987</v>
      </c>
      <c r="K8" t="inlineStr">
        <is>
          <t>SYRM</t>
        </is>
      </c>
      <c r="L8" t="inlineStr">
        <is>
          <t>Liquidity sweep</t>
        </is>
      </c>
      <c r="M8" s="8" t="n">
        <v>46251.35486111111</v>
      </c>
      <c r="N8" t="inlineStr">
        <is>
          <t>Kai Merrick</t>
        </is>
      </c>
      <c r="O8" s="8" t="n">
        <v>46251.41180555556</v>
      </c>
      <c r="P8" t="inlineStr">
        <is>
          <t>Wren Hollis</t>
        </is>
      </c>
      <c r="Q8" t="inlineStr">
        <is>
          <t>LEDGER_OR_CASHFLOW_RECEIVED</t>
        </is>
      </c>
      <c r="R8" t="inlineStr">
        <is>
          <t>SYRM_REJECTED</t>
        </is>
      </c>
      <c r="S8" t="inlineStr">
        <is>
          <t>View details</t>
        </is>
      </c>
    </row>
    <row r="9">
      <c r="A9" t="inlineStr">
        <is>
          <t>898317028833</t>
        </is>
      </c>
      <c r="B9" t="inlineStr">
        <is>
          <t>Bramble Commercial Bank Toronto</t>
        </is>
      </c>
      <c r="C9" t="inlineStr">
        <is>
          <t>621381112674</t>
        </is>
      </c>
      <c r="D9" t="inlineStr">
        <is>
          <t>Cedar Clearing New York</t>
        </is>
      </c>
      <c r="E9" t="inlineStr">
        <is>
          <t>GBP</t>
        </is>
      </c>
      <c r="F9" t="inlineStr">
        <is>
          <t>NT26081700003</t>
        </is>
      </c>
      <c r="G9" s="6" t="n">
        <v>46251</v>
      </c>
      <c r="H9" s="7" t="n">
        <v>422174206.384</v>
      </c>
      <c r="I9" t="inlineStr">
        <is>
          <t>GBP</t>
        </is>
      </c>
      <c r="J9" s="7" t="n">
        <v>422174206.384</v>
      </c>
      <c r="K9" t="inlineStr">
        <is>
          <t>SYRM</t>
        </is>
      </c>
      <c r="L9" t="inlineStr">
        <is>
          <t>Liquidity sweep</t>
        </is>
      </c>
      <c r="M9" s="8" t="n">
        <v>46251.37435185185</v>
      </c>
      <c r="N9" t="inlineStr">
        <is>
          <t>Marlow Sinclair</t>
        </is>
      </c>
      <c r="O9" s="8" t="n">
        <v>46251.40212962963</v>
      </c>
      <c r="P9" t="inlineStr">
        <is>
          <t>Wren Hollis</t>
        </is>
      </c>
      <c r="Q9" t="inlineStr">
        <is>
          <t>LEDGER_OR_CASHFLOW_RECEIVED</t>
        </is>
      </c>
      <c r="R9" t="inlineStr">
        <is>
          <t>SYRM_ACKNOWLEDGED</t>
        </is>
      </c>
      <c r="S9" t="inlineStr">
        <is>
          <t>View details</t>
        </is>
      </c>
    </row>
    <row r="10">
      <c r="A10" t="inlineStr">
        <is>
          <t>120047354818</t>
        </is>
      </c>
      <c r="B10" t="inlineStr">
        <is>
          <t>Wrenfield Clearing Frankfurt</t>
        </is>
      </c>
      <c r="C10" t="inlineStr">
        <is>
          <t>910703979141</t>
        </is>
      </c>
      <c r="D10" t="inlineStr">
        <is>
          <t>Bramble Trust Zurich</t>
        </is>
      </c>
      <c r="E10" t="inlineStr">
        <is>
          <t>USD</t>
        </is>
      </c>
      <c r="F10" t="inlineStr">
        <is>
          <t>NT26081700004</t>
        </is>
      </c>
      <c r="G10" s="6" t="n">
        <v>46251</v>
      </c>
      <c r="H10" s="7" t="n">
        <v>11123551.174</v>
      </c>
      <c r="I10" t="inlineStr">
        <is>
          <t>GBP</t>
        </is>
      </c>
      <c r="J10" s="7" t="n">
        <v>8720864.119999999</v>
      </c>
      <c r="K10" t="inlineStr">
        <is>
          <t>SYRM</t>
        </is>
      </c>
      <c r="L10" t="inlineStr">
        <is>
          <t>Funding move</t>
        </is>
      </c>
      <c r="M10" s="8" t="n">
        <v>46251.5378125</v>
      </c>
      <c r="N10" t="inlineStr">
        <is>
          <t>Wren Delaney</t>
        </is>
      </c>
      <c r="O10" s="8" t="n">
        <v>46251.54892361111</v>
      </c>
      <c r="P10" t="inlineStr">
        <is>
          <t>Sawyer Calloway</t>
        </is>
      </c>
      <c r="Q10" t="inlineStr">
        <is>
          <t>LEDGER_OR_CASHFLOW_RECEIVED</t>
        </is>
      </c>
      <c r="R10" t="inlineStr">
        <is>
          <t>SYRM_REJECTED</t>
        </is>
      </c>
      <c r="S10" t="inlineStr">
        <is>
          <t>View details</t>
        </is>
      </c>
    </row>
    <row r="11">
      <c r="A11" t="inlineStr">
        <is>
          <t>910703979141</t>
        </is>
      </c>
      <c r="B11" t="inlineStr">
        <is>
          <t>Mallow Settlement Bank Oslo</t>
        </is>
      </c>
      <c r="C11" t="inlineStr">
        <is>
          <t>953625291146</t>
        </is>
      </c>
      <c r="D11" t="inlineStr">
        <is>
          <t>Bramble Commercial Bank Toronto</t>
        </is>
      </c>
      <c r="E11" t="inlineStr">
        <is>
          <t>CHF</t>
        </is>
      </c>
      <c r="F11" t="inlineStr">
        <is>
          <t>NT26081700005</t>
        </is>
      </c>
      <c r="G11" s="6" t="n">
        <v>46251</v>
      </c>
      <c r="H11" s="7" t="n">
        <v>15424216.069</v>
      </c>
      <c r="I11" t="inlineStr">
        <is>
          <t>GBP</t>
        </is>
      </c>
      <c r="J11" s="7" t="n">
        <v>13835521.814</v>
      </c>
      <c r="K11" t="inlineStr">
        <is>
          <t>SYRM</t>
        </is>
      </c>
      <c r="L11" t="inlineStr">
        <is>
          <t>Funding move</t>
        </is>
      </c>
      <c r="M11" s="8" t="n">
        <v>46251.60979166667</v>
      </c>
      <c r="N11" t="inlineStr">
        <is>
          <t>Greer Prentice</t>
        </is>
      </c>
      <c r="O11" s="8" t="n">
        <v>46251.62090277778</v>
      </c>
      <c r="P11" t="inlineStr">
        <is>
          <t>Avery Prentice</t>
        </is>
      </c>
      <c r="Q11" t="inlineStr">
        <is>
          <t>LEDGER_OR_CASHFLOW_RECEIVED</t>
        </is>
      </c>
      <c r="R11" t="inlineStr">
        <is>
          <t>SYRM_ACKNOWLEDGED</t>
        </is>
      </c>
      <c r="S11" t="inlineStr">
        <is>
          <t>View details</t>
        </is>
      </c>
    </row>
    <row r="12">
      <c r="A12" t="inlineStr">
        <is>
          <t>726928343448</t>
        </is>
      </c>
      <c r="B12" t="inlineStr">
        <is>
          <t>Kestrel Bank Frankfurt</t>
        </is>
      </c>
      <c r="C12" t="inlineStr">
        <is>
          <t>468341071172</t>
        </is>
      </c>
      <c r="D12" t="inlineStr">
        <is>
          <t>Redstart Commercial Bank Stockholm</t>
        </is>
      </c>
      <c r="E12" t="inlineStr">
        <is>
          <t>EUR</t>
        </is>
      </c>
      <c r="F12" t="inlineStr">
        <is>
          <t>NT26081700006</t>
        </is>
      </c>
      <c r="G12" s="6" t="n">
        <v>46251</v>
      </c>
      <c r="H12" s="7" t="n">
        <v>2406993.719</v>
      </c>
      <c r="I12" t="inlineStr">
        <is>
          <t>GBP</t>
        </is>
      </c>
      <c r="J12" s="7" t="n">
        <v>2065200.611</v>
      </c>
      <c r="K12" t="inlineStr">
        <is>
          <t>SWIFT</t>
        </is>
      </c>
      <c r="L12" t="inlineStr"/>
      <c r="M12" s="8" t="n">
        <v>46251.50074074074</v>
      </c>
      <c r="N12" t="inlineStr">
        <is>
          <t>Avery Prentice</t>
        </is>
      </c>
      <c r="O12" s="8" t="n">
        <v>46251.54032407407</v>
      </c>
      <c r="P12" t="inlineStr">
        <is>
          <t>Harper Hollis</t>
        </is>
      </c>
      <c r="Q12" t="inlineStr">
        <is>
          <t>LEDGER_OR_CASHFLOW_RECEIVED</t>
        </is>
      </c>
      <c r="R12" t="inlineStr">
        <is>
          <t>SYRM_ACKNOWLEDGED</t>
        </is>
      </c>
      <c r="S12" t="inlineStr">
        <is>
          <t>View details</t>
        </is>
      </c>
    </row>
    <row r="13">
      <c r="A13" t="inlineStr">
        <is>
          <t>150316825069</t>
        </is>
      </c>
      <c r="B13" t="inlineStr">
        <is>
          <t>Ironbark Trust Dublin</t>
        </is>
      </c>
      <c r="C13" t="inlineStr">
        <is>
          <t>150316825069</t>
        </is>
      </c>
      <c r="D13" t="inlineStr">
        <is>
          <t>Nightjar Bank Stockholm</t>
        </is>
      </c>
      <c r="E13" t="inlineStr">
        <is>
          <t>GBP</t>
        </is>
      </c>
      <c r="F13" t="inlineStr">
        <is>
          <t>NT26081700007</t>
        </is>
      </c>
      <c r="G13" s="6" t="n">
        <v>46251</v>
      </c>
      <c r="H13" s="7" t="n">
        <v>1443178.723</v>
      </c>
      <c r="I13" t="inlineStr">
        <is>
          <t>GBP</t>
        </is>
      </c>
      <c r="J13" s="7" t="n">
        <v>1443178.723</v>
      </c>
      <c r="K13" t="inlineStr">
        <is>
          <t>SYRM</t>
        </is>
      </c>
      <c r="L13" t="inlineStr">
        <is>
          <t>Liquidity sweep</t>
        </is>
      </c>
      <c r="M13" s="8" t="n">
        <v>46251.65925925926</v>
      </c>
      <c r="N13" t="inlineStr">
        <is>
          <t>Harper Calloway</t>
        </is>
      </c>
      <c r="O13" s="8" t="n">
        <v>46251.71620370371</v>
      </c>
      <c r="P13" t="inlineStr">
        <is>
          <t>Oakley Novak</t>
        </is>
      </c>
      <c r="Q13" t="inlineStr">
        <is>
          <t>LEDGER_OR_CASHFLOW_RECEIVED</t>
        </is>
      </c>
      <c r="R13" t="inlineStr">
        <is>
          <t>SYRM_ACKNOWLEDGED</t>
        </is>
      </c>
      <c r="S13" t="inlineStr">
        <is>
          <t>View details</t>
        </is>
      </c>
    </row>
    <row r="14">
      <c r="A14" t="inlineStr">
        <is>
          <t>150316825069</t>
        </is>
      </c>
      <c r="B14" t="inlineStr">
        <is>
          <t>Redstart Commercial Bank Stockholm</t>
        </is>
      </c>
      <c r="C14" t="inlineStr">
        <is>
          <t>910703979141</t>
        </is>
      </c>
      <c r="D14" t="inlineStr">
        <is>
          <t>Zephyr Bank Madrid</t>
        </is>
      </c>
      <c r="E14" t="inlineStr">
        <is>
          <t>GBP</t>
        </is>
      </c>
      <c r="F14" t="inlineStr">
        <is>
          <t>NT26081700008</t>
        </is>
      </c>
      <c r="G14" s="6" t="n">
        <v>46251</v>
      </c>
      <c r="H14" s="7" t="n">
        <v>503049107.539</v>
      </c>
      <c r="I14" t="inlineStr">
        <is>
          <t>GBP</t>
        </is>
      </c>
      <c r="J14" s="7" t="n">
        <v>503049107.539</v>
      </c>
      <c r="K14" t="inlineStr">
        <is>
          <t>SYRM</t>
        </is>
      </c>
      <c r="L14" t="inlineStr">
        <is>
          <t>Intraday top-up</t>
        </is>
      </c>
      <c r="M14" s="8" t="n">
        <v>46251.31366898148</v>
      </c>
      <c r="N14" t="inlineStr">
        <is>
          <t>Harper Calloway</t>
        </is>
      </c>
      <c r="O14" s="8" t="n">
        <v>46251.34561342592</v>
      </c>
      <c r="P14" t="inlineStr">
        <is>
          <t>Oakley Rhodes</t>
        </is>
      </c>
      <c r="Q14" t="inlineStr">
        <is>
          <t>LEDGER_RECEIVED</t>
        </is>
      </c>
      <c r="R14" t="inlineStr">
        <is>
          <t>SYRM_ACKNOWLEDGED</t>
        </is>
      </c>
      <c r="S14" t="inlineStr">
        <is>
          <t>View details</t>
        </is>
      </c>
    </row>
    <row r="15">
      <c r="A15" t="inlineStr">
        <is>
          <t>700726936098</t>
        </is>
      </c>
      <c r="B15" t="inlineStr">
        <is>
          <t>Wrenfield Trust Tokyo</t>
        </is>
      </c>
      <c r="C15" t="inlineStr">
        <is>
          <t>927538182434</t>
        </is>
      </c>
      <c r="D15" t="inlineStr">
        <is>
          <t>Nightjar Bank Stockholm</t>
        </is>
      </c>
      <c r="E15" t="inlineStr">
        <is>
          <t>SAR</t>
        </is>
      </c>
      <c r="F15" t="inlineStr">
        <is>
          <t>NT26081700009</t>
        </is>
      </c>
      <c r="G15" s="6" t="n">
        <v>46251</v>
      </c>
      <c r="H15" s="7" t="n">
        <v>21451514.256</v>
      </c>
      <c r="I15" t="inlineStr">
        <is>
          <t>GBP</t>
        </is>
      </c>
      <c r="J15" s="7" t="n">
        <v>4483366.48</v>
      </c>
      <c r="K15" t="inlineStr">
        <is>
          <t>SYRM</t>
        </is>
      </c>
      <c r="L15" t="inlineStr"/>
      <c r="M15" s="8" t="n">
        <v>46251.564375</v>
      </c>
      <c r="N15" t="inlineStr">
        <is>
          <t>Kai Novak</t>
        </is>
      </c>
      <c r="O15" s="8" t="n">
        <v>46251.59145833334</v>
      </c>
      <c r="P15" t="inlineStr">
        <is>
          <t>Oakley Fairweather</t>
        </is>
      </c>
      <c r="Q15" t="inlineStr">
        <is>
          <t>LEDGER_OR_CASHFLOW_RECEIVED</t>
        </is>
      </c>
      <c r="R15" t="inlineStr">
        <is>
          <t>SYRM_ACKNOWLEDGED</t>
        </is>
      </c>
      <c r="S15" t="inlineStr">
        <is>
          <t>View details</t>
        </is>
      </c>
    </row>
    <row r="16">
      <c r="A16" t="inlineStr">
        <is>
          <t>468341071172</t>
        </is>
      </c>
      <c r="B16" t="inlineStr">
        <is>
          <t>Umberton Trust Tokyo</t>
        </is>
      </c>
      <c r="C16" t="inlineStr">
        <is>
          <t>898317028833</t>
        </is>
      </c>
      <c r="D16" t="inlineStr">
        <is>
          <t>Bramble Bank Milan</t>
        </is>
      </c>
      <c r="E16" t="inlineStr">
        <is>
          <t>EUR</t>
        </is>
      </c>
      <c r="F16" t="inlineStr">
        <is>
          <t>NT26081700010</t>
        </is>
      </c>
      <c r="G16" s="6" t="n">
        <v>46251</v>
      </c>
      <c r="H16" s="7" t="n">
        <v>62814697.215</v>
      </c>
      <c r="I16" t="inlineStr">
        <is>
          <t>GBP</t>
        </is>
      </c>
      <c r="J16" s="7" t="n">
        <v>53895010.21</v>
      </c>
      <c r="K16" t="inlineStr">
        <is>
          <t>SYRM</t>
        </is>
      </c>
      <c r="L16" t="inlineStr">
        <is>
          <t>Balance alignment</t>
        </is>
      </c>
      <c r="M16" s="8" t="n">
        <v>46251.56379629629</v>
      </c>
      <c r="N16" t="inlineStr">
        <is>
          <t>Noor Brookes</t>
        </is>
      </c>
      <c r="O16" s="8" t="n">
        <v>46251.59712962963</v>
      </c>
      <c r="P16" t="inlineStr">
        <is>
          <t>Wren Fairweather</t>
        </is>
      </c>
      <c r="Q16" t="inlineStr">
        <is>
          <t>CASHFLOW_RECEIVED</t>
        </is>
      </c>
      <c r="R16" t="inlineStr">
        <is>
          <t>SYRM_ACKNOWLEDGED</t>
        </is>
      </c>
      <c r="S16" t="inlineStr">
        <is>
          <t>View details</t>
        </is>
      </c>
    </row>
    <row r="17">
      <c r="A17" t="inlineStr">
        <is>
          <t>150316825069</t>
        </is>
      </c>
      <c r="B17" t="inlineStr">
        <is>
          <t>Zephyr Settlement Bank New York</t>
        </is>
      </c>
      <c r="C17" t="inlineStr">
        <is>
          <t>468341071172</t>
        </is>
      </c>
      <c r="D17" t="inlineStr">
        <is>
          <t>Larkspur Trust Hong Kong</t>
        </is>
      </c>
      <c r="E17" t="inlineStr">
        <is>
          <t>GBP</t>
        </is>
      </c>
      <c r="F17" t="inlineStr">
        <is>
          <t>NT26081700011</t>
        </is>
      </c>
      <c r="G17" s="6" t="n">
        <v>46251</v>
      </c>
      <c r="H17" s="7" t="n">
        <v>666329894.362</v>
      </c>
      <c r="I17" t="inlineStr">
        <is>
          <t>GBP</t>
        </is>
      </c>
      <c r="J17" s="7" t="n">
        <v>666329894.362</v>
      </c>
      <c r="K17" t="inlineStr">
        <is>
          <t>SYRM</t>
        </is>
      </c>
      <c r="L17" t="inlineStr">
        <is>
          <t>Funding move</t>
        </is>
      </c>
      <c r="M17" s="8" t="n">
        <v>46251.72888888889</v>
      </c>
      <c r="N17" t="inlineStr">
        <is>
          <t>Oakley Rhodes</t>
        </is>
      </c>
      <c r="O17" s="8" t="n">
        <v>46251.73027777778</v>
      </c>
      <c r="P17" t="inlineStr">
        <is>
          <t>Quinn Kirby</t>
        </is>
      </c>
      <c r="Q17" t="inlineStr">
        <is>
          <t>LEDGER_OR_CASHFLOW_RECEIVED</t>
        </is>
      </c>
      <c r="R17" t="inlineStr">
        <is>
          <t>SYRM_REJECTED</t>
        </is>
      </c>
      <c r="S17" t="inlineStr">
        <is>
          <t>View details</t>
        </is>
      </c>
    </row>
    <row r="18">
      <c r="A18" t="inlineStr">
        <is>
          <t>468341071172</t>
        </is>
      </c>
      <c r="B18" t="inlineStr">
        <is>
          <t>Juniper Clearing New York</t>
        </is>
      </c>
      <c r="C18" t="inlineStr">
        <is>
          <t>468341071172</t>
        </is>
      </c>
      <c r="D18" t="inlineStr">
        <is>
          <t>Pinehurst Clearing Oslo</t>
        </is>
      </c>
      <c r="E18" t="inlineStr">
        <is>
          <t>EUR</t>
        </is>
      </c>
      <c r="F18" t="inlineStr">
        <is>
          <t>NT26081700012</t>
        </is>
      </c>
      <c r="G18" s="6" t="n">
        <v>46251</v>
      </c>
      <c r="H18" s="7" t="n">
        <v>59983396.366</v>
      </c>
      <c r="I18" t="inlineStr">
        <is>
          <t>GBP</t>
        </is>
      </c>
      <c r="J18" s="7" t="n">
        <v>51465754.082</v>
      </c>
      <c r="K18" t="inlineStr">
        <is>
          <t>SWIFT</t>
        </is>
      </c>
      <c r="L18" t="inlineStr">
        <is>
          <t>Funding move</t>
        </is>
      </c>
      <c r="M18" s="8" t="n">
        <v>46251.5050462963</v>
      </c>
      <c r="N18" t="inlineStr">
        <is>
          <t>Finley Sinclair</t>
        </is>
      </c>
      <c r="O18" s="8" t="n">
        <v>46251.51893518519</v>
      </c>
      <c r="P18" t="inlineStr">
        <is>
          <t>Wren Fairweather</t>
        </is>
      </c>
      <c r="Q18" t="inlineStr">
        <is>
          <t>LEDGER_OR_CASHFLOW_RECEIVED</t>
        </is>
      </c>
      <c r="R18" t="inlineStr">
        <is>
          <t>SYRM_ACKNOWLEDGED</t>
        </is>
      </c>
      <c r="S18" t="inlineStr">
        <is>
          <t>View details</t>
        </is>
      </c>
    </row>
    <row r="19">
      <c r="A19" t="inlineStr">
        <is>
          <t>150316825069</t>
        </is>
      </c>
      <c r="B19" t="inlineStr">
        <is>
          <t>Oriel Commercial Bank Toronto</t>
        </is>
      </c>
      <c r="C19" t="inlineStr">
        <is>
          <t>468341071172</t>
        </is>
      </c>
      <c r="D19" t="inlineStr">
        <is>
          <t>Cedar Clearing New York</t>
        </is>
      </c>
      <c r="E19" t="inlineStr">
        <is>
          <t>GBP</t>
        </is>
      </c>
      <c r="F19" t="inlineStr">
        <is>
          <t>NT26081700013</t>
        </is>
      </c>
      <c r="G19" s="6" t="n">
        <v>46251</v>
      </c>
      <c r="H19" s="7" t="n">
        <v>169571230.362</v>
      </c>
      <c r="I19" t="inlineStr">
        <is>
          <t>GBP</t>
        </is>
      </c>
      <c r="J19" s="7" t="n">
        <v>169571230.362</v>
      </c>
      <c r="K19" t="inlineStr">
        <is>
          <t>SYRM</t>
        </is>
      </c>
      <c r="L19" t="inlineStr">
        <is>
          <t>Intraday top-up</t>
        </is>
      </c>
      <c r="M19" s="8" t="n">
        <v>46251.29840277778</v>
      </c>
      <c r="N19" t="inlineStr">
        <is>
          <t>Greer Osgood</t>
        </is>
      </c>
      <c r="O19" s="8" t="n">
        <v>46251.32965277778</v>
      </c>
      <c r="P19" t="inlineStr">
        <is>
          <t>Finley Hollis</t>
        </is>
      </c>
      <c r="Q19" t="inlineStr">
        <is>
          <t>LEDGER_OR_CASHFLOW_RECEIVED</t>
        </is>
      </c>
      <c r="R19" t="inlineStr">
        <is>
          <t>SYRM_ACKNOWLEDGED</t>
        </is>
      </c>
      <c r="S19" t="inlineStr">
        <is>
          <t>View details</t>
        </is>
      </c>
    </row>
    <row r="20">
      <c r="A20" t="inlineStr">
        <is>
          <t>824840705580</t>
        </is>
      </c>
      <c r="B20" t="inlineStr">
        <is>
          <t>Pinehurst Clearing Oslo</t>
        </is>
      </c>
      <c r="C20" t="inlineStr">
        <is>
          <t>284925023085</t>
        </is>
      </c>
      <c r="D20" t="inlineStr">
        <is>
          <t>Juniper Commercial Bank Warsaw</t>
        </is>
      </c>
      <c r="E20" t="inlineStr">
        <is>
          <t>EUR</t>
        </is>
      </c>
      <c r="F20" t="inlineStr">
        <is>
          <t>NT26081700014</t>
        </is>
      </c>
      <c r="G20" s="6" t="n">
        <v>46251</v>
      </c>
      <c r="H20" s="7" t="n">
        <v>11105451.349</v>
      </c>
      <c r="I20" t="inlineStr">
        <is>
          <t>GBP</t>
        </is>
      </c>
      <c r="J20" s="7" t="n">
        <v>9528477.256999999</v>
      </c>
      <c r="K20" t="inlineStr">
        <is>
          <t>SWIFT</t>
        </is>
      </c>
      <c r="L20" t="inlineStr">
        <is>
          <t>Intraday top-up</t>
        </is>
      </c>
      <c r="M20" s="8" t="n">
        <v>46251.5592824074</v>
      </c>
      <c r="N20" t="inlineStr">
        <is>
          <t>Wren Hollis</t>
        </is>
      </c>
      <c r="O20" s="8" t="n">
        <v>46251.61761574074</v>
      </c>
      <c r="P20" t="inlineStr">
        <is>
          <t>Quinn Brookes</t>
        </is>
      </c>
      <c r="Q20" t="inlineStr">
        <is>
          <t>LEDGER_OR_CASHFLOW_RECEIVED</t>
        </is>
      </c>
      <c r="R20" t="inlineStr">
        <is>
          <t>SYRM_ACKNOWLEDGED</t>
        </is>
      </c>
      <c r="S20" t="inlineStr">
        <is>
          <t>View details</t>
        </is>
      </c>
    </row>
    <row r="21">
      <c r="A21" t="inlineStr">
        <is>
          <t>898317028833</t>
        </is>
      </c>
      <c r="B21" t="inlineStr">
        <is>
          <t>Ironbark Trust Dublin</t>
        </is>
      </c>
      <c r="C21" t="inlineStr">
        <is>
          <t>794226063698</t>
        </is>
      </c>
      <c r="D21" t="inlineStr">
        <is>
          <t>Dunlin Commercial Bank Paris</t>
        </is>
      </c>
      <c r="E21" t="inlineStr">
        <is>
          <t>GBP</t>
        </is>
      </c>
      <c r="F21" t="inlineStr">
        <is>
          <t>NT26081700015</t>
        </is>
      </c>
      <c r="G21" s="6" t="n">
        <v>46251</v>
      </c>
      <c r="H21" s="7" t="n">
        <v>23264.543</v>
      </c>
      <c r="I21" t="inlineStr">
        <is>
          <t>GBP</t>
        </is>
      </c>
      <c r="J21" s="7" t="n">
        <v>23264.543</v>
      </c>
      <c r="K21" t="inlineStr">
        <is>
          <t>SYRM</t>
        </is>
      </c>
      <c r="L21" t="inlineStr"/>
      <c r="M21" s="8" t="n">
        <v>46251.71290509259</v>
      </c>
      <c r="N21" t="inlineStr">
        <is>
          <t>Ellis Gallagher</t>
        </is>
      </c>
      <c r="O21" s="8" t="n">
        <v>46251.75387731481</v>
      </c>
      <c r="P21" t="inlineStr">
        <is>
          <t>Oakley Prentice</t>
        </is>
      </c>
      <c r="Q21" t="inlineStr">
        <is>
          <t>LEDGER_OR_CASHFLOW_RECEIVED</t>
        </is>
      </c>
      <c r="R21" t="inlineStr">
        <is>
          <t>SYRM_ACKNOWLEDGED</t>
        </is>
      </c>
      <c r="S21" t="inlineStr">
        <is>
          <t>View details</t>
        </is>
      </c>
    </row>
    <row r="22">
      <c r="A22" t="inlineStr">
        <is>
          <t>910703979141</t>
        </is>
      </c>
      <c r="B22" t="inlineStr">
        <is>
          <t>Zephyr Settlement Bank Sydney</t>
        </is>
      </c>
      <c r="C22" t="inlineStr">
        <is>
          <t>794226063698</t>
        </is>
      </c>
      <c r="D22" t="inlineStr">
        <is>
          <t>Redstart Commercial Bank Dublin</t>
        </is>
      </c>
      <c r="E22" t="inlineStr">
        <is>
          <t>CHF</t>
        </is>
      </c>
      <c r="F22" t="inlineStr">
        <is>
          <t>NT26081700016</t>
        </is>
      </c>
      <c r="G22" s="6" t="n">
        <v>46251</v>
      </c>
      <c r="H22" s="7" t="n">
        <v>1334778.167</v>
      </c>
      <c r="I22" t="inlineStr">
        <is>
          <t>GBP</t>
        </is>
      </c>
      <c r="J22" s="7" t="n">
        <v>1197296.016</v>
      </c>
      <c r="K22" t="inlineStr">
        <is>
          <t>SYRM</t>
        </is>
      </c>
      <c r="L22" t="inlineStr">
        <is>
          <t>Liquidity sweep</t>
        </is>
      </c>
      <c r="M22" s="8" t="n">
        <v>46251.49891203704</v>
      </c>
      <c r="N22" t="inlineStr">
        <is>
          <t>Wren Fairweather</t>
        </is>
      </c>
      <c r="O22" s="8" t="n">
        <v>46251.53641203704</v>
      </c>
      <c r="P22" t="inlineStr">
        <is>
          <t>Lennox Ellison</t>
        </is>
      </c>
      <c r="Q22" t="inlineStr">
        <is>
          <t>LEDGER_OR_CASHFLOW_RECEIVED</t>
        </is>
      </c>
      <c r="R22" t="inlineStr">
        <is>
          <t>SYRM_ACKNOWLEDGED</t>
        </is>
      </c>
      <c r="S22" t="inlineStr">
        <is>
          <t>View details</t>
        </is>
      </c>
    </row>
    <row r="23">
      <c r="A23" t="inlineStr">
        <is>
          <t>794226063698</t>
        </is>
      </c>
      <c r="B23" t="inlineStr">
        <is>
          <t>Granite Commercial Bank Milan</t>
        </is>
      </c>
      <c r="C23" t="inlineStr">
        <is>
          <t>284925023085</t>
        </is>
      </c>
      <c r="D23" t="inlineStr">
        <is>
          <t>Zephyr Commercial Bank Oslo</t>
        </is>
      </c>
      <c r="E23" t="inlineStr">
        <is>
          <t>AED</t>
        </is>
      </c>
      <c r="F23" t="inlineStr">
        <is>
          <t>NT26081700017</t>
        </is>
      </c>
      <c r="G23" s="6" t="n">
        <v>46251</v>
      </c>
      <c r="H23" s="7" t="n">
        <v>105726.875</v>
      </c>
      <c r="I23" t="inlineStr">
        <is>
          <t>GBP</t>
        </is>
      </c>
      <c r="J23" s="7" t="n">
        <v>22519.824</v>
      </c>
      <c r="K23" t="inlineStr">
        <is>
          <t>SYRM</t>
        </is>
      </c>
      <c r="L23" t="inlineStr"/>
      <c r="M23" s="8" t="n">
        <v>46251.36216435185</v>
      </c>
      <c r="N23" t="inlineStr">
        <is>
          <t>Lennox Ellison</t>
        </is>
      </c>
      <c r="O23" s="8" t="n">
        <v>46251.41841435185</v>
      </c>
      <c r="P23" t="inlineStr">
        <is>
          <t>Oakley Rhodes</t>
        </is>
      </c>
      <c r="Q23" t="inlineStr">
        <is>
          <t>LEDGER_OR_CASHFLOW_RECEIVED</t>
        </is>
      </c>
      <c r="R23" t="inlineStr">
        <is>
          <t>SYRM_ACKNOWLEDGED</t>
        </is>
      </c>
      <c r="S23" t="inlineStr">
        <is>
          <t>View details</t>
        </is>
      </c>
    </row>
    <row r="24">
      <c r="A24" t="inlineStr">
        <is>
          <t>150316825069</t>
        </is>
      </c>
      <c r="B24" t="inlineStr">
        <is>
          <t>Cedar Settlement Bank Hong Kong</t>
        </is>
      </c>
      <c r="C24" t="inlineStr">
        <is>
          <t>468341071172</t>
        </is>
      </c>
      <c r="D24" t="inlineStr">
        <is>
          <t>Zephyr Commercial Bank Oslo</t>
        </is>
      </c>
      <c r="E24" t="inlineStr">
        <is>
          <t>GBP</t>
        </is>
      </c>
      <c r="F24" t="inlineStr">
        <is>
          <t>NT26081700018</t>
        </is>
      </c>
      <c r="G24" s="6" t="n">
        <v>46251</v>
      </c>
      <c r="H24" s="7" t="n">
        <v>43967.312</v>
      </c>
      <c r="I24" t="inlineStr">
        <is>
          <t>GBP</t>
        </is>
      </c>
      <c r="J24" s="7" t="n">
        <v>43967.312</v>
      </c>
      <c r="K24" t="inlineStr">
        <is>
          <t>SYRM</t>
        </is>
      </c>
      <c r="L24" t="inlineStr">
        <is>
          <t>Liquidity sweep</t>
        </is>
      </c>
      <c r="M24" s="8" t="n">
        <v>46251.53782407408</v>
      </c>
      <c r="N24" t="inlineStr">
        <is>
          <t>Oakley Delaney</t>
        </is>
      </c>
      <c r="O24" s="8" t="n">
        <v>46251.58157407407</v>
      </c>
      <c r="P24" t="inlineStr">
        <is>
          <t>Marlow Thorne</t>
        </is>
      </c>
      <c r="Q24" t="inlineStr">
        <is>
          <t>LEDGER_RECEIVED</t>
        </is>
      </c>
      <c r="R24" t="inlineStr">
        <is>
          <t>SYRM_ACKNOWLEDGED</t>
        </is>
      </c>
      <c r="S24" t="inlineStr">
        <is>
          <t>View details</t>
        </is>
      </c>
    </row>
    <row r="25">
      <c r="A25" t="inlineStr">
        <is>
          <t>700726936098</t>
        </is>
      </c>
      <c r="B25" t="inlineStr">
        <is>
          <t>Dunlin Commercial Bank Paris</t>
        </is>
      </c>
      <c r="C25" t="inlineStr">
        <is>
          <t>171857983160</t>
        </is>
      </c>
      <c r="D25" t="inlineStr">
        <is>
          <t>Wrenfield Clearing Mexico City</t>
        </is>
      </c>
      <c r="E25" t="inlineStr">
        <is>
          <t>SAR</t>
        </is>
      </c>
      <c r="F25" t="inlineStr">
        <is>
          <t>NT26081700019</t>
        </is>
      </c>
      <c r="G25" s="6" t="n">
        <v>46251</v>
      </c>
      <c r="H25" s="7" t="n">
        <v>1392575.006</v>
      </c>
      <c r="I25" t="inlineStr">
        <is>
          <t>GBP</t>
        </is>
      </c>
      <c r="J25" s="7" t="n">
        <v>291048.176</v>
      </c>
      <c r="K25" t="inlineStr">
        <is>
          <t>SYRM</t>
        </is>
      </c>
      <c r="L25" t="inlineStr">
        <is>
          <t>Funding move</t>
        </is>
      </c>
      <c r="M25" s="8" t="n">
        <v>46251.70143518518</v>
      </c>
      <c r="N25" t="inlineStr">
        <is>
          <t>Kai Novak</t>
        </is>
      </c>
      <c r="O25" s="8" t="n">
        <v>46251.7062962963</v>
      </c>
      <c r="P25" t="inlineStr">
        <is>
          <t>Wren Hollis</t>
        </is>
      </c>
      <c r="Q25" t="inlineStr">
        <is>
          <t>LEDGER_OR_CASHFLOW_RECEIVED</t>
        </is>
      </c>
      <c r="R25" t="inlineStr">
        <is>
          <t>SYRM_ACKNOWLEDGED</t>
        </is>
      </c>
      <c r="S25" t="inlineStr">
        <is>
          <t>View details</t>
        </is>
      </c>
    </row>
    <row r="26">
      <c r="A26" t="inlineStr">
        <is>
          <t>898317028833</t>
        </is>
      </c>
      <c r="B26" t="inlineStr">
        <is>
          <t>Zephyr Settlement Bank Sydney</t>
        </is>
      </c>
      <c r="C26" t="inlineStr">
        <is>
          <t>794226063698</t>
        </is>
      </c>
      <c r="D26" t="inlineStr">
        <is>
          <t>Zephyr Commercial Bank Oslo</t>
        </is>
      </c>
      <c r="E26" t="inlineStr">
        <is>
          <t>GBP</t>
        </is>
      </c>
      <c r="F26" t="inlineStr">
        <is>
          <t>NT26081700020</t>
        </is>
      </c>
      <c r="G26" s="6" t="n">
        <v>46251</v>
      </c>
      <c r="H26" s="7" t="n">
        <v>7715</v>
      </c>
      <c r="I26" t="inlineStr">
        <is>
          <t>GBP</t>
        </is>
      </c>
      <c r="J26" s="7" t="n">
        <v>7715</v>
      </c>
      <c r="K26" t="inlineStr">
        <is>
          <t>SYRM</t>
        </is>
      </c>
      <c r="L26" t="inlineStr">
        <is>
          <t>Liquidity sweep</t>
        </is>
      </c>
      <c r="M26" s="8" t="n">
        <v>46251.43194444444</v>
      </c>
      <c r="N26" t="inlineStr">
        <is>
          <t>Quinn Hollis</t>
        </is>
      </c>
      <c r="O26" s="8" t="n">
        <v>46251.46666666667</v>
      </c>
      <c r="P26" t="inlineStr">
        <is>
          <t>Tatum Ashford</t>
        </is>
      </c>
      <c r="Q26" t="inlineStr">
        <is>
          <t>LEDGER_OR_CASHFLOW_RECEIVED</t>
        </is>
      </c>
      <c r="R26" t="inlineStr">
        <is>
          <t>SYRM_ACKNOWLEDGED</t>
        </is>
      </c>
      <c r="S26" t="inlineStr">
        <is>
          <t>View details</t>
        </is>
      </c>
    </row>
    <row r="27">
      <c r="A27" t="inlineStr">
        <is>
          <t>824840705580</t>
        </is>
      </c>
      <c r="B27" t="inlineStr">
        <is>
          <t>Granite Trust Frankfurt</t>
        </is>
      </c>
      <c r="C27" t="inlineStr">
        <is>
          <t>621381112674</t>
        </is>
      </c>
      <c r="D27" t="inlineStr">
        <is>
          <t>Juniper Trust London</t>
        </is>
      </c>
      <c r="E27" t="inlineStr">
        <is>
          <t>EUR</t>
        </is>
      </c>
      <c r="F27" t="inlineStr">
        <is>
          <t>NT26081700021</t>
        </is>
      </c>
      <c r="G27" s="6" t="n">
        <v>46251</v>
      </c>
      <c r="H27" s="7" t="n">
        <v>1618773.288</v>
      </c>
      <c r="I27" t="inlineStr">
        <is>
          <t>GBP</t>
        </is>
      </c>
      <c r="J27" s="7" t="n">
        <v>1388907.481</v>
      </c>
      <c r="K27" t="inlineStr">
        <is>
          <t>SYRM</t>
        </is>
      </c>
      <c r="L27" t="inlineStr"/>
      <c r="M27" s="8" t="n">
        <v>46251.5287962963</v>
      </c>
      <c r="N27" t="inlineStr">
        <is>
          <t>Avery Sinclair</t>
        </is>
      </c>
      <c r="O27" s="8" t="n">
        <v>46251.57740740741</v>
      </c>
      <c r="P27" t="inlineStr">
        <is>
          <t>Marlow Rhodes</t>
        </is>
      </c>
      <c r="Q27" t="inlineStr">
        <is>
          <t>LEDGER_OR_CASHFLOW_RECEIVED</t>
        </is>
      </c>
      <c r="R27" t="inlineStr">
        <is>
          <t>SYRM_ACKNOWLEDGED</t>
        </is>
      </c>
      <c r="S27" t="inlineStr">
        <is>
          <t>View details</t>
        </is>
      </c>
    </row>
    <row r="28">
      <c r="A28" t="inlineStr">
        <is>
          <t>953625291146</t>
        </is>
      </c>
      <c r="B28" t="inlineStr">
        <is>
          <t>Wrenfield Trust Tokyo</t>
        </is>
      </c>
      <c r="C28" t="inlineStr">
        <is>
          <t>621381112674</t>
        </is>
      </c>
      <c r="D28" t="inlineStr">
        <is>
          <t>Juniper Bank Warsaw</t>
        </is>
      </c>
      <c r="E28" t="inlineStr">
        <is>
          <t>USD</t>
        </is>
      </c>
      <c r="F28" t="inlineStr">
        <is>
          <t>NT26081700022</t>
        </is>
      </c>
      <c r="G28" s="6" t="n">
        <v>46251</v>
      </c>
      <c r="H28" s="7" t="n">
        <v>80912095.516</v>
      </c>
      <c r="I28" t="inlineStr">
        <is>
          <t>GBP</t>
        </is>
      </c>
      <c r="J28" s="7" t="n">
        <v>63435082.885</v>
      </c>
      <c r="K28" t="inlineStr">
        <is>
          <t>SWIFT</t>
        </is>
      </c>
      <c r="L28" t="inlineStr">
        <is>
          <t>Funding move</t>
        </is>
      </c>
      <c r="M28" s="8" t="n">
        <v>46251.67998842592</v>
      </c>
      <c r="N28" t="inlineStr">
        <is>
          <t>Devon Delaney</t>
        </is>
      </c>
      <c r="O28" s="8" t="n">
        <v>46251.70498842592</v>
      </c>
      <c r="P28" t="inlineStr">
        <is>
          <t>Wren Fairweather</t>
        </is>
      </c>
      <c r="Q28" t="inlineStr">
        <is>
          <t>LEDGER_RECEIVED</t>
        </is>
      </c>
      <c r="R28" t="inlineStr">
        <is>
          <t>SYRM_ACKNOWLEDGED</t>
        </is>
      </c>
      <c r="S28" t="inlineStr">
        <is>
          <t>View details</t>
        </is>
      </c>
    </row>
    <row r="29">
      <c r="A29" t="inlineStr">
        <is>
          <t>910703979141</t>
        </is>
      </c>
      <c r="B29" t="inlineStr">
        <is>
          <t>Ironbark Trust Dublin</t>
        </is>
      </c>
      <c r="C29" t="inlineStr">
        <is>
          <t>265771593142</t>
        </is>
      </c>
      <c r="D29" t="inlineStr">
        <is>
          <t>Pinehurst Clearing Oslo</t>
        </is>
      </c>
      <c r="E29" t="inlineStr">
        <is>
          <t>CHF</t>
        </is>
      </c>
      <c r="F29" t="inlineStr">
        <is>
          <t>NT26081700023</t>
        </is>
      </c>
      <c r="G29" s="6" t="n">
        <v>46251</v>
      </c>
      <c r="H29" s="7" t="n">
        <v>333612.612</v>
      </c>
      <c r="I29" t="inlineStr">
        <is>
          <t>GBP</t>
        </is>
      </c>
      <c r="J29" s="7" t="n">
        <v>299250.513</v>
      </c>
      <c r="K29" t="inlineStr">
        <is>
          <t>SWIFT</t>
        </is>
      </c>
      <c r="L29" t="inlineStr">
        <is>
          <t>Funding move</t>
        </is>
      </c>
      <c r="M29" s="8" t="n">
        <v>46251.48028935185</v>
      </c>
      <c r="N29" t="inlineStr">
        <is>
          <t>Finley Jennings</t>
        </is>
      </c>
      <c r="O29" s="8" t="n">
        <v>46251.51709490741</v>
      </c>
      <c r="P29" t="inlineStr">
        <is>
          <t>Lennox Ellison</t>
        </is>
      </c>
      <c r="Q29" t="inlineStr">
        <is>
          <t>LEDGER_OR_CASHFLOW_RECEIVED</t>
        </is>
      </c>
      <c r="R29" t="inlineStr">
        <is>
          <t>SYRM_ACKNOWLEDGED</t>
        </is>
      </c>
      <c r="S29" t="inlineStr">
        <is>
          <t>View details</t>
        </is>
      </c>
    </row>
    <row r="30">
      <c r="A30" t="inlineStr">
        <is>
          <t>468341071172</t>
        </is>
      </c>
      <c r="B30" t="inlineStr">
        <is>
          <t>Granite Trust Frankfurt</t>
        </is>
      </c>
      <c r="C30" t="inlineStr">
        <is>
          <t>132544340094</t>
        </is>
      </c>
      <c r="D30" t="inlineStr">
        <is>
          <t>Juniper Commercial Bank Warsaw</t>
        </is>
      </c>
      <c r="E30" t="inlineStr">
        <is>
          <t>EUR</t>
        </is>
      </c>
      <c r="F30" t="inlineStr">
        <is>
          <t>NT26081700024</t>
        </is>
      </c>
      <c r="G30" s="6" t="n">
        <v>46251</v>
      </c>
      <c r="H30" s="7" t="n">
        <v>2290792666.226</v>
      </c>
      <c r="I30" t="inlineStr">
        <is>
          <t>GBP</t>
        </is>
      </c>
      <c r="J30" s="7" t="n">
        <v>1965500107.622</v>
      </c>
      <c r="K30" t="inlineStr">
        <is>
          <t>SYRM</t>
        </is>
      </c>
      <c r="L30" t="inlineStr">
        <is>
          <t>Liquidity sweep</t>
        </is>
      </c>
      <c r="M30" s="8" t="n">
        <v>46251.32923611111</v>
      </c>
      <c r="N30" t="inlineStr">
        <is>
          <t>Finley Sinclair</t>
        </is>
      </c>
      <c r="O30" s="8" t="n">
        <v>46251.39520833334</v>
      </c>
      <c r="P30" t="inlineStr">
        <is>
          <t>Oakley Rhodes</t>
        </is>
      </c>
      <c r="Q30" t="inlineStr">
        <is>
          <t>CASHFLOW_RECEIVED</t>
        </is>
      </c>
      <c r="R30" t="inlineStr">
        <is>
          <t>SYRM_ACKNOWLEDGED</t>
        </is>
      </c>
      <c r="S30" t="inlineStr">
        <is>
          <t>View details</t>
        </is>
      </c>
    </row>
    <row r="31">
      <c r="A31" t="inlineStr">
        <is>
          <t>700726936098</t>
        </is>
      </c>
      <c r="B31" t="inlineStr">
        <is>
          <t>Wrenfield Bank Paris</t>
        </is>
      </c>
      <c r="C31" t="inlineStr">
        <is>
          <t>284925023085</t>
        </is>
      </c>
      <c r="D31" t="inlineStr">
        <is>
          <t>Ironbark Clearing Frankfurt</t>
        </is>
      </c>
      <c r="E31" t="inlineStr">
        <is>
          <t>SAR</t>
        </is>
      </c>
      <c r="F31" t="inlineStr">
        <is>
          <t>NT26081700025</t>
        </is>
      </c>
      <c r="G31" s="6" t="n">
        <v>46251</v>
      </c>
      <c r="H31" s="7" t="n">
        <v>166525359.418</v>
      </c>
      <c r="I31" t="inlineStr">
        <is>
          <t>GBP</t>
        </is>
      </c>
      <c r="J31" s="7" t="n">
        <v>34803800.118</v>
      </c>
      <c r="K31" t="inlineStr">
        <is>
          <t>SYRM</t>
        </is>
      </c>
      <c r="L31" t="inlineStr">
        <is>
          <t>Intraday top-up</t>
        </is>
      </c>
      <c r="M31" s="8" t="n">
        <v>46251.74288194445</v>
      </c>
      <c r="N31" t="inlineStr">
        <is>
          <t>Marlow Thorne</t>
        </is>
      </c>
      <c r="O31" s="8" t="n">
        <v>46251.78663194444</v>
      </c>
      <c r="P31" t="inlineStr">
        <is>
          <t>Sawyer Calloway</t>
        </is>
      </c>
      <c r="Q31" t="inlineStr">
        <is>
          <t>LEDGER_OR_CASHFLOW_RECEIVED</t>
        </is>
      </c>
      <c r="R31" t="inlineStr">
        <is>
          <t>SYRM_ACKNOWLEDGED</t>
        </is>
      </c>
      <c r="S31" t="inlineStr">
        <is>
          <t>View details</t>
        </is>
      </c>
    </row>
    <row r="32">
      <c r="A32" t="inlineStr">
        <is>
          <t>968942362772</t>
        </is>
      </c>
      <c r="B32" t="inlineStr">
        <is>
          <t>Yarrow Bank Stockholm</t>
        </is>
      </c>
      <c r="C32" t="inlineStr">
        <is>
          <t>150316825069</t>
        </is>
      </c>
      <c r="D32" t="inlineStr">
        <is>
          <t>Bramble Clearing Milan</t>
        </is>
      </c>
      <c r="E32" t="inlineStr">
        <is>
          <t>EUR</t>
        </is>
      </c>
      <c r="F32" t="inlineStr">
        <is>
          <t>NT26081700026</t>
        </is>
      </c>
      <c r="G32" s="6" t="n">
        <v>46251</v>
      </c>
      <c r="H32" s="7" t="n">
        <v>3821313.847</v>
      </c>
      <c r="I32" t="inlineStr">
        <is>
          <t>GBP</t>
        </is>
      </c>
      <c r="J32" s="7" t="n">
        <v>3278687.281</v>
      </c>
      <c r="K32" t="inlineStr">
        <is>
          <t>SWIFT</t>
        </is>
      </c>
      <c r="L32" t="inlineStr">
        <is>
          <t>Liquidity sweep</t>
        </is>
      </c>
      <c r="M32" s="8" t="n">
        <v>46251.28899305555</v>
      </c>
      <c r="N32" t="inlineStr">
        <is>
          <t>Kai Merrick</t>
        </is>
      </c>
      <c r="O32" s="8" t="n">
        <v>46251.34107638889</v>
      </c>
      <c r="P32" t="inlineStr">
        <is>
          <t>Kai Novak</t>
        </is>
      </c>
      <c r="Q32" t="inlineStr">
        <is>
          <t>LEDGER_OR_CASHFLOW_RECEIVED</t>
        </is>
      </c>
      <c r="R32" t="inlineStr">
        <is>
          <t>SYRM_ACKNOWLEDGED</t>
        </is>
      </c>
      <c r="S32" t="inlineStr">
        <is>
          <t>View details</t>
        </is>
      </c>
    </row>
    <row r="33">
      <c r="A33" t="inlineStr">
        <is>
          <t>120047354818</t>
        </is>
      </c>
      <c r="B33" t="inlineStr">
        <is>
          <t>Juniper Bank Warsaw</t>
        </is>
      </c>
      <c r="C33" t="inlineStr">
        <is>
          <t>726928343448</t>
        </is>
      </c>
      <c r="D33" t="inlineStr">
        <is>
          <t>Juniper Commercial Bank Warsaw</t>
        </is>
      </c>
      <c r="E33" t="inlineStr">
        <is>
          <t>USD</t>
        </is>
      </c>
      <c r="F33" t="inlineStr">
        <is>
          <t>NT26081700027</t>
        </is>
      </c>
      <c r="G33" s="6" t="n">
        <v>46251</v>
      </c>
      <c r="H33" s="7" t="n">
        <v>87179151.62199999</v>
      </c>
      <c r="I33" t="inlineStr">
        <is>
          <t>GBP</t>
        </is>
      </c>
      <c r="J33" s="7" t="n">
        <v>68348454.87199999</v>
      </c>
      <c r="K33" t="inlineStr">
        <is>
          <t>SYRM</t>
        </is>
      </c>
      <c r="L33" t="inlineStr">
        <is>
          <t>Funding move</t>
        </is>
      </c>
      <c r="M33" s="8" t="n">
        <v>46251.59928240741</v>
      </c>
      <c r="N33" t="inlineStr">
        <is>
          <t>Devon Jennings</t>
        </is>
      </c>
      <c r="O33" s="8" t="n">
        <v>46251.63261574074</v>
      </c>
      <c r="P33" t="inlineStr">
        <is>
          <t>Noor Sinclair</t>
        </is>
      </c>
      <c r="Q33" t="inlineStr">
        <is>
          <t>LEDGER_OR_CASHFLOW_RECEIVED</t>
        </is>
      </c>
      <c r="R33" t="inlineStr">
        <is>
          <t>SYRM_ACKNOWLEDGED</t>
        </is>
      </c>
      <c r="S33" t="inlineStr">
        <is>
          <t>View details</t>
        </is>
      </c>
    </row>
    <row r="34">
      <c r="A34" t="inlineStr">
        <is>
          <t>150316825069</t>
        </is>
      </c>
      <c r="B34" t="inlineStr">
        <is>
          <t>Wrenfield Clearing Frankfurt</t>
        </is>
      </c>
      <c r="C34" t="inlineStr">
        <is>
          <t>468341071172</t>
        </is>
      </c>
      <c r="D34" t="inlineStr">
        <is>
          <t>Oriel Commercial Bank Toronto</t>
        </is>
      </c>
      <c r="E34" t="inlineStr">
        <is>
          <t>GBP</t>
        </is>
      </c>
      <c r="F34" t="inlineStr">
        <is>
          <t>NT26081700028</t>
        </is>
      </c>
      <c r="G34" s="6" t="n">
        <v>46251</v>
      </c>
      <c r="H34" s="7" t="n">
        <v>15468527.976</v>
      </c>
      <c r="I34" t="inlineStr">
        <is>
          <t>GBP</t>
        </is>
      </c>
      <c r="J34" s="7" t="n">
        <v>15468527.976</v>
      </c>
      <c r="K34" t="inlineStr">
        <is>
          <t>SYRM</t>
        </is>
      </c>
      <c r="L34" t="inlineStr">
        <is>
          <t>Liquidity sweep</t>
        </is>
      </c>
      <c r="M34" s="8" t="n">
        <v>46251.5309837963</v>
      </c>
      <c r="N34" t="inlineStr">
        <is>
          <t>Wren Fairweather</t>
        </is>
      </c>
      <c r="O34" s="8" t="n">
        <v>46251.58862268519</v>
      </c>
      <c r="P34" t="inlineStr">
        <is>
          <t>Quinn Osgood</t>
        </is>
      </c>
      <c r="Q34" t="inlineStr">
        <is>
          <t>LEDGER_OR_CASHFLOW_RECEIVED</t>
        </is>
      </c>
      <c r="R34" t="inlineStr">
        <is>
          <t>SYRM_ACKNOWLEDGED</t>
        </is>
      </c>
      <c r="S34" t="inlineStr">
        <is>
          <t>View details</t>
        </is>
      </c>
    </row>
    <row r="35">
      <c r="A35" t="inlineStr">
        <is>
          <t>794226063698</t>
        </is>
      </c>
      <c r="B35" t="inlineStr">
        <is>
          <t>Fernway Trust Tokyo</t>
        </is>
      </c>
      <c r="C35" t="inlineStr">
        <is>
          <t>120047354818</t>
        </is>
      </c>
      <c r="D35" t="inlineStr">
        <is>
          <t>Juniper Bank Warsaw</t>
        </is>
      </c>
      <c r="E35" t="inlineStr">
        <is>
          <t>AED</t>
        </is>
      </c>
      <c r="F35" t="inlineStr">
        <is>
          <t>NT26081700029</t>
        </is>
      </c>
      <c r="G35" s="6" t="n">
        <v>46251</v>
      </c>
      <c r="H35" s="7" t="n">
        <v>19397028.878</v>
      </c>
      <c r="I35" t="inlineStr">
        <is>
          <t>GBP</t>
        </is>
      </c>
      <c r="J35" s="7" t="n">
        <v>4131567.151</v>
      </c>
      <c r="K35" t="inlineStr">
        <is>
          <t>SWIFT</t>
        </is>
      </c>
      <c r="L35" t="inlineStr">
        <is>
          <t>Funding move</t>
        </is>
      </c>
      <c r="M35" s="8" t="n">
        <v>46251.46390046296</v>
      </c>
      <c r="N35" t="inlineStr">
        <is>
          <t>Harper Calloway</t>
        </is>
      </c>
      <c r="O35" s="8" t="n">
        <v>46251.46667824074</v>
      </c>
      <c r="P35" t="inlineStr">
        <is>
          <t>Tatum Ashford</t>
        </is>
      </c>
      <c r="Q35" t="inlineStr">
        <is>
          <t>LEDGER_OR_CASHFLOW_RECEIVED</t>
        </is>
      </c>
      <c r="R35" t="inlineStr">
        <is>
          <t>SYRM_ACKNOWLEDGED</t>
        </is>
      </c>
      <c r="S35" t="inlineStr">
        <is>
          <t>View details</t>
        </is>
      </c>
    </row>
    <row r="36">
      <c r="A36" t="inlineStr">
        <is>
          <t>113829985108</t>
        </is>
      </c>
      <c r="B36" t="inlineStr">
        <is>
          <t>Mallow Commercial Bank Mexico City</t>
        </is>
      </c>
      <c r="C36" t="inlineStr">
        <is>
          <t>265771593142</t>
        </is>
      </c>
      <c r="D36" t="inlineStr">
        <is>
          <t>Bramble Commercial Bank Toronto</t>
        </is>
      </c>
      <c r="E36" t="inlineStr">
        <is>
          <t>EUR</t>
        </is>
      </c>
      <c r="F36" t="inlineStr">
        <is>
          <t>NT26081700030</t>
        </is>
      </c>
      <c r="G36" s="6" t="n">
        <v>46251</v>
      </c>
      <c r="H36" s="7" t="n">
        <v>130857.589</v>
      </c>
      <c r="I36" t="inlineStr">
        <is>
          <t>GBP</t>
        </is>
      </c>
      <c r="J36" s="7" t="n">
        <v>112275.811</v>
      </c>
      <c r="K36" t="inlineStr">
        <is>
          <t>SYRM</t>
        </is>
      </c>
      <c r="L36" t="inlineStr"/>
      <c r="M36" s="8" t="n">
        <v>46251.66584490741</v>
      </c>
      <c r="N36" t="inlineStr">
        <is>
          <t>Marlow Sinclair</t>
        </is>
      </c>
      <c r="O36" s="8" t="n">
        <v>46251.72417824074</v>
      </c>
      <c r="P36" t="inlineStr">
        <is>
          <t>Greer Prentice</t>
        </is>
      </c>
      <c r="Q36" t="inlineStr">
        <is>
          <t>LEDGER_RECEIVED</t>
        </is>
      </c>
      <c r="R36" t="inlineStr">
        <is>
          <t>SYRM_ACKNOWLEDGED</t>
        </is>
      </c>
      <c r="S36" t="inlineStr">
        <is>
          <t>View details</t>
        </is>
      </c>
    </row>
    <row r="37">
      <c r="A37" t="inlineStr">
        <is>
          <t>150316825069</t>
        </is>
      </c>
      <c r="B37" t="inlineStr">
        <is>
          <t>Mallow Settlement Bank Oslo</t>
        </is>
      </c>
      <c r="C37" t="inlineStr">
        <is>
          <t>700726936098</t>
        </is>
      </c>
      <c r="D37" t="inlineStr">
        <is>
          <t>Wrenfield Commercial Bank Oslo</t>
        </is>
      </c>
      <c r="E37" t="inlineStr">
        <is>
          <t>GBP</t>
        </is>
      </c>
      <c r="F37" t="inlineStr">
        <is>
          <t>NT26081700031</t>
        </is>
      </c>
      <c r="G37" s="6" t="n">
        <v>46251</v>
      </c>
      <c r="H37" s="7" t="n">
        <v>147735841.914</v>
      </c>
      <c r="I37" t="inlineStr">
        <is>
          <t>GBP</t>
        </is>
      </c>
      <c r="J37" s="7" t="n">
        <v>147735841.914</v>
      </c>
      <c r="K37" t="inlineStr">
        <is>
          <t>SWIFT</t>
        </is>
      </c>
      <c r="L37" t="inlineStr">
        <is>
          <t>Intraday top-up</t>
        </is>
      </c>
      <c r="M37" s="8" t="n">
        <v>46251.54453703704</v>
      </c>
      <c r="N37" t="inlineStr">
        <is>
          <t>Finley Jennings</t>
        </is>
      </c>
      <c r="O37" s="8" t="n">
        <v>46251.61050925926</v>
      </c>
      <c r="P37" t="inlineStr">
        <is>
          <t>Noor Sinclair</t>
        </is>
      </c>
      <c r="Q37" t="inlineStr">
        <is>
          <t>LEDGER_OR_CASHFLOW_RECEIVED</t>
        </is>
      </c>
      <c r="R37" t="inlineStr">
        <is>
          <t>SYRM_ACKNOWLEDGED</t>
        </is>
      </c>
      <c r="S37" t="inlineStr">
        <is>
          <t>View details</t>
        </is>
      </c>
    </row>
    <row r="38">
      <c r="A38" t="inlineStr">
        <is>
          <t>794226063698</t>
        </is>
      </c>
      <c r="B38" t="inlineStr">
        <is>
          <t>Granite Commercial Bank Milan</t>
        </is>
      </c>
      <c r="C38" t="inlineStr">
        <is>
          <t>120047354818</t>
        </is>
      </c>
      <c r="D38" t="inlineStr">
        <is>
          <t>Oriel Settlement Bank Madrid</t>
        </is>
      </c>
      <c r="E38" t="inlineStr">
        <is>
          <t>AED</t>
        </is>
      </c>
      <c r="F38" t="inlineStr">
        <is>
          <t>NT26081700032</t>
        </is>
      </c>
      <c r="G38" s="6" t="n">
        <v>46251</v>
      </c>
      <c r="H38" s="7" t="n">
        <v>59462177.11</v>
      </c>
      <c r="I38" t="inlineStr">
        <is>
          <t>GBP</t>
        </is>
      </c>
      <c r="J38" s="7" t="n">
        <v>12665443.724</v>
      </c>
      <c r="K38" t="inlineStr">
        <is>
          <t>SWIFT</t>
        </is>
      </c>
      <c r="L38" t="inlineStr"/>
      <c r="M38" s="8" t="n">
        <v>46251.52763888889</v>
      </c>
      <c r="N38" t="inlineStr">
        <is>
          <t>Finley Hollis</t>
        </is>
      </c>
      <c r="O38" s="8" t="n">
        <v>46251.53180555555</v>
      </c>
      <c r="P38" t="inlineStr">
        <is>
          <t>Finley Sinclair</t>
        </is>
      </c>
      <c r="Q38" t="inlineStr">
        <is>
          <t>LEDGER_OR_CASHFLOW_RECEIVED</t>
        </is>
      </c>
      <c r="R38" t="inlineStr">
        <is>
          <t>SYRM_ACKNOWLEDGED</t>
        </is>
      </c>
      <c r="S38" t="inlineStr">
        <is>
          <t>View details</t>
        </is>
      </c>
    </row>
    <row r="39">
      <c r="A39" t="inlineStr">
        <is>
          <t>898317028833</t>
        </is>
      </c>
      <c r="B39" t="inlineStr">
        <is>
          <t>Bramble Clearing Milan</t>
        </is>
      </c>
      <c r="C39" t="inlineStr">
        <is>
          <t>499062838623</t>
        </is>
      </c>
      <c r="D39" t="inlineStr">
        <is>
          <t>Larkspur Clearing New York</t>
        </is>
      </c>
      <c r="E39" t="inlineStr">
        <is>
          <t>GBP</t>
        </is>
      </c>
      <c r="F39" t="inlineStr">
        <is>
          <t>NT26081700033</t>
        </is>
      </c>
      <c r="G39" s="6" t="n">
        <v>46251</v>
      </c>
      <c r="H39" s="7" t="n">
        <v>60641116.027</v>
      </c>
      <c r="I39" t="inlineStr">
        <is>
          <t>GBP</t>
        </is>
      </c>
      <c r="J39" s="7" t="n">
        <v>60641116.027</v>
      </c>
      <c r="K39" t="inlineStr">
        <is>
          <t>SYRM</t>
        </is>
      </c>
      <c r="L39" t="inlineStr">
        <is>
          <t>Intraday top-up</t>
        </is>
      </c>
      <c r="M39" s="8" t="n">
        <v>46251.41430555555</v>
      </c>
      <c r="N39" t="inlineStr">
        <is>
          <t>Oakley Fairweather</t>
        </is>
      </c>
      <c r="O39" s="8" t="n">
        <v>46251.42125</v>
      </c>
      <c r="P39" t="inlineStr">
        <is>
          <t>Ellis Delaney</t>
        </is>
      </c>
      <c r="Q39" t="inlineStr">
        <is>
          <t>LEDGER_OR_CASHFLOW_RECEIVED</t>
        </is>
      </c>
      <c r="R39" t="inlineStr">
        <is>
          <t>SYRM_ACKNOWLEDGED</t>
        </is>
      </c>
      <c r="S39" t="inlineStr">
        <is>
          <t>View details</t>
        </is>
      </c>
    </row>
    <row r="40">
      <c r="A40" t="inlineStr">
        <is>
          <t>700726936098</t>
        </is>
      </c>
      <c r="B40" t="inlineStr">
        <is>
          <t>Umberton Commercial Bank Mexico City</t>
        </is>
      </c>
      <c r="C40" t="inlineStr">
        <is>
          <t>910703979141</t>
        </is>
      </c>
      <c r="D40" t="inlineStr">
        <is>
          <t>Nightjar Bank Stockholm</t>
        </is>
      </c>
      <c r="E40" t="inlineStr">
        <is>
          <t>SAR</t>
        </is>
      </c>
      <c r="F40" t="inlineStr">
        <is>
          <t>NT26081700034</t>
        </is>
      </c>
      <c r="G40" s="6" t="n">
        <v>46251</v>
      </c>
      <c r="H40" s="7" t="n">
        <v>631281289.4630001</v>
      </c>
      <c r="I40" t="inlineStr">
        <is>
          <t>GBP</t>
        </is>
      </c>
      <c r="J40" s="7" t="n">
        <v>131937789.498</v>
      </c>
      <c r="K40" t="inlineStr">
        <is>
          <t>SWIFT</t>
        </is>
      </c>
      <c r="L40" t="inlineStr">
        <is>
          <t>Funding move</t>
        </is>
      </c>
      <c r="M40" s="8" t="n">
        <v>46251.39836805555</v>
      </c>
      <c r="N40" t="inlineStr">
        <is>
          <t>Noor Sinclair</t>
        </is>
      </c>
      <c r="O40" s="8" t="n">
        <v>46251.44072916666</v>
      </c>
      <c r="P40" t="inlineStr">
        <is>
          <t>Noor Brookes</t>
        </is>
      </c>
      <c r="Q40" t="inlineStr">
        <is>
          <t>LEDGER_OR_CASHFLOW_RECEIVED</t>
        </is>
      </c>
      <c r="R40" t="inlineStr">
        <is>
          <t>SYRM_ACKNOWLEDGED</t>
        </is>
      </c>
      <c r="S40" t="inlineStr">
        <is>
          <t>View details</t>
        </is>
      </c>
    </row>
    <row r="41">
      <c r="A41" t="inlineStr">
        <is>
          <t>468341071172</t>
        </is>
      </c>
      <c r="B41" t="inlineStr">
        <is>
          <t>Granite Commercial Bank Milan</t>
        </is>
      </c>
      <c r="C41" t="inlineStr">
        <is>
          <t>171857983160</t>
        </is>
      </c>
      <c r="D41" t="inlineStr">
        <is>
          <t>Redstart Commercial Bank Stockholm</t>
        </is>
      </c>
      <c r="E41" t="inlineStr">
        <is>
          <t>EUR</t>
        </is>
      </c>
      <c r="F41" t="inlineStr">
        <is>
          <t>NT26081700035</t>
        </is>
      </c>
      <c r="G41" s="6" t="n">
        <v>46251</v>
      </c>
      <c r="H41" s="7" t="n">
        <v>34716698.167</v>
      </c>
      <c r="I41" t="inlineStr">
        <is>
          <t>GBP</t>
        </is>
      </c>
      <c r="J41" s="7" t="n">
        <v>29786927.027</v>
      </c>
      <c r="K41" t="inlineStr">
        <is>
          <t>SYRM</t>
        </is>
      </c>
      <c r="L41" t="inlineStr">
        <is>
          <t>Balance alignment</t>
        </is>
      </c>
      <c r="M41" s="8" t="n">
        <v>46251.35376157407</v>
      </c>
      <c r="N41" t="inlineStr">
        <is>
          <t>Ellis Delaney</t>
        </is>
      </c>
      <c r="O41" s="8" t="n">
        <v>46251.36278935185</v>
      </c>
      <c r="P41" t="inlineStr">
        <is>
          <t>Greer Osgood</t>
        </is>
      </c>
      <c r="Q41" t="inlineStr">
        <is>
          <t>LEDGER_RECEIVED</t>
        </is>
      </c>
      <c r="R41" t="inlineStr">
        <is>
          <t>SYRM_ACKNOWLEDGED</t>
        </is>
      </c>
      <c r="S41" t="inlineStr">
        <is>
          <t>View details</t>
        </is>
      </c>
    </row>
    <row r="42">
      <c r="A42" t="inlineStr">
        <is>
          <t>359365220160</t>
        </is>
      </c>
      <c r="B42" t="inlineStr">
        <is>
          <t>Juniper Trust London</t>
        </is>
      </c>
      <c r="C42" t="inlineStr">
        <is>
          <t>910703979141</t>
        </is>
      </c>
      <c r="D42" t="inlineStr">
        <is>
          <t>Pinehurst Settlement Bank Frankfurt</t>
        </is>
      </c>
      <c r="E42" t="inlineStr">
        <is>
          <t>EUR</t>
        </is>
      </c>
      <c r="F42" t="inlineStr">
        <is>
          <t>NT26081700036</t>
        </is>
      </c>
      <c r="G42" s="6" t="n">
        <v>46251</v>
      </c>
      <c r="H42" s="7" t="n">
        <v>52374849.904</v>
      </c>
      <c r="I42" t="inlineStr">
        <is>
          <t>GBP</t>
        </is>
      </c>
      <c r="J42" s="7" t="n">
        <v>44937621.218</v>
      </c>
      <c r="K42" t="inlineStr">
        <is>
          <t>INTERNAL</t>
        </is>
      </c>
      <c r="L42" t="inlineStr">
        <is>
          <t>Balance alignment</t>
        </is>
      </c>
      <c r="M42" s="8" t="n">
        <v>46251.63623842593</v>
      </c>
      <c r="N42" t="inlineStr">
        <is>
          <t>Ellis Delaney</t>
        </is>
      </c>
      <c r="O42" s="8" t="n">
        <v>46251.67373842592</v>
      </c>
      <c r="P42" t="inlineStr">
        <is>
          <t>Marlow Sinclair</t>
        </is>
      </c>
      <c r="Q42" t="inlineStr">
        <is>
          <t>LEDGER_OR_CASHFLOW_RECEIVED</t>
        </is>
      </c>
      <c r="R42" t="inlineStr">
        <is>
          <t>SYRM_ACKNOWLEDGED</t>
        </is>
      </c>
      <c r="S42" t="inlineStr">
        <is>
          <t>View details</t>
        </is>
      </c>
    </row>
    <row r="43">
      <c r="A43" t="inlineStr">
        <is>
          <t>150316825069</t>
        </is>
      </c>
      <c r="B43" t="inlineStr">
        <is>
          <t>Juniper Bank Warsaw</t>
        </is>
      </c>
      <c r="C43" t="inlineStr">
        <is>
          <t>171857983160</t>
        </is>
      </c>
      <c r="D43" t="inlineStr">
        <is>
          <t>Yarrow Settlement Bank Oslo</t>
        </is>
      </c>
      <c r="E43" t="inlineStr">
        <is>
          <t>GBP</t>
        </is>
      </c>
      <c r="F43" t="inlineStr">
        <is>
          <t>NT26081700037</t>
        </is>
      </c>
      <c r="G43" s="6" t="n">
        <v>46251</v>
      </c>
      <c r="H43" s="7" t="n">
        <v>26401531.15</v>
      </c>
      <c r="I43" t="inlineStr">
        <is>
          <t>GBP</t>
        </is>
      </c>
      <c r="J43" s="7" t="n">
        <v>26401531.15</v>
      </c>
      <c r="K43" t="inlineStr">
        <is>
          <t>SYRM</t>
        </is>
      </c>
      <c r="L43" t="inlineStr">
        <is>
          <t>Intraday top-up</t>
        </is>
      </c>
      <c r="M43" s="8" t="n">
        <v>46251.60744212963</v>
      </c>
      <c r="N43" t="inlineStr">
        <is>
          <t>Finley Jennings</t>
        </is>
      </c>
      <c r="O43" s="8" t="n">
        <v>46251.63799768518</v>
      </c>
      <c r="P43" t="inlineStr">
        <is>
          <t>Wren Fairweather</t>
        </is>
      </c>
      <c r="Q43" t="inlineStr">
        <is>
          <t>LEDGER_OR_CASHFLOW_RECEIVED</t>
        </is>
      </c>
      <c r="R43" t="inlineStr">
        <is>
          <t>SYRM_ACKNOWLEDGED</t>
        </is>
      </c>
      <c r="S43" t="inlineStr">
        <is>
          <t>View details</t>
        </is>
      </c>
    </row>
    <row r="44">
      <c r="A44" t="inlineStr">
        <is>
          <t>927538182434</t>
        </is>
      </c>
      <c r="B44" t="inlineStr">
        <is>
          <t>Juniper Bank Warsaw</t>
        </is>
      </c>
      <c r="C44" t="inlineStr">
        <is>
          <t>150316825069</t>
        </is>
      </c>
      <c r="D44" t="inlineStr">
        <is>
          <t>Redstart Commercial Bank Dublin</t>
        </is>
      </c>
      <c r="E44" t="inlineStr">
        <is>
          <t>CNY</t>
        </is>
      </c>
      <c r="F44" t="inlineStr">
        <is>
          <t>NT26081700038</t>
        </is>
      </c>
      <c r="G44" s="6" t="n">
        <v>46251</v>
      </c>
      <c r="H44" s="7" t="n">
        <v>16065196.122</v>
      </c>
      <c r="I44" t="inlineStr">
        <is>
          <t>GBP</t>
        </is>
      </c>
      <c r="J44" s="7" t="n">
        <v>1751106.377</v>
      </c>
      <c r="K44" t="inlineStr">
        <is>
          <t>SWIFT</t>
        </is>
      </c>
      <c r="L44" t="inlineStr"/>
      <c r="M44" s="8" t="n">
        <v>46251.66644675926</v>
      </c>
      <c r="N44" t="inlineStr">
        <is>
          <t>Quinn Osgood</t>
        </is>
      </c>
      <c r="O44" s="8" t="n">
        <v>46251.68519675926</v>
      </c>
      <c r="P44" t="inlineStr">
        <is>
          <t>Noor Brookes</t>
        </is>
      </c>
      <c r="Q44" t="inlineStr">
        <is>
          <t>LEDGER_OR_CASHFLOW_RECEIVED</t>
        </is>
      </c>
      <c r="R44" t="inlineStr">
        <is>
          <t>SYRM_ACKNOWLEDGED</t>
        </is>
      </c>
      <c r="S44" t="inlineStr">
        <is>
          <t>View details</t>
        </is>
      </c>
    </row>
    <row r="45">
      <c r="A45" t="inlineStr">
        <is>
          <t>359365220160</t>
        </is>
      </c>
      <c r="B45" t="inlineStr">
        <is>
          <t>Bramble Settlement Bank Hong Kong</t>
        </is>
      </c>
      <c r="C45" t="inlineStr">
        <is>
          <t>468341071172</t>
        </is>
      </c>
      <c r="D45" t="inlineStr">
        <is>
          <t>Granite Commercial Bank Milan</t>
        </is>
      </c>
      <c r="E45" t="inlineStr">
        <is>
          <t>EUR</t>
        </is>
      </c>
      <c r="F45" t="inlineStr">
        <is>
          <t>NT26081700039</t>
        </is>
      </c>
      <c r="G45" s="6" t="n">
        <v>46251</v>
      </c>
      <c r="H45" s="7" t="n">
        <v>1125014.767</v>
      </c>
      <c r="I45" t="inlineStr">
        <is>
          <t>GBP</t>
        </is>
      </c>
      <c r="J45" s="7" t="n">
        <v>965262.67</v>
      </c>
      <c r="K45" t="inlineStr">
        <is>
          <t>SYRM</t>
        </is>
      </c>
      <c r="L45" t="inlineStr">
        <is>
          <t>Intraday top-up</t>
        </is>
      </c>
      <c r="M45" s="8" t="n">
        <v>46251.42875</v>
      </c>
      <c r="N45" t="inlineStr">
        <is>
          <t>Oakley Fairweather</t>
        </is>
      </c>
      <c r="O45" s="8" t="n">
        <v>46251.46833333333</v>
      </c>
      <c r="P45" t="inlineStr">
        <is>
          <t>Lennox Ellison</t>
        </is>
      </c>
      <c r="Q45" t="inlineStr">
        <is>
          <t>LEDGER_OR_CASHFLOW_RECEIVED</t>
        </is>
      </c>
      <c r="R45" t="inlineStr">
        <is>
          <t>SYRM_ACKNOWLEDGED</t>
        </is>
      </c>
      <c r="S45" t="inlineStr">
        <is>
          <t>View details</t>
        </is>
      </c>
    </row>
    <row r="46">
      <c r="A46" t="inlineStr">
        <is>
          <t>794226063698</t>
        </is>
      </c>
      <c r="B46" t="inlineStr">
        <is>
          <t>Juniper Clearing New York</t>
        </is>
      </c>
      <c r="C46" t="inlineStr">
        <is>
          <t>621381112674</t>
        </is>
      </c>
      <c r="D46" t="inlineStr">
        <is>
          <t>Wrenfield Trust Tokyo</t>
        </is>
      </c>
      <c r="E46" t="inlineStr">
        <is>
          <t>AED</t>
        </is>
      </c>
      <c r="F46" t="inlineStr">
        <is>
          <t>NT26081700040</t>
        </is>
      </c>
      <c r="G46" s="6" t="n">
        <v>46251</v>
      </c>
      <c r="H46" s="7" t="n">
        <v>2124925.114</v>
      </c>
      <c r="I46" t="inlineStr">
        <is>
          <t>GBP</t>
        </is>
      </c>
      <c r="J46" s="7" t="n">
        <v>452609.049</v>
      </c>
      <c r="K46" t="inlineStr">
        <is>
          <t>SYRM</t>
        </is>
      </c>
      <c r="L46" t="inlineStr"/>
      <c r="M46" s="8" t="n">
        <v>46251.4441087963</v>
      </c>
      <c r="N46" t="inlineStr">
        <is>
          <t>Oakley Fairweather</t>
        </is>
      </c>
      <c r="O46" s="8" t="n">
        <v>46251.48299768518</v>
      </c>
      <c r="P46" t="inlineStr">
        <is>
          <t>Finley Sinclair</t>
        </is>
      </c>
      <c r="Q46" t="inlineStr">
        <is>
          <t>LEDGER_OR_CASHFLOW_RECEIVED</t>
        </is>
      </c>
      <c r="R46" t="inlineStr">
        <is>
          <t>SYRM_ACKNOWLEDGED</t>
        </is>
      </c>
      <c r="S46" t="inlineStr">
        <is>
          <t>View details</t>
        </is>
      </c>
    </row>
    <row r="47">
      <c r="A47" t="inlineStr">
        <is>
          <t>499062838623</t>
        </is>
      </c>
      <c r="B47" t="inlineStr">
        <is>
          <t>Sablewood Settlement Bank Oslo</t>
        </is>
      </c>
      <c r="C47" t="inlineStr">
        <is>
          <t>150316825069</t>
        </is>
      </c>
      <c r="D47" t="inlineStr">
        <is>
          <t>Sablewood Settlement Bank Oslo</t>
        </is>
      </c>
      <c r="E47" t="inlineStr">
        <is>
          <t>USD</t>
        </is>
      </c>
      <c r="F47" t="inlineStr">
        <is>
          <t>NT26081700041</t>
        </is>
      </c>
      <c r="G47" s="6" t="n">
        <v>46251</v>
      </c>
      <c r="H47" s="7" t="n">
        <v>4.337</v>
      </c>
      <c r="I47" t="inlineStr">
        <is>
          <t>GBP</t>
        </is>
      </c>
      <c r="J47" s="7" t="n">
        <v>3.4</v>
      </c>
      <c r="K47" t="inlineStr">
        <is>
          <t>SYRM</t>
        </is>
      </c>
      <c r="L47" t="inlineStr">
        <is>
          <t>Liquidity sweep</t>
        </is>
      </c>
      <c r="M47" s="8" t="n">
        <v>46251.39883101852</v>
      </c>
      <c r="N47" t="inlineStr">
        <is>
          <t>Oakley Rhodes</t>
        </is>
      </c>
      <c r="O47" s="8" t="n">
        <v>46251.44396990741</v>
      </c>
      <c r="P47" t="inlineStr">
        <is>
          <t>Kai Merrick</t>
        </is>
      </c>
      <c r="Q47" t="inlineStr">
        <is>
          <t>LEDGER_OR_CASHFLOW_RECEIVED</t>
        </is>
      </c>
      <c r="R47" t="inlineStr">
        <is>
          <t>SYRM_ACKNOWLEDGED</t>
        </is>
      </c>
      <c r="S47" t="inlineStr">
        <is>
          <t>View details</t>
        </is>
      </c>
    </row>
    <row r="48">
      <c r="A48" t="inlineStr">
        <is>
          <t>968942362772</t>
        </is>
      </c>
      <c r="B48" t="inlineStr">
        <is>
          <t>Wrenfield Bank Paris</t>
        </is>
      </c>
      <c r="C48" t="inlineStr">
        <is>
          <t>794226063698</t>
        </is>
      </c>
      <c r="D48" t="inlineStr">
        <is>
          <t>Wrenfield Clearing Mexico City</t>
        </is>
      </c>
      <c r="E48" t="inlineStr">
        <is>
          <t>EUR</t>
        </is>
      </c>
      <c r="F48" t="inlineStr">
        <is>
          <t>NT26081700042</t>
        </is>
      </c>
      <c r="G48" s="6" t="n">
        <v>46251</v>
      </c>
      <c r="H48" s="7" t="n">
        <v>715797.764</v>
      </c>
      <c r="I48" t="inlineStr">
        <is>
          <t>GBP</t>
        </is>
      </c>
      <c r="J48" s="7" t="n">
        <v>614154.482</v>
      </c>
      <c r="K48" t="inlineStr">
        <is>
          <t>SYRM</t>
        </is>
      </c>
      <c r="L48" t="inlineStr">
        <is>
          <t>Intraday top-up</t>
        </is>
      </c>
      <c r="M48" s="8" t="n">
        <v>46251.31579861111</v>
      </c>
      <c r="N48" t="inlineStr">
        <is>
          <t>Greer Osgood</t>
        </is>
      </c>
      <c r="O48" s="8" t="n"/>
      <c r="Q48" t="inlineStr">
        <is>
          <t>PENDING_APPROVAL</t>
        </is>
      </c>
      <c r="R48" t="inlineStr">
        <is>
          <t>SYRM_ACKNOWLEDGED</t>
        </is>
      </c>
      <c r="S48" t="inlineStr">
        <is>
          <t>View details</t>
        </is>
      </c>
    </row>
    <row r="49">
      <c r="A49" t="inlineStr">
        <is>
          <t>150316825069</t>
        </is>
      </c>
      <c r="B49" t="inlineStr">
        <is>
          <t>Pinehurst Commercial Bank Sydney</t>
        </is>
      </c>
      <c r="C49" t="inlineStr">
        <is>
          <t>968942362772</t>
        </is>
      </c>
      <c r="D49" t="inlineStr">
        <is>
          <t>Kestrel Bank Frankfurt</t>
        </is>
      </c>
      <c r="E49" t="inlineStr">
        <is>
          <t>GBP</t>
        </is>
      </c>
      <c r="F49" t="inlineStr">
        <is>
          <t>NT26081700043</t>
        </is>
      </c>
      <c r="G49" s="6" t="n">
        <v>46251</v>
      </c>
      <c r="H49" s="7" t="n">
        <v>100719.669</v>
      </c>
      <c r="I49" t="inlineStr">
        <is>
          <t>GBP</t>
        </is>
      </c>
      <c r="J49" s="7" t="n">
        <v>100719.669</v>
      </c>
      <c r="K49" t="inlineStr">
        <is>
          <t>SYRM</t>
        </is>
      </c>
      <c r="L49" t="inlineStr">
        <is>
          <t>Balance alignment</t>
        </is>
      </c>
      <c r="M49" s="8" t="n">
        <v>46251.64971064815</v>
      </c>
      <c r="N49" t="inlineStr">
        <is>
          <t>Devon Calloway</t>
        </is>
      </c>
      <c r="O49" s="8" t="n">
        <v>46251.68304398148</v>
      </c>
      <c r="P49" t="inlineStr">
        <is>
          <t>Quinn Brookes</t>
        </is>
      </c>
      <c r="Q49" t="inlineStr">
        <is>
          <t>LEDGER_OR_CASHFLOW_RECEIVED</t>
        </is>
      </c>
      <c r="R49" t="inlineStr">
        <is>
          <t>SYRM_ACKNOWLEDGED</t>
        </is>
      </c>
      <c r="S49" t="inlineStr">
        <is>
          <t>View details</t>
        </is>
      </c>
    </row>
    <row r="50">
      <c r="A50" t="inlineStr">
        <is>
          <t>794226063698</t>
        </is>
      </c>
      <c r="B50" t="inlineStr">
        <is>
          <t>Redstart Trust Mexico City</t>
        </is>
      </c>
      <c r="C50" t="inlineStr">
        <is>
          <t>265771593142</t>
        </is>
      </c>
      <c r="D50" t="inlineStr">
        <is>
          <t>Redstart Commercial Bank Stockholm</t>
        </is>
      </c>
      <c r="E50" t="inlineStr">
        <is>
          <t>AED</t>
        </is>
      </c>
      <c r="F50" t="inlineStr">
        <is>
          <t>NT26081700044</t>
        </is>
      </c>
      <c r="G50" s="6" t="n">
        <v>46251</v>
      </c>
      <c r="H50" s="7" t="n">
        <v>1306520.763</v>
      </c>
      <c r="I50" t="inlineStr">
        <is>
          <t>GBP</t>
        </is>
      </c>
      <c r="J50" s="7" t="n">
        <v>278288.923</v>
      </c>
      <c r="K50" t="inlineStr">
        <is>
          <t>SYRM</t>
        </is>
      </c>
      <c r="L50" t="inlineStr">
        <is>
          <t>Liquidity sweep</t>
        </is>
      </c>
      <c r="M50" s="8" t="n">
        <v>46251.64965277778</v>
      </c>
      <c r="N50" t="inlineStr">
        <is>
          <t>Noor Brookes</t>
        </is>
      </c>
      <c r="O50" s="8" t="n">
        <v>46251.68506944444</v>
      </c>
      <c r="P50" t="inlineStr">
        <is>
          <t>Harper Hollis</t>
        </is>
      </c>
      <c r="Q50" t="inlineStr">
        <is>
          <t>LEDGER_OR_CASHFLOW_RECEIVED</t>
        </is>
      </c>
      <c r="R50" t="inlineStr">
        <is>
          <t>SYRM_ACKNOWLEDGED</t>
        </is>
      </c>
      <c r="S50" t="inlineStr">
        <is>
          <t>View details</t>
        </is>
      </c>
    </row>
    <row r="51">
      <c r="A51" t="inlineStr">
        <is>
          <t>284925023085</t>
        </is>
      </c>
      <c r="B51" t="inlineStr">
        <is>
          <t>Pinehurst Commercial Bank Sydney</t>
        </is>
      </c>
      <c r="C51" t="inlineStr">
        <is>
          <t>910703979141</t>
        </is>
      </c>
      <c r="D51" t="inlineStr">
        <is>
          <t>Mallow Trust Frankfurt</t>
        </is>
      </c>
      <c r="E51" t="inlineStr">
        <is>
          <t>MXN</t>
        </is>
      </c>
      <c r="F51" t="inlineStr">
        <is>
          <t>NT26081700045</t>
        </is>
      </c>
      <c r="G51" s="6" t="n">
        <v>46251</v>
      </c>
      <c r="H51" s="7" t="n">
        <v>28877975915.399</v>
      </c>
      <c r="I51" t="inlineStr">
        <is>
          <t>GBP</t>
        </is>
      </c>
      <c r="J51" s="7" t="n">
        <v>1235977369.179</v>
      </c>
      <c r="K51" t="inlineStr">
        <is>
          <t>SYRM</t>
        </is>
      </c>
      <c r="L51" t="inlineStr"/>
      <c r="M51" s="8" t="n">
        <v>46251.34103009259</v>
      </c>
      <c r="N51" t="inlineStr">
        <is>
          <t>Oakley Prentice</t>
        </is>
      </c>
      <c r="O51" s="8" t="n">
        <v>46251.40283564815</v>
      </c>
      <c r="P51" t="inlineStr">
        <is>
          <t>Finley Jennings</t>
        </is>
      </c>
      <c r="Q51" t="inlineStr">
        <is>
          <t>LEDGER_OR_CASHFLOW_RECEIVED</t>
        </is>
      </c>
      <c r="R51" t="inlineStr">
        <is>
          <t>SYRM_ACKNOWLEDGED</t>
        </is>
      </c>
      <c r="S51" t="inlineStr">
        <is>
          <t>View details</t>
        </is>
      </c>
    </row>
    <row r="52">
      <c r="A52" t="inlineStr">
        <is>
          <t>700726936098</t>
        </is>
      </c>
      <c r="B52" t="inlineStr">
        <is>
          <t>Dunlin Commercial Bank Warsaw</t>
        </is>
      </c>
      <c r="C52" t="inlineStr">
        <is>
          <t>150316825069</t>
        </is>
      </c>
      <c r="D52" t="inlineStr">
        <is>
          <t>Juniper Clearing New York</t>
        </is>
      </c>
      <c r="E52" t="inlineStr">
        <is>
          <t>SAR</t>
        </is>
      </c>
      <c r="F52" t="inlineStr">
        <is>
          <t>NT26081700046</t>
        </is>
      </c>
      <c r="G52" s="6" t="n">
        <v>46251</v>
      </c>
      <c r="H52" s="7" t="n">
        <v>13427702.905</v>
      </c>
      <c r="I52" t="inlineStr">
        <is>
          <t>GBP</t>
        </is>
      </c>
      <c r="J52" s="7" t="n">
        <v>2806389.907</v>
      </c>
      <c r="K52" t="inlineStr">
        <is>
          <t>SYRM</t>
        </is>
      </c>
      <c r="L52" t="inlineStr">
        <is>
          <t>Balance alignment</t>
        </is>
      </c>
      <c r="M52" s="8" t="n">
        <v>46251.36806712963</v>
      </c>
      <c r="N52" t="inlineStr">
        <is>
          <t>Quinn Kirby</t>
        </is>
      </c>
      <c r="O52" s="8" t="n">
        <v>46251.37917824074</v>
      </c>
      <c r="P52" t="inlineStr">
        <is>
          <t>Quinn Brookes</t>
        </is>
      </c>
      <c r="Q52" t="inlineStr">
        <is>
          <t>CASHFLOW_RECEIVED</t>
        </is>
      </c>
      <c r="R52" t="inlineStr">
        <is>
          <t>SYRM_ACKNOWLEDGED</t>
        </is>
      </c>
      <c r="S52" t="inlineStr">
        <is>
          <t>View details</t>
        </is>
      </c>
    </row>
    <row r="53">
      <c r="A53" t="inlineStr">
        <is>
          <t>726928343448</t>
        </is>
      </c>
      <c r="B53" t="inlineStr">
        <is>
          <t>Oriel Settlement Bank Madrid</t>
        </is>
      </c>
      <c r="C53" t="inlineStr">
        <is>
          <t>132544340094</t>
        </is>
      </c>
      <c r="D53" t="inlineStr">
        <is>
          <t>Wrenfield Clearing Mexico City</t>
        </is>
      </c>
      <c r="E53" t="inlineStr">
        <is>
          <t>EUR</t>
        </is>
      </c>
      <c r="F53" t="inlineStr">
        <is>
          <t>NT26081700047</t>
        </is>
      </c>
      <c r="G53" s="6" t="n">
        <v>46251</v>
      </c>
      <c r="H53" s="7" t="n">
        <v>88414.034</v>
      </c>
      <c r="I53" t="inlineStr">
        <is>
          <t>GBP</t>
        </is>
      </c>
      <c r="J53" s="7" t="n">
        <v>75859.24099999999</v>
      </c>
      <c r="K53" t="inlineStr">
        <is>
          <t>SWIFT</t>
        </is>
      </c>
      <c r="L53" t="inlineStr"/>
      <c r="M53" s="8" t="n">
        <v>46251.52978009259</v>
      </c>
      <c r="N53" t="inlineStr">
        <is>
          <t>Marlow Rhodes</t>
        </is>
      </c>
      <c r="O53" s="8" t="n">
        <v>46251.56728009259</v>
      </c>
      <c r="P53" t="inlineStr">
        <is>
          <t>Greer Osgood</t>
        </is>
      </c>
      <c r="Q53" t="inlineStr">
        <is>
          <t>LEDGER_OR_CASHFLOW_RECEIVED</t>
        </is>
      </c>
      <c r="R53" t="inlineStr">
        <is>
          <t>SYRM_ACKNOWLEDGED</t>
        </is>
      </c>
      <c r="S53" t="inlineStr">
        <is>
          <t>View details</t>
        </is>
      </c>
    </row>
    <row r="54">
      <c r="A54" t="inlineStr">
        <is>
          <t>499062838623</t>
        </is>
      </c>
      <c r="B54" t="inlineStr">
        <is>
          <t>Oriel Commercial Bank Toronto</t>
        </is>
      </c>
      <c r="C54" t="inlineStr">
        <is>
          <t>468341071172</t>
        </is>
      </c>
      <c r="D54" t="inlineStr">
        <is>
          <t>Kestrel Bank Frankfurt</t>
        </is>
      </c>
      <c r="E54" t="inlineStr">
        <is>
          <t>USD</t>
        </is>
      </c>
      <c r="F54" t="inlineStr">
        <is>
          <t>NT26081700048</t>
        </is>
      </c>
      <c r="G54" s="6" t="n">
        <v>46251</v>
      </c>
      <c r="H54" s="7" t="n">
        <v>96574583.38699999</v>
      </c>
      <c r="I54" t="inlineStr">
        <is>
          <t>GBP</t>
        </is>
      </c>
      <c r="J54" s="7" t="n">
        <v>75714473.375</v>
      </c>
      <c r="K54" t="inlineStr">
        <is>
          <t>SYRM</t>
        </is>
      </c>
      <c r="L54" t="inlineStr">
        <is>
          <t>Balance alignment</t>
        </is>
      </c>
      <c r="M54" s="8" t="n">
        <v>46251.59730324074</v>
      </c>
      <c r="N54" t="inlineStr">
        <is>
          <t>Marlow Sinclair</t>
        </is>
      </c>
      <c r="O54" s="8" t="n">
        <v>46251.63549768519</v>
      </c>
      <c r="P54" t="inlineStr">
        <is>
          <t>Finley Jennings</t>
        </is>
      </c>
      <c r="Q54" t="inlineStr">
        <is>
          <t>LEDGER_RECEIVED</t>
        </is>
      </c>
      <c r="R54" t="inlineStr">
        <is>
          <t>SYRM_ACKNOWLEDGED</t>
        </is>
      </c>
      <c r="S54" t="inlineStr">
        <is>
          <t>View details</t>
        </is>
      </c>
    </row>
    <row r="55">
      <c r="A55" t="inlineStr">
        <is>
          <t>359365220160</t>
        </is>
      </c>
      <c r="B55" t="inlineStr">
        <is>
          <t>Mallow Settlement Bank Oslo</t>
        </is>
      </c>
      <c r="C55" t="inlineStr">
        <is>
          <t>700726936098</t>
        </is>
      </c>
      <c r="D55" t="inlineStr">
        <is>
          <t>Juniper Bank Warsaw</t>
        </is>
      </c>
      <c r="E55" t="inlineStr">
        <is>
          <t>EUR</t>
        </is>
      </c>
      <c r="F55" t="inlineStr">
        <is>
          <t>NT26081700049</t>
        </is>
      </c>
      <c r="G55" s="6" t="n">
        <v>46251</v>
      </c>
      <c r="H55" s="7" t="n">
        <v>195485630.689</v>
      </c>
      <c r="I55" t="inlineStr">
        <is>
          <t>GBP</t>
        </is>
      </c>
      <c r="J55" s="7" t="n">
        <v>167726671.131</v>
      </c>
      <c r="K55" t="inlineStr">
        <is>
          <t>SYRM</t>
        </is>
      </c>
      <c r="L55" t="inlineStr">
        <is>
          <t>Liquidity sweep</t>
        </is>
      </c>
      <c r="M55" s="8" t="n">
        <v>46251.45197916667</v>
      </c>
      <c r="N55" t="inlineStr">
        <is>
          <t>Quinn Kirby</t>
        </is>
      </c>
      <c r="O55" s="8" t="n">
        <v>46251.49920138889</v>
      </c>
      <c r="P55" t="inlineStr">
        <is>
          <t>Oakley Rhodes</t>
        </is>
      </c>
      <c r="Q55" t="inlineStr">
        <is>
          <t>LEDGER_OR_CASHFLOW_RECEIVED</t>
        </is>
      </c>
      <c r="R55" t="inlineStr">
        <is>
          <t>SYRM_ACKNOWLEDGED</t>
        </is>
      </c>
      <c r="S55" t="inlineStr">
        <is>
          <t>View details</t>
        </is>
      </c>
    </row>
    <row r="56">
      <c r="A56" t="inlineStr">
        <is>
          <t>898317028833</t>
        </is>
      </c>
      <c r="B56" t="inlineStr">
        <is>
          <t>Nightjar Clearing Dublin</t>
        </is>
      </c>
      <c r="C56" t="inlineStr">
        <is>
          <t>499062838623</t>
        </is>
      </c>
      <c r="D56" t="inlineStr">
        <is>
          <t>Wrenfield Bank Paris</t>
        </is>
      </c>
      <c r="E56" t="inlineStr">
        <is>
          <t>GBP</t>
        </is>
      </c>
      <c r="F56" t="inlineStr">
        <is>
          <t>NT26081700050</t>
        </is>
      </c>
      <c r="G56" s="6" t="n">
        <v>46251</v>
      </c>
      <c r="H56" s="7" t="n">
        <v>242219580.708</v>
      </c>
      <c r="I56" t="inlineStr">
        <is>
          <t>GBP</t>
        </is>
      </c>
      <c r="J56" s="7" t="n">
        <v>242219580.708</v>
      </c>
      <c r="K56" t="inlineStr">
        <is>
          <t>INTERNAL</t>
        </is>
      </c>
      <c r="L56" t="inlineStr">
        <is>
          <t>Liquidity sweep</t>
        </is>
      </c>
      <c r="M56" s="8" t="n">
        <v>46251.66236111111</v>
      </c>
      <c r="N56" t="inlineStr">
        <is>
          <t>Oakley Prentice</t>
        </is>
      </c>
      <c r="O56" s="8" t="n">
        <v>46251.69430555555</v>
      </c>
      <c r="P56" t="inlineStr">
        <is>
          <t>Oakley Fairweather</t>
        </is>
      </c>
      <c r="Q56" t="inlineStr">
        <is>
          <t>LEDGER_OR_CASHFLOW_RECEIVED</t>
        </is>
      </c>
      <c r="R56" t="inlineStr">
        <is>
          <t>SYRM_ACKNOWLEDGED</t>
        </is>
      </c>
      <c r="S56" t="inlineStr">
        <is>
          <t>View details</t>
        </is>
      </c>
    </row>
    <row r="57">
      <c r="A57" t="inlineStr">
        <is>
          <t>824840705580</t>
        </is>
      </c>
      <c r="B57" t="inlineStr">
        <is>
          <t>Bramble Settlement Bank Hong Kong</t>
        </is>
      </c>
      <c r="C57" t="inlineStr">
        <is>
          <t>150316825069</t>
        </is>
      </c>
      <c r="D57" t="inlineStr">
        <is>
          <t>Larkspur Trust Hong Kong</t>
        </is>
      </c>
      <c r="E57" t="inlineStr">
        <is>
          <t>EUR</t>
        </is>
      </c>
      <c r="F57" t="inlineStr">
        <is>
          <t>NT26081700051</t>
        </is>
      </c>
      <c r="G57" s="6" t="n">
        <v>46251</v>
      </c>
      <c r="H57" s="7" t="n">
        <v>747063.078</v>
      </c>
      <c r="I57" t="inlineStr">
        <is>
          <t>GBP</t>
        </is>
      </c>
      <c r="J57" s="7" t="n">
        <v>640980.121</v>
      </c>
      <c r="K57" t="inlineStr">
        <is>
          <t>SYRM</t>
        </is>
      </c>
      <c r="L57" t="inlineStr">
        <is>
          <t>Intraday top-up</t>
        </is>
      </c>
      <c r="M57" s="8" t="n">
        <v>46251.3468287037</v>
      </c>
      <c r="N57" t="inlineStr">
        <is>
          <t>Finley Jennings</t>
        </is>
      </c>
      <c r="O57" s="8" t="n">
        <v>46251.34821759259</v>
      </c>
      <c r="P57" t="inlineStr">
        <is>
          <t>Harper Hollis</t>
        </is>
      </c>
      <c r="Q57" t="inlineStr">
        <is>
          <t>CASHFLOW_RECEIVED</t>
        </is>
      </c>
      <c r="R57" t="inlineStr">
        <is>
          <t>SYRM_ACKNOWLEDGED</t>
        </is>
      </c>
      <c r="S57" t="inlineStr">
        <is>
          <t>View details</t>
        </is>
      </c>
    </row>
    <row r="58">
      <c r="A58" t="inlineStr">
        <is>
          <t>150316825069</t>
        </is>
      </c>
      <c r="B58" t="inlineStr">
        <is>
          <t>Juniper Commercial Bank Warsaw</t>
        </is>
      </c>
      <c r="C58" t="inlineStr">
        <is>
          <t>621381112674</t>
        </is>
      </c>
      <c r="D58" t="inlineStr">
        <is>
          <t>Bramble Clearing Milan</t>
        </is>
      </c>
      <c r="E58" t="inlineStr">
        <is>
          <t>GBP</t>
        </is>
      </c>
      <c r="F58" t="inlineStr">
        <is>
          <t>NT26081700052</t>
        </is>
      </c>
      <c r="G58" s="6" t="n">
        <v>46251</v>
      </c>
      <c r="H58" s="7" t="n">
        <v>54360358.262</v>
      </c>
      <c r="I58" t="inlineStr">
        <is>
          <t>GBP</t>
        </is>
      </c>
      <c r="J58" s="7" t="n">
        <v>54360358.262</v>
      </c>
      <c r="K58" t="inlineStr">
        <is>
          <t>SYRM</t>
        </is>
      </c>
      <c r="L58" t="inlineStr">
        <is>
          <t>Funding move</t>
        </is>
      </c>
      <c r="M58" s="8" t="n">
        <v>46251.70232638889</v>
      </c>
      <c r="N58" t="inlineStr">
        <is>
          <t>Lennox Ellison</t>
        </is>
      </c>
      <c r="O58" s="8" t="n">
        <v>46251.74260416667</v>
      </c>
      <c r="P58" t="inlineStr">
        <is>
          <t>Harper Calloway</t>
        </is>
      </c>
      <c r="Q58" t="inlineStr">
        <is>
          <t>LEDGER_OR_CASHFLOW_RECEIVED</t>
        </is>
      </c>
      <c r="R58" t="inlineStr">
        <is>
          <t>SYRM_ACKNOWLEDGED</t>
        </is>
      </c>
      <c r="S58" t="inlineStr">
        <is>
          <t>View details</t>
        </is>
      </c>
    </row>
    <row r="59">
      <c r="A59" t="inlineStr">
        <is>
          <t>968942362772</t>
        </is>
      </c>
      <c r="B59" t="inlineStr">
        <is>
          <t>Juniper Clearing New York</t>
        </is>
      </c>
      <c r="C59" t="inlineStr">
        <is>
          <t>794226063698</t>
        </is>
      </c>
      <c r="D59" t="inlineStr">
        <is>
          <t>Pinehurst Trust Toronto</t>
        </is>
      </c>
      <c r="E59" t="inlineStr">
        <is>
          <t>EUR</t>
        </is>
      </c>
      <c r="F59" t="inlineStr">
        <is>
          <t>NT26081700053</t>
        </is>
      </c>
      <c r="G59" s="6" t="n">
        <v>46251</v>
      </c>
      <c r="H59" s="7" t="n">
        <v>8221793.124</v>
      </c>
      <c r="I59" t="inlineStr">
        <is>
          <t>GBP</t>
        </is>
      </c>
      <c r="J59" s="7" t="n">
        <v>7054298.5</v>
      </c>
      <c r="K59" t="inlineStr">
        <is>
          <t>SYRM</t>
        </is>
      </c>
      <c r="L59" t="inlineStr">
        <is>
          <t>Liquidity sweep</t>
        </is>
      </c>
      <c r="M59" s="8" t="n">
        <v>46251.75714120371</v>
      </c>
      <c r="N59" t="inlineStr">
        <is>
          <t>Quinn Hollis</t>
        </is>
      </c>
      <c r="O59" s="8" t="n">
        <v>46251.76755787037</v>
      </c>
      <c r="P59" t="inlineStr">
        <is>
          <t>Noor Thorne</t>
        </is>
      </c>
      <c r="Q59" t="inlineStr">
        <is>
          <t>LEDGER_OR_CASHFLOW_RECEIVED</t>
        </is>
      </c>
      <c r="R59" t="inlineStr">
        <is>
          <t>SYRM_ACKNOWLEDGED</t>
        </is>
      </c>
      <c r="S59" t="inlineStr">
        <is>
          <t>View details</t>
        </is>
      </c>
    </row>
    <row r="60">
      <c r="A60" t="inlineStr">
        <is>
          <t>150316825069</t>
        </is>
      </c>
      <c r="B60" t="inlineStr">
        <is>
          <t>Cedar Clearing New York</t>
        </is>
      </c>
      <c r="C60" t="inlineStr">
        <is>
          <t>171857983160</t>
        </is>
      </c>
      <c r="D60" t="inlineStr">
        <is>
          <t>Pinehurst Settlement Bank Frankfurt</t>
        </is>
      </c>
      <c r="E60" t="inlineStr">
        <is>
          <t>GBP</t>
        </is>
      </c>
      <c r="F60" t="inlineStr">
        <is>
          <t>NT26081700054</t>
        </is>
      </c>
      <c r="G60" s="6" t="n">
        <v>46251</v>
      </c>
      <c r="H60" s="7" t="n">
        <v>1720755.483</v>
      </c>
      <c r="I60" t="inlineStr">
        <is>
          <t>GBP</t>
        </is>
      </c>
      <c r="J60" s="7" t="n">
        <v>1720755.483</v>
      </c>
      <c r="K60" t="inlineStr">
        <is>
          <t>SYRM</t>
        </is>
      </c>
      <c r="L60" t="inlineStr">
        <is>
          <t>Funding move</t>
        </is>
      </c>
      <c r="M60" s="8" t="n">
        <v>46251.51743055556</v>
      </c>
      <c r="N60" t="inlineStr">
        <is>
          <t>Noor Thorne</t>
        </is>
      </c>
      <c r="O60" s="8" t="n">
        <v>46251.55770833333</v>
      </c>
      <c r="P60" t="inlineStr">
        <is>
          <t>Marlow Rhodes</t>
        </is>
      </c>
      <c r="Q60" t="inlineStr">
        <is>
          <t>LEDGER_OR_CASHFLOW_RECEIVED</t>
        </is>
      </c>
      <c r="R60" t="inlineStr">
        <is>
          <t>SYRM_ACKNOWLEDGED</t>
        </is>
      </c>
      <c r="S60" t="inlineStr">
        <is>
          <t>View details</t>
        </is>
      </c>
    </row>
    <row r="61">
      <c r="A61" t="inlineStr">
        <is>
          <t>499062838623</t>
        </is>
      </c>
      <c r="B61" t="inlineStr">
        <is>
          <t>Wrenfield Clearing Mexico City</t>
        </is>
      </c>
      <c r="C61" t="inlineStr">
        <is>
          <t>726928343448</t>
        </is>
      </c>
      <c r="D61" t="inlineStr">
        <is>
          <t>Mallow Trust Frankfurt</t>
        </is>
      </c>
      <c r="E61" t="inlineStr">
        <is>
          <t>USD</t>
        </is>
      </c>
      <c r="F61" t="inlineStr">
        <is>
          <t>NT26081700055</t>
        </is>
      </c>
      <c r="G61" s="6" t="n">
        <v>46251</v>
      </c>
      <c r="H61" s="7" t="n">
        <v>146187.176</v>
      </c>
      <c r="I61" t="inlineStr">
        <is>
          <t>GBP</t>
        </is>
      </c>
      <c r="J61" s="7" t="n">
        <v>114610.746</v>
      </c>
      <c r="K61" t="inlineStr">
        <is>
          <t>SYRM</t>
        </is>
      </c>
      <c r="L61" t="inlineStr">
        <is>
          <t>Funding move</t>
        </is>
      </c>
      <c r="M61" s="8" t="n">
        <v>46251.70256944445</v>
      </c>
      <c r="N61" t="inlineStr">
        <is>
          <t>Tatum Ashford</t>
        </is>
      </c>
      <c r="O61" s="8" t="n">
        <v>46251.758125</v>
      </c>
      <c r="P61" t="inlineStr">
        <is>
          <t>Oakley Rhodes</t>
        </is>
      </c>
      <c r="Q61" t="inlineStr">
        <is>
          <t>LEDGER_OR_CASHFLOW_RECEIVED</t>
        </is>
      </c>
      <c r="R61" t="inlineStr">
        <is>
          <t>SYRM_ACKNOWLEDGED</t>
        </is>
      </c>
      <c r="S61" t="inlineStr">
        <is>
          <t>View details</t>
        </is>
      </c>
    </row>
    <row r="62">
      <c r="A62" t="inlineStr">
        <is>
          <t>150316825069</t>
        </is>
      </c>
      <c r="B62" t="inlineStr">
        <is>
          <t>Yarrow Bank Stockholm</t>
        </is>
      </c>
      <c r="C62" t="inlineStr">
        <is>
          <t>171857983160</t>
        </is>
      </c>
      <c r="D62" t="inlineStr">
        <is>
          <t>Granite Trust Frankfurt</t>
        </is>
      </c>
      <c r="E62" t="inlineStr">
        <is>
          <t>GBP</t>
        </is>
      </c>
      <c r="F62" t="inlineStr">
        <is>
          <t>NT26081700056</t>
        </is>
      </c>
      <c r="G62" s="6" t="n">
        <v>46251</v>
      </c>
      <c r="H62" s="7" t="n">
        <v>102323018.792</v>
      </c>
      <c r="I62" t="inlineStr">
        <is>
          <t>GBP</t>
        </is>
      </c>
      <c r="J62" s="7" t="n">
        <v>102323018.792</v>
      </c>
      <c r="K62" t="inlineStr">
        <is>
          <t>SYRM</t>
        </is>
      </c>
      <c r="L62" t="inlineStr">
        <is>
          <t>Intraday top-up</t>
        </is>
      </c>
      <c r="M62" s="8" t="n">
        <v>46251.36820601852</v>
      </c>
      <c r="N62" t="inlineStr">
        <is>
          <t>Ellis Delaney</t>
        </is>
      </c>
      <c r="O62" s="8" t="n">
        <v>46251.41820601852</v>
      </c>
      <c r="P62" t="inlineStr">
        <is>
          <t>Wren Hollis</t>
        </is>
      </c>
      <c r="Q62" t="inlineStr">
        <is>
          <t>LEDGER_OR_CASHFLOW_RECEIVED</t>
        </is>
      </c>
      <c r="R62" t="inlineStr">
        <is>
          <t>SYRM_ACKNOWLEDGED</t>
        </is>
      </c>
      <c r="S62" t="inlineStr">
        <is>
          <t>View details</t>
        </is>
      </c>
    </row>
    <row r="63">
      <c r="A63" t="inlineStr">
        <is>
          <t>468341071172</t>
        </is>
      </c>
      <c r="B63" t="inlineStr">
        <is>
          <t>Wrenfield Clearing Mexico City</t>
        </is>
      </c>
      <c r="C63" t="inlineStr">
        <is>
          <t>927538182434</t>
        </is>
      </c>
      <c r="D63" t="inlineStr">
        <is>
          <t>Nightjar Clearing Dublin</t>
        </is>
      </c>
      <c r="E63" t="inlineStr">
        <is>
          <t>EUR</t>
        </is>
      </c>
      <c r="F63" t="inlineStr">
        <is>
          <t>NT26081700057</t>
        </is>
      </c>
      <c r="G63" s="6" t="n">
        <v>46251</v>
      </c>
      <c r="H63" s="7" t="n">
        <v>1983867.666</v>
      </c>
      <c r="I63" t="inlineStr">
        <is>
          <t>GBP</t>
        </is>
      </c>
      <c r="J63" s="7" t="n">
        <v>1702158.457</v>
      </c>
      <c r="K63" t="inlineStr">
        <is>
          <t>SWIFT</t>
        </is>
      </c>
      <c r="L63" t="inlineStr">
        <is>
          <t>Liquidity sweep</t>
        </is>
      </c>
      <c r="M63" s="8" t="n">
        <v>46251.6524074074</v>
      </c>
      <c r="N63" t="inlineStr">
        <is>
          <t>Greer Prentice</t>
        </is>
      </c>
      <c r="O63" s="8" t="n">
        <v>46251.71699074074</v>
      </c>
      <c r="P63" t="inlineStr">
        <is>
          <t>Wren Delaney</t>
        </is>
      </c>
      <c r="Q63" t="inlineStr">
        <is>
          <t>LEDGER_OR_CASHFLOW_RECEIVED</t>
        </is>
      </c>
      <c r="R63" t="inlineStr">
        <is>
          <t>SYRM_ACKNOWLEDGED</t>
        </is>
      </c>
      <c r="S63" t="inlineStr">
        <is>
          <t>View details</t>
        </is>
      </c>
    </row>
    <row r="64">
      <c r="A64" t="inlineStr">
        <is>
          <t>120047354818</t>
        </is>
      </c>
      <c r="B64" t="inlineStr">
        <is>
          <t>Kestrel Bank Frankfurt</t>
        </is>
      </c>
      <c r="C64" t="inlineStr">
        <is>
          <t>265771593142</t>
        </is>
      </c>
      <c r="D64" t="inlineStr">
        <is>
          <t>Yarrow Trust Oslo</t>
        </is>
      </c>
      <c r="E64" t="inlineStr">
        <is>
          <t>USD</t>
        </is>
      </c>
      <c r="F64" t="inlineStr">
        <is>
          <t>NT26081700058</t>
        </is>
      </c>
      <c r="G64" s="6" t="n">
        <v>46251</v>
      </c>
      <c r="H64" s="7" t="n">
        <v>785031.221</v>
      </c>
      <c r="I64" t="inlineStr">
        <is>
          <t>GBP</t>
        </is>
      </c>
      <c r="J64" s="7" t="n">
        <v>615464.477</v>
      </c>
      <c r="K64" t="inlineStr">
        <is>
          <t>SYRM</t>
        </is>
      </c>
      <c r="L64" t="inlineStr">
        <is>
          <t>Intraday top-up</t>
        </is>
      </c>
      <c r="M64" s="8" t="n">
        <v>46251.36231481482</v>
      </c>
      <c r="N64" t="inlineStr">
        <is>
          <t>Blake Fairweather</t>
        </is>
      </c>
      <c r="O64" s="8" t="n">
        <v>46251.39842592592</v>
      </c>
      <c r="P64" t="inlineStr">
        <is>
          <t>Harper Calloway</t>
        </is>
      </c>
      <c r="Q64" t="inlineStr">
        <is>
          <t>LEDGER_OR_CASHFLOW_RECEIVED</t>
        </is>
      </c>
      <c r="R64" t="inlineStr">
        <is>
          <t>SYRM_ACKNOWLEDGED</t>
        </is>
      </c>
      <c r="S64" t="inlineStr">
        <is>
          <t>View details</t>
        </is>
      </c>
    </row>
    <row r="65">
      <c r="A65" t="inlineStr">
        <is>
          <t>150316825069</t>
        </is>
      </c>
      <c r="B65" t="inlineStr">
        <is>
          <t>Mallow Settlement Bank Oslo</t>
        </is>
      </c>
      <c r="C65" t="inlineStr">
        <is>
          <t>265771593142</t>
        </is>
      </c>
      <c r="D65" t="inlineStr">
        <is>
          <t>Pinehurst Commercial Bank Sydney</t>
        </is>
      </c>
      <c r="E65" t="inlineStr">
        <is>
          <t>GBP</t>
        </is>
      </c>
      <c r="F65" t="inlineStr">
        <is>
          <t>NT26081700059</t>
        </is>
      </c>
      <c r="G65" s="6" t="n">
        <v>46251</v>
      </c>
      <c r="H65" s="7" t="n">
        <v>333156951.374</v>
      </c>
      <c r="I65" t="inlineStr">
        <is>
          <t>GBP</t>
        </is>
      </c>
      <c r="J65" s="7" t="n">
        <v>333156951.374</v>
      </c>
      <c r="K65" t="inlineStr">
        <is>
          <t>SYRM</t>
        </is>
      </c>
      <c r="L65" t="inlineStr">
        <is>
          <t>Funding move</t>
        </is>
      </c>
      <c r="M65" s="8" t="n">
        <v>46251.38484953704</v>
      </c>
      <c r="N65" t="inlineStr">
        <is>
          <t>Finley Jennings</t>
        </is>
      </c>
      <c r="O65" s="8" t="n">
        <v>46251.41818287037</v>
      </c>
      <c r="P65" t="inlineStr">
        <is>
          <t>Marlow Thorne</t>
        </is>
      </c>
      <c r="Q65" t="inlineStr">
        <is>
          <t>LEDGER_OR_CASHFLOW_RECEIVED</t>
        </is>
      </c>
      <c r="R65" t="inlineStr">
        <is>
          <t>SYRM_ACKNOWLEDGED</t>
        </is>
      </c>
      <c r="S65" t="inlineStr">
        <is>
          <t>View details</t>
        </is>
      </c>
    </row>
    <row r="66">
      <c r="A66" t="inlineStr">
        <is>
          <t>898317028833</t>
        </is>
      </c>
      <c r="B66" t="inlineStr">
        <is>
          <t>Yarrow Trust Oslo</t>
        </is>
      </c>
      <c r="C66" t="inlineStr">
        <is>
          <t>499062838623</t>
        </is>
      </c>
      <c r="D66" t="inlineStr">
        <is>
          <t>Redstart Commercial Bank Dublin</t>
        </is>
      </c>
      <c r="E66" t="inlineStr">
        <is>
          <t>GBP</t>
        </is>
      </c>
      <c r="F66" t="inlineStr">
        <is>
          <t>NT26081700060</t>
        </is>
      </c>
      <c r="G66" s="6" t="n">
        <v>46251</v>
      </c>
      <c r="H66" s="7" t="n">
        <v>647399356.793</v>
      </c>
      <c r="I66" t="inlineStr">
        <is>
          <t>GBP</t>
        </is>
      </c>
      <c r="J66" s="7" t="n">
        <v>647399356.793</v>
      </c>
      <c r="K66" t="inlineStr">
        <is>
          <t>SYRM</t>
        </is>
      </c>
      <c r="L66" t="inlineStr">
        <is>
          <t>Funding move</t>
        </is>
      </c>
      <c r="M66" s="8" t="n">
        <v>46251.60243055555</v>
      </c>
      <c r="N66" t="inlineStr">
        <is>
          <t>Marlow Thorne</t>
        </is>
      </c>
      <c r="O66" s="8" t="n">
        <v>46251.64826388889</v>
      </c>
      <c r="P66" t="inlineStr">
        <is>
          <t>Wren Fairweather</t>
        </is>
      </c>
      <c r="Q66" t="inlineStr">
        <is>
          <t>LEDGER_OR_CASHFLOW_RECEIVED</t>
        </is>
      </c>
      <c r="R66" t="inlineStr">
        <is>
          <t>SYRM_ACKNOWLEDGED</t>
        </is>
      </c>
      <c r="S66" t="inlineStr">
        <is>
          <t>View details</t>
        </is>
      </c>
    </row>
    <row r="67">
      <c r="A67" t="inlineStr">
        <is>
          <t>968942362772</t>
        </is>
      </c>
      <c r="B67" t="inlineStr">
        <is>
          <t>Umberton Trust Tokyo</t>
        </is>
      </c>
      <c r="C67" t="inlineStr">
        <is>
          <t>726928343448</t>
        </is>
      </c>
      <c r="D67" t="inlineStr">
        <is>
          <t>Redstart Commercial Bank Dublin</t>
        </is>
      </c>
      <c r="E67" t="inlineStr">
        <is>
          <t>EUR</t>
        </is>
      </c>
      <c r="F67" t="inlineStr">
        <is>
          <t>NT26081700061</t>
        </is>
      </c>
      <c r="G67" s="6" t="n">
        <v>46251</v>
      </c>
      <c r="H67" s="7" t="n">
        <v>414290.151</v>
      </c>
      <c r="I67" t="inlineStr">
        <is>
          <t>GBP</t>
        </is>
      </c>
      <c r="J67" s="7" t="n">
        <v>355460.95</v>
      </c>
      <c r="K67" t="inlineStr">
        <is>
          <t>SYRM</t>
        </is>
      </c>
      <c r="L67" t="inlineStr">
        <is>
          <t>Intraday top-up</t>
        </is>
      </c>
      <c r="M67" s="8" t="n">
        <v>46251.45208333333</v>
      </c>
      <c r="N67" t="inlineStr">
        <is>
          <t>Wren Hollis</t>
        </is>
      </c>
      <c r="O67" s="8" t="n">
        <v>46251.47777777778</v>
      </c>
      <c r="P67" t="inlineStr">
        <is>
          <t>Quinn Hollis</t>
        </is>
      </c>
      <c r="Q67" t="inlineStr">
        <is>
          <t>LEDGER_OR_CASHFLOW_RECEIVED</t>
        </is>
      </c>
      <c r="R67" t="inlineStr">
        <is>
          <t>SYRM_ACKNOWLEDGED</t>
        </is>
      </c>
      <c r="S67" t="inlineStr">
        <is>
          <t>View details</t>
        </is>
      </c>
    </row>
    <row r="68">
      <c r="A68" t="inlineStr">
        <is>
          <t>499062838623</t>
        </is>
      </c>
      <c r="B68" t="inlineStr">
        <is>
          <t>Bramble Trust Zurich</t>
        </is>
      </c>
      <c r="C68" t="inlineStr">
        <is>
          <t>499062838623</t>
        </is>
      </c>
      <c r="D68" t="inlineStr">
        <is>
          <t>Kestrel Clearing Oslo</t>
        </is>
      </c>
      <c r="E68" t="inlineStr">
        <is>
          <t>USD</t>
        </is>
      </c>
      <c r="F68" t="inlineStr">
        <is>
          <t>NT26081700062</t>
        </is>
      </c>
      <c r="G68" s="6" t="n">
        <v>46251</v>
      </c>
      <c r="H68" s="7" t="n">
        <v>209442752.834</v>
      </c>
      <c r="I68" t="inlineStr">
        <is>
          <t>GBP</t>
        </is>
      </c>
      <c r="J68" s="7" t="n">
        <v>164203118.222</v>
      </c>
      <c r="K68" t="inlineStr">
        <is>
          <t>SYRM</t>
        </is>
      </c>
      <c r="L68" t="inlineStr">
        <is>
          <t>Liquidity sweep</t>
        </is>
      </c>
      <c r="M68" s="8" t="n">
        <v>46251.58333333334</v>
      </c>
      <c r="N68" t="inlineStr">
        <is>
          <t>Marlow Sinclair</t>
        </is>
      </c>
      <c r="O68" s="8" t="n">
        <v>46251.64236111111</v>
      </c>
      <c r="P68" t="inlineStr">
        <is>
          <t>Quinn Osgood</t>
        </is>
      </c>
      <c r="Q68" t="inlineStr">
        <is>
          <t>LEDGER_OR_CASHFLOW_RECEIVED</t>
        </is>
      </c>
      <c r="R68" t="inlineStr">
        <is>
          <t>SYRM_ACKNOWLEDGED</t>
        </is>
      </c>
      <c r="S68" t="inlineStr">
        <is>
          <t>View details</t>
        </is>
      </c>
    </row>
    <row r="69">
      <c r="A69" t="inlineStr">
        <is>
          <t>150316825069</t>
        </is>
      </c>
      <c r="B69" t="inlineStr">
        <is>
          <t>Mallow Settlement Bank Warsaw</t>
        </is>
      </c>
      <c r="C69" t="inlineStr">
        <is>
          <t>150316825069</t>
        </is>
      </c>
      <c r="D69" t="inlineStr">
        <is>
          <t>Oriel Settlement Bank Madrid</t>
        </is>
      </c>
      <c r="E69" t="inlineStr">
        <is>
          <t>GBP</t>
        </is>
      </c>
      <c r="F69" t="inlineStr">
        <is>
          <t>NT26081700063</t>
        </is>
      </c>
      <c r="G69" s="6" t="n">
        <v>46251</v>
      </c>
      <c r="H69" s="7" t="n">
        <v>141671521.87</v>
      </c>
      <c r="I69" t="inlineStr">
        <is>
          <t>GBP</t>
        </is>
      </c>
      <c r="J69" s="7" t="n">
        <v>141671521.87</v>
      </c>
      <c r="K69" t="inlineStr">
        <is>
          <t>SYRM</t>
        </is>
      </c>
      <c r="L69" t="inlineStr">
        <is>
          <t>Balance alignment</t>
        </is>
      </c>
      <c r="M69" s="8" t="n">
        <v>46251.68008101852</v>
      </c>
      <c r="N69" t="inlineStr">
        <is>
          <t>Quinn Kirby</t>
        </is>
      </c>
      <c r="O69" s="8" t="n">
        <v>46251.73424768518</v>
      </c>
      <c r="P69" t="inlineStr">
        <is>
          <t>Oakley Novak</t>
        </is>
      </c>
      <c r="Q69" t="inlineStr">
        <is>
          <t>LEDGER_OR_CASHFLOW_RECEIVED</t>
        </is>
      </c>
      <c r="R69" t="inlineStr">
        <is>
          <t>SYRM_ACKNOWLEDGED</t>
        </is>
      </c>
      <c r="S69" t="inlineStr">
        <is>
          <t>View details</t>
        </is>
      </c>
    </row>
    <row r="70">
      <c r="A70" t="inlineStr">
        <is>
          <t>794226063698</t>
        </is>
      </c>
      <c r="B70" t="inlineStr">
        <is>
          <t>Granite Trust Frankfurt</t>
        </is>
      </c>
      <c r="C70" t="inlineStr">
        <is>
          <t>927538182434</t>
        </is>
      </c>
      <c r="D70" t="inlineStr">
        <is>
          <t>Zephyr Bank Madrid</t>
        </is>
      </c>
      <c r="E70" t="inlineStr">
        <is>
          <t>AED</t>
        </is>
      </c>
      <c r="F70" t="inlineStr">
        <is>
          <t>NT26081700064</t>
        </is>
      </c>
      <c r="G70" s="6" t="n">
        <v>46251</v>
      </c>
      <c r="H70" s="7" t="n">
        <v>102408.539</v>
      </c>
      <c r="I70" t="inlineStr">
        <is>
          <t>GBP</t>
        </is>
      </c>
      <c r="J70" s="7" t="n">
        <v>21813.019</v>
      </c>
      <c r="K70" t="inlineStr">
        <is>
          <t>SYRM</t>
        </is>
      </c>
      <c r="L70" t="inlineStr"/>
      <c r="M70" s="8" t="n">
        <v>46251.49017361111</v>
      </c>
      <c r="N70" t="inlineStr">
        <is>
          <t>Blake Fairweather</t>
        </is>
      </c>
      <c r="O70" s="8" t="n">
        <v>46251.52489583333</v>
      </c>
      <c r="P70" t="inlineStr">
        <is>
          <t>Devon Jennings</t>
        </is>
      </c>
      <c r="Q70" t="inlineStr">
        <is>
          <t>LEDGER_OR_CASHFLOW_RECEIVED</t>
        </is>
      </c>
      <c r="R70" t="inlineStr">
        <is>
          <t>SYRM_ACKNOWLEDGED</t>
        </is>
      </c>
      <c r="S70" t="inlineStr">
        <is>
          <t>View details</t>
        </is>
      </c>
    </row>
    <row r="71">
      <c r="A71" t="inlineStr">
        <is>
          <t>927538182434</t>
        </is>
      </c>
      <c r="B71" t="inlineStr">
        <is>
          <t>Sablewood Settlement Bank Oslo</t>
        </is>
      </c>
      <c r="C71" t="inlineStr">
        <is>
          <t>150316825069</t>
        </is>
      </c>
      <c r="D71" t="inlineStr">
        <is>
          <t>Kestrel Bank Frankfurt</t>
        </is>
      </c>
      <c r="E71" t="inlineStr">
        <is>
          <t>CNY</t>
        </is>
      </c>
      <c r="F71" t="inlineStr">
        <is>
          <t>NT26081700065</t>
        </is>
      </c>
      <c r="G71" s="6" t="n">
        <v>46251</v>
      </c>
      <c r="H71" s="7" t="n">
        <v>1408499.75</v>
      </c>
      <c r="I71" t="inlineStr">
        <is>
          <t>GBP</t>
        </is>
      </c>
      <c r="J71" s="7" t="n">
        <v>153526.473</v>
      </c>
      <c r="K71" t="inlineStr">
        <is>
          <t>SWIFT</t>
        </is>
      </c>
      <c r="L71" t="inlineStr">
        <is>
          <t>Balance alignment</t>
        </is>
      </c>
      <c r="M71" s="8" t="n">
        <v>46251.23324074074</v>
      </c>
      <c r="N71" t="inlineStr">
        <is>
          <t>Oakley Prentice</t>
        </is>
      </c>
      <c r="O71" s="8" t="n">
        <v>46251.29157407407</v>
      </c>
      <c r="P71" t="inlineStr">
        <is>
          <t>Devon Delaney</t>
        </is>
      </c>
      <c r="Q71" t="inlineStr">
        <is>
          <t>LEDGER_OR_CASHFLOW_RECEIVED</t>
        </is>
      </c>
      <c r="R71" t="inlineStr">
        <is>
          <t>SYRM_ACKNOWLEDGED</t>
        </is>
      </c>
      <c r="S71" t="inlineStr">
        <is>
          <t>View details</t>
        </is>
      </c>
    </row>
    <row r="72">
      <c r="A72" t="inlineStr">
        <is>
          <t>700726936098</t>
        </is>
      </c>
      <c r="B72" t="inlineStr">
        <is>
          <t>Bramble Settlement Bank Hong Kong</t>
        </is>
      </c>
      <c r="C72" t="inlineStr">
        <is>
          <t>468341071172</t>
        </is>
      </c>
      <c r="D72" t="inlineStr">
        <is>
          <t>Zephyr Settlement Bank New York</t>
        </is>
      </c>
      <c r="E72" t="inlineStr">
        <is>
          <t>SAR</t>
        </is>
      </c>
      <c r="F72" t="inlineStr">
        <is>
          <t>NT26081700066</t>
        </is>
      </c>
      <c r="G72" s="6" t="n">
        <v>46251</v>
      </c>
      <c r="H72" s="7" t="n">
        <v>323397332.611</v>
      </c>
      <c r="I72" t="inlineStr">
        <is>
          <t>GBP</t>
        </is>
      </c>
      <c r="J72" s="7" t="n">
        <v>67590042.516</v>
      </c>
      <c r="K72" t="inlineStr">
        <is>
          <t>SWIFT</t>
        </is>
      </c>
      <c r="L72" t="inlineStr">
        <is>
          <t>Balance alignment</t>
        </is>
      </c>
      <c r="M72" s="8" t="n">
        <v>46251.43634259259</v>
      </c>
      <c r="N72" t="inlineStr">
        <is>
          <t>Marlow Sinclair</t>
        </is>
      </c>
      <c r="O72" s="8" t="n">
        <v>46251.50023148148</v>
      </c>
      <c r="P72" t="inlineStr">
        <is>
          <t>Wren Hollis</t>
        </is>
      </c>
      <c r="Q72" t="inlineStr">
        <is>
          <t>LEDGER_RECEIVED</t>
        </is>
      </c>
      <c r="R72" t="inlineStr">
        <is>
          <t>SYRM_ACKNOWLEDGED</t>
        </is>
      </c>
      <c r="S72" t="inlineStr">
        <is>
          <t>View details</t>
        </is>
      </c>
    </row>
    <row r="73">
      <c r="A73" t="inlineStr">
        <is>
          <t>150316825069</t>
        </is>
      </c>
      <c r="B73" t="inlineStr">
        <is>
          <t>Cedar Settlement Bank Hong Kong</t>
        </is>
      </c>
      <c r="C73" t="inlineStr">
        <is>
          <t>113829985108</t>
        </is>
      </c>
      <c r="D73" t="inlineStr">
        <is>
          <t>Nightjar Clearing Dublin</t>
        </is>
      </c>
      <c r="E73" t="inlineStr">
        <is>
          <t>GBP</t>
        </is>
      </c>
      <c r="F73" t="inlineStr">
        <is>
          <t>NT26081700067</t>
        </is>
      </c>
      <c r="G73" s="6" t="n">
        <v>46251</v>
      </c>
      <c r="H73" s="7" t="n">
        <v>3159919.933</v>
      </c>
      <c r="I73" t="inlineStr">
        <is>
          <t>GBP</t>
        </is>
      </c>
      <c r="J73" s="7" t="n">
        <v>3159919.933</v>
      </c>
      <c r="K73" t="inlineStr">
        <is>
          <t>SWIFT</t>
        </is>
      </c>
      <c r="L73" t="inlineStr">
        <is>
          <t>Funding move</t>
        </is>
      </c>
      <c r="M73" s="8" t="n">
        <v>46251.45097222222</v>
      </c>
      <c r="N73" t="inlineStr">
        <is>
          <t>Devon Jennings</t>
        </is>
      </c>
      <c r="O73" s="8" t="n"/>
      <c r="Q73" t="inlineStr">
        <is>
          <t>PENDING_APPROVAL</t>
        </is>
      </c>
      <c r="R73" t="inlineStr">
        <is>
          <t>SYRM_PENDING</t>
        </is>
      </c>
      <c r="S73" t="inlineStr">
        <is>
          <t>View details</t>
        </is>
      </c>
    </row>
    <row r="74">
      <c r="A74" t="inlineStr">
        <is>
          <t>499062838623</t>
        </is>
      </c>
      <c r="B74" t="inlineStr">
        <is>
          <t>Umberton Commercial Bank Mexico City</t>
        </is>
      </c>
      <c r="C74" t="inlineStr">
        <is>
          <t>468341071172</t>
        </is>
      </c>
      <c r="D74" t="inlineStr">
        <is>
          <t>Bramble Commercial Bank Toronto</t>
        </is>
      </c>
      <c r="E74" t="inlineStr">
        <is>
          <t>USD</t>
        </is>
      </c>
      <c r="F74" t="inlineStr">
        <is>
          <t>NT26081700068</t>
        </is>
      </c>
      <c r="G74" s="6" t="n">
        <v>46251</v>
      </c>
      <c r="H74" s="7" t="n">
        <v>46710904.716</v>
      </c>
      <c r="I74" t="inlineStr">
        <is>
          <t>GBP</t>
        </is>
      </c>
      <c r="J74" s="7" t="n">
        <v>36621349.297</v>
      </c>
      <c r="K74" t="inlineStr">
        <is>
          <t>SYRM</t>
        </is>
      </c>
      <c r="L74" t="inlineStr">
        <is>
          <t>Balance alignment</t>
        </is>
      </c>
      <c r="M74" s="8" t="n">
        <v>46251.36872685186</v>
      </c>
      <c r="N74" t="inlineStr">
        <is>
          <t>Harper Calloway</t>
        </is>
      </c>
      <c r="O74" s="8" t="n">
        <v>46251.38331018519</v>
      </c>
      <c r="P74" t="inlineStr">
        <is>
          <t>Finley Jennings</t>
        </is>
      </c>
      <c r="Q74" t="inlineStr">
        <is>
          <t>LEDGER_RECEIVED</t>
        </is>
      </c>
      <c r="R74" t="inlineStr">
        <is>
          <t>SYRM_PENDING</t>
        </is>
      </c>
      <c r="S74" t="inlineStr">
        <is>
          <t>View details</t>
        </is>
      </c>
    </row>
    <row r="75">
      <c r="A75" t="inlineStr">
        <is>
          <t>171857983160</t>
        </is>
      </c>
      <c r="B75" t="inlineStr">
        <is>
          <t>Dunlin Commercial Bank Paris</t>
        </is>
      </c>
      <c r="C75" t="inlineStr">
        <is>
          <t>794226063698</t>
        </is>
      </c>
      <c r="D75" t="inlineStr">
        <is>
          <t>Zephyr Settlement Bank New York</t>
        </is>
      </c>
      <c r="E75" t="inlineStr">
        <is>
          <t>AUD</t>
        </is>
      </c>
      <c r="F75" t="inlineStr">
        <is>
          <t>NT26081700069</t>
        </is>
      </c>
      <c r="G75" s="6" t="n">
        <v>46251</v>
      </c>
      <c r="H75" s="7" t="n">
        <v>18410.563</v>
      </c>
      <c r="I75" t="inlineStr">
        <is>
          <t>GBP</t>
        </is>
      </c>
      <c r="J75" s="7" t="n">
        <v>9444.619000000001</v>
      </c>
      <c r="K75" t="inlineStr">
        <is>
          <t>SYRM</t>
        </is>
      </c>
      <c r="L75" t="inlineStr"/>
      <c r="M75" s="8" t="n">
        <v>46251.59307870371</v>
      </c>
      <c r="N75" t="inlineStr">
        <is>
          <t>Avery Prentice</t>
        </is>
      </c>
      <c r="O75" s="8" t="n">
        <v>46251.63196759259</v>
      </c>
      <c r="P75" t="inlineStr">
        <is>
          <t>Greer Osgood</t>
        </is>
      </c>
      <c r="Q75" t="inlineStr">
        <is>
          <t>LEDGER_OR_CASHFLOW_RECEIVED</t>
        </is>
      </c>
      <c r="R75" t="inlineStr">
        <is>
          <t>SYRM_ACKNOWLEDGED</t>
        </is>
      </c>
      <c r="S75" t="inlineStr">
        <is>
          <t>View details</t>
        </is>
      </c>
    </row>
    <row r="76">
      <c r="A76" t="inlineStr">
        <is>
          <t>910703979141</t>
        </is>
      </c>
      <c r="B76" t="inlineStr">
        <is>
          <t>Bramble Commercial Bank Toronto</t>
        </is>
      </c>
      <c r="C76" t="inlineStr">
        <is>
          <t>150316825069</t>
        </is>
      </c>
      <c r="D76" t="inlineStr">
        <is>
          <t>Redstart Commercial Bank Stockholm</t>
        </is>
      </c>
      <c r="E76" t="inlineStr">
        <is>
          <t>CHF</t>
        </is>
      </c>
      <c r="F76" t="inlineStr">
        <is>
          <t>NT26081700070</t>
        </is>
      </c>
      <c r="G76" s="6" t="n">
        <v>46251</v>
      </c>
      <c r="H76" s="7" t="n">
        <v>61445895.478</v>
      </c>
      <c r="I76" t="inlineStr">
        <is>
          <t>GBP</t>
        </is>
      </c>
      <c r="J76" s="7" t="n">
        <v>55116968.244</v>
      </c>
      <c r="K76" t="inlineStr">
        <is>
          <t>SYRM</t>
        </is>
      </c>
      <c r="L76" t="inlineStr"/>
      <c r="M76" s="8" t="n">
        <v>46251.24310185185</v>
      </c>
      <c r="N76" t="inlineStr">
        <is>
          <t>Greer Prentice</t>
        </is>
      </c>
      <c r="O76" s="8" t="n">
        <v>46251.28546296297</v>
      </c>
      <c r="P76" t="inlineStr">
        <is>
          <t>Ellis Gallagher</t>
        </is>
      </c>
      <c r="Q76" t="inlineStr">
        <is>
          <t>LEDGER_OR_CASHFLOW_RECEIVED</t>
        </is>
      </c>
      <c r="R76" t="inlineStr">
        <is>
          <t>SYRM_ACKNOWLEDGED</t>
        </is>
      </c>
      <c r="S76" t="inlineStr">
        <is>
          <t>View details</t>
        </is>
      </c>
    </row>
    <row r="77">
      <c r="A77" t="inlineStr">
        <is>
          <t>150316825069</t>
        </is>
      </c>
      <c r="B77" t="inlineStr">
        <is>
          <t>Dunlin Commercial Bank Warsaw</t>
        </is>
      </c>
      <c r="C77" t="inlineStr">
        <is>
          <t>150316825069</t>
        </is>
      </c>
      <c r="D77" t="inlineStr">
        <is>
          <t>Mallow Commercial Bank Mexico City</t>
        </is>
      </c>
      <c r="E77" t="inlineStr">
        <is>
          <t>GBP</t>
        </is>
      </c>
      <c r="F77" t="inlineStr">
        <is>
          <t>NT26081700071</t>
        </is>
      </c>
      <c r="G77" s="6" t="n">
        <v>46251</v>
      </c>
      <c r="H77" s="7" t="n">
        <v>109231158.402</v>
      </c>
      <c r="I77" t="inlineStr">
        <is>
          <t>GBP</t>
        </is>
      </c>
      <c r="J77" s="7" t="n">
        <v>109231158.402</v>
      </c>
      <c r="K77" t="inlineStr">
        <is>
          <t>SYRM</t>
        </is>
      </c>
      <c r="L77" t="inlineStr">
        <is>
          <t>Balance alignment</t>
        </is>
      </c>
      <c r="M77" s="8" t="n">
        <v>46251.62612268519</v>
      </c>
      <c r="N77" t="inlineStr">
        <is>
          <t>Kai Merrick</t>
        </is>
      </c>
      <c r="O77" s="8" t="n">
        <v>46251.64278935185</v>
      </c>
      <c r="P77" t="inlineStr">
        <is>
          <t>Kai Calloway</t>
        </is>
      </c>
      <c r="Q77" t="inlineStr">
        <is>
          <t>LEDGER_OR_CASHFLOW_RECEIVED</t>
        </is>
      </c>
      <c r="R77" t="inlineStr">
        <is>
          <t>SYRM_ACKNOWLEDGED</t>
        </is>
      </c>
      <c r="S77" t="inlineStr">
        <is>
          <t>View details</t>
        </is>
      </c>
    </row>
    <row r="78">
      <c r="A78" t="inlineStr">
        <is>
          <t>794226063698</t>
        </is>
      </c>
      <c r="B78" t="inlineStr">
        <is>
          <t>Zephyr Commercial Bank Oslo</t>
        </is>
      </c>
      <c r="C78" t="inlineStr">
        <is>
          <t>794226063698</t>
        </is>
      </c>
      <c r="D78" t="inlineStr">
        <is>
          <t>Pinehurst Settlement Bank Frankfurt</t>
        </is>
      </c>
      <c r="E78" t="inlineStr">
        <is>
          <t>AED</t>
        </is>
      </c>
      <c r="F78" t="inlineStr">
        <is>
          <t>NT26081700072</t>
        </is>
      </c>
      <c r="G78" s="6" t="n">
        <v>46251</v>
      </c>
      <c r="H78" s="7" t="n">
        <v>23785.884</v>
      </c>
      <c r="I78" t="inlineStr">
        <is>
          <t>GBP</t>
        </is>
      </c>
      <c r="J78" s="7" t="n">
        <v>5066.393</v>
      </c>
      <c r="K78" t="inlineStr">
        <is>
          <t>SYRM</t>
        </is>
      </c>
      <c r="L78" t="inlineStr">
        <is>
          <t>Intraday top-up</t>
        </is>
      </c>
      <c r="M78" s="8" t="n">
        <v>46251.41627314815</v>
      </c>
      <c r="N78" t="inlineStr">
        <is>
          <t>Blake Fairweather</t>
        </is>
      </c>
      <c r="O78" s="8" t="n">
        <v>46251.44752314815</v>
      </c>
      <c r="P78" t="inlineStr">
        <is>
          <t>Wren Delaney</t>
        </is>
      </c>
      <c r="Q78" t="inlineStr">
        <is>
          <t>LEDGER_OR_CASHFLOW_RECEIVED</t>
        </is>
      </c>
      <c r="R78" t="inlineStr">
        <is>
          <t>SYRM_ACKNOWLEDGED</t>
        </is>
      </c>
      <c r="S78" t="inlineStr">
        <is>
          <t>View details</t>
        </is>
      </c>
    </row>
    <row r="79">
      <c r="A79" t="inlineStr">
        <is>
          <t>265771593142</t>
        </is>
      </c>
      <c r="B79" t="inlineStr">
        <is>
          <t>Bramble Commercial Bank Toronto</t>
        </is>
      </c>
      <c r="C79" t="inlineStr">
        <is>
          <t>794226063698</t>
        </is>
      </c>
      <c r="D79" t="inlineStr">
        <is>
          <t>Ironbark Clearing Frankfurt</t>
        </is>
      </c>
      <c r="E79" t="inlineStr">
        <is>
          <t>EUR</t>
        </is>
      </c>
      <c r="F79" t="inlineStr">
        <is>
          <t>NT26081700073</t>
        </is>
      </c>
      <c r="G79" s="6" t="n">
        <v>46251</v>
      </c>
      <c r="H79" s="7" t="n">
        <v>36691.344</v>
      </c>
      <c r="I79" t="inlineStr">
        <is>
          <t>GBP</t>
        </is>
      </c>
      <c r="J79" s="7" t="n">
        <v>31481.173</v>
      </c>
      <c r="K79" t="inlineStr">
        <is>
          <t>SYRM</t>
        </is>
      </c>
      <c r="L79" t="inlineStr"/>
      <c r="M79" s="8" t="n">
        <v>46251.59738425926</v>
      </c>
      <c r="N79" t="inlineStr">
        <is>
          <t>Quinn Brookes</t>
        </is>
      </c>
      <c r="O79" s="8" t="n">
        <v>46251.65155092593</v>
      </c>
      <c r="P79" t="inlineStr">
        <is>
          <t>Devon Calloway</t>
        </is>
      </c>
      <c r="Q79" t="inlineStr">
        <is>
          <t>LEDGER_OR_CASHFLOW_RECEIVED</t>
        </is>
      </c>
      <c r="R79" t="inlineStr">
        <is>
          <t>SYRM_ACKNOWLEDGED</t>
        </is>
      </c>
      <c r="S79" t="inlineStr">
        <is>
          <t>View details</t>
        </is>
      </c>
    </row>
    <row r="80">
      <c r="A80" t="inlineStr">
        <is>
          <t>468341071172</t>
        </is>
      </c>
      <c r="B80" t="inlineStr">
        <is>
          <t>Larkspur Clearing New York</t>
        </is>
      </c>
      <c r="C80" t="inlineStr">
        <is>
          <t>132544340094</t>
        </is>
      </c>
      <c r="D80" t="inlineStr">
        <is>
          <t>Oriel Commercial Bank Toronto</t>
        </is>
      </c>
      <c r="E80" t="inlineStr">
        <is>
          <t>EUR</t>
        </is>
      </c>
      <c r="F80" t="inlineStr">
        <is>
          <t>NT26081700074</t>
        </is>
      </c>
      <c r="G80" s="6" t="n">
        <v>46251</v>
      </c>
      <c r="H80" s="7" t="n">
        <v>510179082.303</v>
      </c>
      <c r="I80" t="inlineStr">
        <is>
          <t>GBP</t>
        </is>
      </c>
      <c r="J80" s="7" t="n">
        <v>437733652.616</v>
      </c>
      <c r="K80" t="inlineStr">
        <is>
          <t>SYRM</t>
        </is>
      </c>
      <c r="L80" t="inlineStr">
        <is>
          <t>Liquidity sweep</t>
        </is>
      </c>
      <c r="M80" s="8" t="n">
        <v>46251.67408564815</v>
      </c>
      <c r="N80" t="inlineStr">
        <is>
          <t>Marlow Sinclair</t>
        </is>
      </c>
      <c r="O80" s="8" t="n">
        <v>46251.68936342592</v>
      </c>
      <c r="P80" t="inlineStr">
        <is>
          <t>Greer Prentice</t>
        </is>
      </c>
      <c r="Q80" t="inlineStr">
        <is>
          <t>LEDGER_OR_CASHFLOW_RECEIVED</t>
        </is>
      </c>
      <c r="R80" t="inlineStr">
        <is>
          <t>SYRM_ACKNOWLEDGED</t>
        </is>
      </c>
      <c r="S80" t="inlineStr">
        <is>
          <t>View details</t>
        </is>
      </c>
    </row>
    <row r="81">
      <c r="A81" t="inlineStr">
        <is>
          <t>968942362772</t>
        </is>
      </c>
      <c r="B81" t="inlineStr">
        <is>
          <t>Larkspur Clearing New York</t>
        </is>
      </c>
      <c r="C81" t="inlineStr">
        <is>
          <t>794226063698</t>
        </is>
      </c>
      <c r="D81" t="inlineStr">
        <is>
          <t>Wrenfield Trust Tokyo</t>
        </is>
      </c>
      <c r="E81" t="inlineStr">
        <is>
          <t>EUR</t>
        </is>
      </c>
      <c r="F81" t="inlineStr">
        <is>
          <t>NT26081700075</t>
        </is>
      </c>
      <c r="G81" s="6" t="n">
        <v>46251</v>
      </c>
      <c r="H81" s="7" t="n">
        <v>19986600.063</v>
      </c>
      <c r="I81" t="inlineStr">
        <is>
          <t>GBP</t>
        </is>
      </c>
      <c r="J81" s="7" t="n">
        <v>17148502.854</v>
      </c>
      <c r="K81" t="inlineStr">
        <is>
          <t>SWIFT</t>
        </is>
      </c>
      <c r="L81" t="inlineStr"/>
      <c r="M81" s="8" t="n">
        <v>46251.38310185185</v>
      </c>
      <c r="N81" t="inlineStr">
        <is>
          <t>Finley Sinclair</t>
        </is>
      </c>
      <c r="O81" s="8" t="n">
        <v>46251.40740740741</v>
      </c>
      <c r="P81" t="inlineStr">
        <is>
          <t>Kai Calloway</t>
        </is>
      </c>
      <c r="Q81" t="inlineStr">
        <is>
          <t>LEDGER_OR_CASHFLOW_RECEIVED</t>
        </is>
      </c>
      <c r="R81" t="inlineStr">
        <is>
          <t>SYRM_ACKNOWLEDGED</t>
        </is>
      </c>
      <c r="S81" t="inlineStr">
        <is>
          <t>View details</t>
        </is>
      </c>
    </row>
    <row r="82">
      <c r="A82" t="inlineStr">
        <is>
          <t>120047354818</t>
        </is>
      </c>
      <c r="B82" t="inlineStr">
        <is>
          <t>Pinehurst Trust Toronto</t>
        </is>
      </c>
      <c r="C82" t="inlineStr">
        <is>
          <t>150316825069</t>
        </is>
      </c>
      <c r="D82" t="inlineStr">
        <is>
          <t>Fernway Trust Tokyo</t>
        </is>
      </c>
      <c r="E82" t="inlineStr">
        <is>
          <t>USD</t>
        </is>
      </c>
      <c r="F82" t="inlineStr">
        <is>
          <t>NT26081700076</t>
        </is>
      </c>
      <c r="G82" s="6" t="n">
        <v>46251</v>
      </c>
      <c r="H82" s="7" t="n">
        <v>125770055.447</v>
      </c>
      <c r="I82" t="inlineStr">
        <is>
          <t>GBP</t>
        </is>
      </c>
      <c r="J82" s="7" t="n">
        <v>98603723.47</v>
      </c>
      <c r="K82" t="inlineStr">
        <is>
          <t>SYRM</t>
        </is>
      </c>
      <c r="L82" t="inlineStr"/>
      <c r="M82" s="8" t="n">
        <v>46251.44603009259</v>
      </c>
      <c r="N82" t="inlineStr">
        <is>
          <t>Avery Prentice</t>
        </is>
      </c>
      <c r="O82" s="8" t="n">
        <v>46251.44811342593</v>
      </c>
      <c r="P82" t="inlineStr">
        <is>
          <t>Oakley Novak</t>
        </is>
      </c>
      <c r="Q82" t="inlineStr">
        <is>
          <t>LEDGER_OR_CASHFLOW_RECEIVED</t>
        </is>
      </c>
      <c r="R82" t="inlineStr">
        <is>
          <t>SYRM_ACKNOWLEDGED</t>
        </is>
      </c>
      <c r="S82" t="inlineStr">
        <is>
          <t>View details</t>
        </is>
      </c>
    </row>
    <row r="83">
      <c r="A83" t="inlineStr">
        <is>
          <t>150316825069</t>
        </is>
      </c>
      <c r="B83" t="inlineStr">
        <is>
          <t>Nightjar Bank Stockholm</t>
        </is>
      </c>
      <c r="C83" t="inlineStr">
        <is>
          <t>171857983160</t>
        </is>
      </c>
      <c r="D83" t="inlineStr">
        <is>
          <t>Pinehurst Settlement Bank Frankfurt</t>
        </is>
      </c>
      <c r="E83" t="inlineStr">
        <is>
          <t>GBP</t>
        </is>
      </c>
      <c r="F83" t="inlineStr">
        <is>
          <t>NT26081700077</t>
        </is>
      </c>
      <c r="G83" s="6" t="n">
        <v>46251</v>
      </c>
      <c r="H83" s="7" t="n">
        <v>42503965.829</v>
      </c>
      <c r="I83" t="inlineStr">
        <is>
          <t>GBP</t>
        </is>
      </c>
      <c r="J83" s="7" t="n">
        <v>42503965.829</v>
      </c>
      <c r="K83" t="inlineStr">
        <is>
          <t>SYRM</t>
        </is>
      </c>
      <c r="L83" t="inlineStr">
        <is>
          <t>Funding move</t>
        </is>
      </c>
      <c r="M83" s="8" t="n">
        <v>46251.33046296296</v>
      </c>
      <c r="N83" t="inlineStr">
        <is>
          <t>Finley Hollis</t>
        </is>
      </c>
      <c r="O83" s="8" t="n">
        <v>46251.37143518519</v>
      </c>
      <c r="P83" t="inlineStr">
        <is>
          <t>Marlow Rhodes</t>
        </is>
      </c>
      <c r="Q83" t="inlineStr">
        <is>
          <t>LEDGER_OR_CASHFLOW_RECEIVED</t>
        </is>
      </c>
      <c r="R83" t="inlineStr">
        <is>
          <t>SYRM_ACKNOWLEDGED</t>
        </is>
      </c>
      <c r="S83" t="inlineStr">
        <is>
          <t>View details</t>
        </is>
      </c>
    </row>
    <row r="84">
      <c r="A84" t="inlineStr">
        <is>
          <t>794226063698</t>
        </is>
      </c>
      <c r="B84" t="inlineStr">
        <is>
          <t>Mallow Settlement Bank Oslo</t>
        </is>
      </c>
      <c r="C84" t="inlineStr">
        <is>
          <t>621381112674</t>
        </is>
      </c>
      <c r="D84" t="inlineStr">
        <is>
          <t>Sablewood Settlement Bank Oslo</t>
        </is>
      </c>
      <c r="E84" t="inlineStr">
        <is>
          <t>AED</t>
        </is>
      </c>
      <c r="F84" t="inlineStr">
        <is>
          <t>NT26081700078</t>
        </is>
      </c>
      <c r="G84" s="6" t="n">
        <v>46251</v>
      </c>
      <c r="H84" s="7" t="n">
        <v>775105.446</v>
      </c>
      <c r="I84" t="inlineStr">
        <is>
          <t>GBP</t>
        </is>
      </c>
      <c r="J84" s="7" t="n">
        <v>165097.46</v>
      </c>
      <c r="K84" t="inlineStr">
        <is>
          <t>SWIFT</t>
        </is>
      </c>
      <c r="L84" t="inlineStr"/>
      <c r="M84" s="8" t="n">
        <v>46251.47871527778</v>
      </c>
      <c r="N84" t="inlineStr">
        <is>
          <t>Greer Osgood</t>
        </is>
      </c>
      <c r="O84" s="8" t="n">
        <v>46251.49260416667</v>
      </c>
      <c r="P84" t="inlineStr">
        <is>
          <t>Finley Jennings</t>
        </is>
      </c>
      <c r="Q84" t="inlineStr">
        <is>
          <t>LEDGER_OR_CASHFLOW_RECEIVED</t>
        </is>
      </c>
      <c r="R84" t="inlineStr">
        <is>
          <t>SYRM_ACKNOWLEDGED</t>
        </is>
      </c>
      <c r="S84" t="inlineStr">
        <is>
          <t>View details</t>
        </is>
      </c>
    </row>
    <row r="85">
      <c r="A85" t="inlineStr">
        <is>
          <t>927538182434</t>
        </is>
      </c>
      <c r="B85" t="inlineStr">
        <is>
          <t>Umberton Trust Tokyo</t>
        </is>
      </c>
      <c r="C85" t="inlineStr">
        <is>
          <t>621381112674</t>
        </is>
      </c>
      <c r="D85" t="inlineStr">
        <is>
          <t>Oriel Settlement Bank Madrid</t>
        </is>
      </c>
      <c r="E85" t="inlineStr">
        <is>
          <t>CNY</t>
        </is>
      </c>
      <c r="F85" t="inlineStr">
        <is>
          <t>NT26081700079</t>
        </is>
      </c>
      <c r="G85" s="6" t="n">
        <v>46251</v>
      </c>
      <c r="H85" s="7" t="n">
        <v>20661397.308</v>
      </c>
      <c r="I85" t="inlineStr">
        <is>
          <t>GBP</t>
        </is>
      </c>
      <c r="J85" s="7" t="n">
        <v>2252092.307</v>
      </c>
      <c r="K85" t="inlineStr">
        <is>
          <t>SYRM</t>
        </is>
      </c>
      <c r="L85" t="inlineStr">
        <is>
          <t>Funding move</t>
        </is>
      </c>
      <c r="M85" s="8" t="n">
        <v>46251.38554398148</v>
      </c>
      <c r="N85" t="inlineStr">
        <is>
          <t>Noor Sinclair</t>
        </is>
      </c>
      <c r="O85" s="8" t="n">
        <v>46251.39596064815</v>
      </c>
      <c r="P85" t="inlineStr">
        <is>
          <t>Quinn Lindqvist</t>
        </is>
      </c>
      <c r="Q85" t="inlineStr">
        <is>
          <t>LEDGER_OR_CASHFLOW_RECEIVED</t>
        </is>
      </c>
      <c r="R85" t="inlineStr">
        <is>
          <t>SYRM_ACKNOWLEDGED</t>
        </is>
      </c>
      <c r="S85" t="inlineStr">
        <is>
          <t>View details</t>
        </is>
      </c>
    </row>
    <row r="86">
      <c r="A86" t="inlineStr">
        <is>
          <t>898317028833</t>
        </is>
      </c>
      <c r="B86" t="inlineStr">
        <is>
          <t>Wrenfield Clearing Frankfurt</t>
        </is>
      </c>
      <c r="C86" t="inlineStr">
        <is>
          <t>359365220160</t>
        </is>
      </c>
      <c r="D86" t="inlineStr">
        <is>
          <t>Bramble Clearing Milan</t>
        </is>
      </c>
      <c r="E86" t="inlineStr">
        <is>
          <t>GBP</t>
        </is>
      </c>
      <c r="F86" t="inlineStr">
        <is>
          <t>NT26081700080</t>
        </is>
      </c>
      <c r="G86" s="6" t="n">
        <v>46251</v>
      </c>
      <c r="H86" s="7" t="n">
        <v>10712515.761</v>
      </c>
      <c r="I86" t="inlineStr">
        <is>
          <t>GBP</t>
        </is>
      </c>
      <c r="J86" s="7" t="n">
        <v>10712515.761</v>
      </c>
      <c r="K86" t="inlineStr">
        <is>
          <t>SYRM</t>
        </is>
      </c>
      <c r="L86" t="inlineStr">
        <is>
          <t>Funding move</t>
        </is>
      </c>
      <c r="M86" s="8" t="n">
        <v>46251.42398148148</v>
      </c>
      <c r="N86" t="inlineStr">
        <is>
          <t>Oakley Rhodes</t>
        </is>
      </c>
      <c r="O86" s="8" t="n">
        <v>46251.44967592593</v>
      </c>
      <c r="P86" t="inlineStr">
        <is>
          <t>Blake Fairweather</t>
        </is>
      </c>
      <c r="Q86" t="inlineStr">
        <is>
          <t>LEDGER_OR_CASHFLOW_RECEIVED</t>
        </is>
      </c>
      <c r="R86" t="inlineStr">
        <is>
          <t>SYRM_ACKNOWLEDGED</t>
        </is>
      </c>
      <c r="S86" t="inlineStr">
        <is>
          <t>View details</t>
        </is>
      </c>
    </row>
    <row r="87">
      <c r="A87" t="inlineStr">
        <is>
          <t>953625291146</t>
        </is>
      </c>
      <c r="B87" t="inlineStr">
        <is>
          <t>Ironbark Trust Dublin</t>
        </is>
      </c>
      <c r="C87" t="inlineStr">
        <is>
          <t>150316825069</t>
        </is>
      </c>
      <c r="D87" t="inlineStr">
        <is>
          <t>Granite Commercial Bank Milan</t>
        </is>
      </c>
      <c r="E87" t="inlineStr">
        <is>
          <t>USD</t>
        </is>
      </c>
      <c r="F87" t="inlineStr">
        <is>
          <t>NT26081700081</t>
        </is>
      </c>
      <c r="G87" s="6" t="n">
        <v>46251</v>
      </c>
      <c r="H87" s="7" t="n">
        <v>305940967.78</v>
      </c>
      <c r="I87" t="inlineStr">
        <is>
          <t>GBP</t>
        </is>
      </c>
      <c r="J87" s="7" t="n">
        <v>239857718.74</v>
      </c>
      <c r="K87" t="inlineStr">
        <is>
          <t>SYRM</t>
        </is>
      </c>
      <c r="L87" t="inlineStr">
        <is>
          <t>Funding move</t>
        </is>
      </c>
      <c r="M87" s="8" t="n">
        <v>46251.37996527777</v>
      </c>
      <c r="N87" t="inlineStr">
        <is>
          <t>Marlow Rhodes</t>
        </is>
      </c>
      <c r="O87" s="8" t="n">
        <v>46251.42510416666</v>
      </c>
      <c r="P87" t="inlineStr">
        <is>
          <t>Ellis Delaney</t>
        </is>
      </c>
      <c r="Q87" t="inlineStr">
        <is>
          <t>LEDGER_RECEIVED</t>
        </is>
      </c>
      <c r="R87" t="inlineStr">
        <is>
          <t>SYRM_ACKNOWLEDGED</t>
        </is>
      </c>
      <c r="S87" t="inlineStr">
        <is>
          <t>View details</t>
        </is>
      </c>
    </row>
    <row r="88">
      <c r="A88" t="inlineStr">
        <is>
          <t>910703979141</t>
        </is>
      </c>
      <c r="B88" t="inlineStr">
        <is>
          <t>Mallow Settlement Bank Oslo</t>
        </is>
      </c>
      <c r="C88" t="inlineStr">
        <is>
          <t>898317028833</t>
        </is>
      </c>
      <c r="D88" t="inlineStr">
        <is>
          <t>Pinehurst Trust Toronto</t>
        </is>
      </c>
      <c r="E88" t="inlineStr">
        <is>
          <t>CHF</t>
        </is>
      </c>
      <c r="F88" t="inlineStr">
        <is>
          <t>NT26081700082</t>
        </is>
      </c>
      <c r="G88" s="6" t="n">
        <v>46251</v>
      </c>
      <c r="H88" s="7" t="n">
        <v>3140425.892</v>
      </c>
      <c r="I88" t="inlineStr">
        <is>
          <t>GBP</t>
        </is>
      </c>
      <c r="J88" s="7" t="n">
        <v>2816962.025</v>
      </c>
      <c r="K88" t="inlineStr">
        <is>
          <t>SYRM</t>
        </is>
      </c>
      <c r="L88" t="inlineStr">
        <is>
          <t>Liquidity sweep</t>
        </is>
      </c>
      <c r="M88" s="8" t="n">
        <v>46251.6518287037</v>
      </c>
      <c r="N88" t="inlineStr">
        <is>
          <t>Noor Brookes</t>
        </is>
      </c>
      <c r="O88" s="8" t="n"/>
      <c r="Q88" t="inlineStr">
        <is>
          <t>PENDING_APPROVAL</t>
        </is>
      </c>
      <c r="R88" t="inlineStr">
        <is>
          <t>SYRM_ACKNOWLEDGED</t>
        </is>
      </c>
      <c r="S88" t="inlineStr">
        <is>
          <t>View details</t>
        </is>
      </c>
    </row>
    <row r="89">
      <c r="A89" t="inlineStr">
        <is>
          <t>150316825069</t>
        </is>
      </c>
      <c r="B89" t="inlineStr">
        <is>
          <t>Pinehurst Commercial Bank Sydney</t>
        </is>
      </c>
      <c r="C89" t="inlineStr">
        <is>
          <t>898317028833</t>
        </is>
      </c>
      <c r="D89" t="inlineStr">
        <is>
          <t>Bramble Bank Milan</t>
        </is>
      </c>
      <c r="E89" t="inlineStr">
        <is>
          <t>GBP</t>
        </is>
      </c>
      <c r="F89" t="inlineStr">
        <is>
          <t>NT26081700083</t>
        </is>
      </c>
      <c r="G89" s="6" t="n">
        <v>46251</v>
      </c>
      <c r="H89" s="7" t="n">
        <v>1782627275.158</v>
      </c>
      <c r="I89" t="inlineStr">
        <is>
          <t>GBP</t>
        </is>
      </c>
      <c r="J89" s="7" t="n">
        <v>1782627275.158</v>
      </c>
      <c r="K89" t="inlineStr">
        <is>
          <t>SYRM</t>
        </is>
      </c>
      <c r="L89" t="inlineStr">
        <is>
          <t>Liquidity sweep</t>
        </is>
      </c>
      <c r="M89" s="8" t="n">
        <v>46251.73339120371</v>
      </c>
      <c r="N89" t="inlineStr">
        <is>
          <t>Kai Calloway</t>
        </is>
      </c>
      <c r="O89" s="8" t="n">
        <v>46251.75978009259</v>
      </c>
      <c r="P89" t="inlineStr">
        <is>
          <t>Noor Brookes</t>
        </is>
      </c>
      <c r="Q89" t="inlineStr">
        <is>
          <t>LEDGER_OR_CASHFLOW_RECEIVED</t>
        </is>
      </c>
      <c r="R89" t="inlineStr">
        <is>
          <t>SYRM_ACKNOWLEDGED</t>
        </is>
      </c>
      <c r="S89" t="inlineStr">
        <is>
          <t>View details</t>
        </is>
      </c>
    </row>
    <row r="90">
      <c r="A90" t="inlineStr">
        <is>
          <t>468341071172</t>
        </is>
      </c>
      <c r="B90" t="inlineStr">
        <is>
          <t>Kestrel Bank Frankfurt</t>
        </is>
      </c>
      <c r="C90" t="inlineStr">
        <is>
          <t>359365220160</t>
        </is>
      </c>
      <c r="D90" t="inlineStr">
        <is>
          <t>Larkspur Trust Hong Kong</t>
        </is>
      </c>
      <c r="E90" t="inlineStr">
        <is>
          <t>EUR</t>
        </is>
      </c>
      <c r="F90" t="inlineStr">
        <is>
          <t>NT26081700084</t>
        </is>
      </c>
      <c r="G90" s="6" t="n">
        <v>46251</v>
      </c>
      <c r="H90" s="7" t="n">
        <v>174056235.406</v>
      </c>
      <c r="I90" t="inlineStr">
        <is>
          <t>GBP</t>
        </is>
      </c>
      <c r="J90" s="7" t="n">
        <v>149340249.978</v>
      </c>
      <c r="K90" t="inlineStr">
        <is>
          <t>SYRM</t>
        </is>
      </c>
      <c r="L90" t="inlineStr"/>
      <c r="M90" s="8" t="n">
        <v>46251.52444444445</v>
      </c>
      <c r="N90" t="inlineStr">
        <is>
          <t>Quinn Brookes</t>
        </is>
      </c>
      <c r="O90" s="8" t="n"/>
      <c r="Q90" t="inlineStr">
        <is>
          <t>PENDING_APPROVAL</t>
        </is>
      </c>
      <c r="R90" t="inlineStr">
        <is>
          <t>SYRM_ACKNOWLEDGED</t>
        </is>
      </c>
      <c r="S90" t="inlineStr">
        <is>
          <t>View details</t>
        </is>
      </c>
    </row>
    <row r="91">
      <c r="A91" t="inlineStr">
        <is>
          <t>499062838623</t>
        </is>
      </c>
      <c r="B91" t="inlineStr">
        <is>
          <t>Bramble Trust Zurich</t>
        </is>
      </c>
      <c r="C91" t="inlineStr">
        <is>
          <t>150316825069</t>
        </is>
      </c>
      <c r="D91" t="inlineStr">
        <is>
          <t>Cedar Settlement Bank Hong Kong</t>
        </is>
      </c>
      <c r="E91" t="inlineStr">
        <is>
          <t>USD</t>
        </is>
      </c>
      <c r="F91" t="inlineStr">
        <is>
          <t>NT26081700085</t>
        </is>
      </c>
      <c r="G91" s="6" t="n">
        <v>46251</v>
      </c>
      <c r="H91" s="7" t="n">
        <v>212341.783</v>
      </c>
      <c r="I91" t="inlineStr">
        <is>
          <t>GBP</t>
        </is>
      </c>
      <c r="J91" s="7" t="n">
        <v>166475.958</v>
      </c>
      <c r="K91" t="inlineStr">
        <is>
          <t>SWIFT</t>
        </is>
      </c>
      <c r="L91" t="inlineStr">
        <is>
          <t>Funding move</t>
        </is>
      </c>
      <c r="M91" s="8" t="n">
        <v>46251.59902777777</v>
      </c>
      <c r="N91" t="inlineStr">
        <is>
          <t>Finley Hollis</t>
        </is>
      </c>
      <c r="O91" s="8" t="n">
        <v>46251.66361111111</v>
      </c>
      <c r="P91" t="inlineStr">
        <is>
          <t>Blake Fairweather</t>
        </is>
      </c>
      <c r="Q91" t="inlineStr">
        <is>
          <t>LEDGER_OR_CASHFLOW_RECEIVED</t>
        </is>
      </c>
      <c r="R91" t="inlineStr">
        <is>
          <t>SYRM_ACKNOWLEDGED</t>
        </is>
      </c>
      <c r="S91" t="inlineStr">
        <is>
          <t>View details</t>
        </is>
      </c>
    </row>
    <row r="92">
      <c r="A92" t="inlineStr">
        <is>
          <t>794226063698</t>
        </is>
      </c>
      <c r="B92" t="inlineStr">
        <is>
          <t>Larkspur Trust Hong Kong</t>
        </is>
      </c>
      <c r="C92" t="inlineStr">
        <is>
          <t>150316825069</t>
        </is>
      </c>
      <c r="D92" t="inlineStr">
        <is>
          <t>Cedar Clearing New York</t>
        </is>
      </c>
      <c r="E92" t="inlineStr">
        <is>
          <t>AED</t>
        </is>
      </c>
      <c r="F92" t="inlineStr">
        <is>
          <t>NT26081700086</t>
        </is>
      </c>
      <c r="G92" s="6" t="n">
        <v>46251</v>
      </c>
      <c r="H92" s="7" t="n">
        <v>89600433.12199999</v>
      </c>
      <c r="I92" t="inlineStr">
        <is>
          <t>GBP</t>
        </is>
      </c>
      <c r="J92" s="7" t="n">
        <v>19084892.255</v>
      </c>
      <c r="K92" t="inlineStr">
        <is>
          <t>SWIFT</t>
        </is>
      </c>
      <c r="L92" t="inlineStr">
        <is>
          <t>Funding move</t>
        </is>
      </c>
      <c r="M92" s="8" t="n">
        <v>46251.45</v>
      </c>
      <c r="N92" t="inlineStr">
        <is>
          <t>Devon Jennings</t>
        </is>
      </c>
      <c r="O92" s="8" t="n">
        <v>46251.47013888889</v>
      </c>
      <c r="P92" t="inlineStr">
        <is>
          <t>Tatum Ashford</t>
        </is>
      </c>
      <c r="Q92" t="inlineStr">
        <is>
          <t>LEDGER_OR_CASHFLOW_RECEIVED</t>
        </is>
      </c>
      <c r="R92" t="inlineStr">
        <is>
          <t>SYRM_ACKNOWLEDGED</t>
        </is>
      </c>
      <c r="S92" t="inlineStr">
        <is>
          <t>View details</t>
        </is>
      </c>
    </row>
    <row r="93">
      <c r="A93" t="inlineStr">
        <is>
          <t>794226063698</t>
        </is>
      </c>
      <c r="B93" t="inlineStr">
        <is>
          <t>Juniper Trust London</t>
        </is>
      </c>
      <c r="C93" t="inlineStr">
        <is>
          <t>468341071172</t>
        </is>
      </c>
      <c r="D93" t="inlineStr">
        <is>
          <t>Juniper Bank Warsaw</t>
        </is>
      </c>
      <c r="E93" t="inlineStr">
        <is>
          <t>AED</t>
        </is>
      </c>
      <c r="F93" t="inlineStr">
        <is>
          <t>NT26081700087</t>
        </is>
      </c>
      <c r="G93" s="6" t="n">
        <v>46251</v>
      </c>
      <c r="H93" s="7" t="n">
        <v>7220055.007</v>
      </c>
      <c r="I93" t="inlineStr">
        <is>
          <t>GBP</t>
        </is>
      </c>
      <c r="J93" s="7" t="n">
        <v>1537871.716</v>
      </c>
      <c r="K93" t="inlineStr">
        <is>
          <t>SWIFT</t>
        </is>
      </c>
      <c r="L93" t="inlineStr">
        <is>
          <t>Liquidity sweep</t>
        </is>
      </c>
      <c r="M93" s="8" t="n">
        <v>46251.67564814815</v>
      </c>
      <c r="N93" t="inlineStr">
        <is>
          <t>Quinn Hollis</t>
        </is>
      </c>
      <c r="O93" s="8" t="n">
        <v>46251.68953703704</v>
      </c>
      <c r="P93" t="inlineStr">
        <is>
          <t>Ellis Gallagher</t>
        </is>
      </c>
      <c r="Q93" t="inlineStr">
        <is>
          <t>LEDGER_OR_CASHFLOW_RECEIVED</t>
        </is>
      </c>
      <c r="R93" t="inlineStr">
        <is>
          <t>SYRM_ACKNOWLEDGED</t>
        </is>
      </c>
      <c r="S93" t="inlineStr">
        <is>
          <t>View details</t>
        </is>
      </c>
    </row>
    <row r="94">
      <c r="A94" t="inlineStr">
        <is>
          <t>953625291146</t>
        </is>
      </c>
      <c r="B94" t="inlineStr">
        <is>
          <t>Wrenfield Clearing Frankfurt</t>
        </is>
      </c>
      <c r="C94" t="inlineStr">
        <is>
          <t>132544340094</t>
        </is>
      </c>
      <c r="D94" t="inlineStr">
        <is>
          <t>Yarrow Bank Stockholm</t>
        </is>
      </c>
      <c r="E94" t="inlineStr">
        <is>
          <t>USD</t>
        </is>
      </c>
      <c r="F94" t="inlineStr">
        <is>
          <t>NT26081700088</t>
        </is>
      </c>
      <c r="G94" s="6" t="n">
        <v>46251</v>
      </c>
      <c r="H94" s="7" t="n">
        <v>6338391.358</v>
      </c>
      <c r="I94" t="inlineStr">
        <is>
          <t>GBP</t>
        </is>
      </c>
      <c r="J94" s="7" t="n">
        <v>4969298.825</v>
      </c>
      <c r="K94" t="inlineStr">
        <is>
          <t>SYRM</t>
        </is>
      </c>
      <c r="L94" t="inlineStr">
        <is>
          <t>Liquidity sweep</t>
        </is>
      </c>
      <c r="M94" s="8" t="n">
        <v>46251.45231481481</v>
      </c>
      <c r="N94" t="inlineStr">
        <is>
          <t>Harper Calloway</t>
        </is>
      </c>
      <c r="O94" s="8" t="n">
        <v>46251.48425925926</v>
      </c>
      <c r="P94" t="inlineStr">
        <is>
          <t>Noor Brookes</t>
        </is>
      </c>
      <c r="Q94" t="inlineStr">
        <is>
          <t>LEDGER_OR_CASHFLOW_RECEIVED</t>
        </is>
      </c>
      <c r="R94" t="inlineStr">
        <is>
          <t>SYRM_REJECTED</t>
        </is>
      </c>
      <c r="S94" t="inlineStr">
        <is>
          <t>View details</t>
        </is>
      </c>
    </row>
    <row r="95">
      <c r="A95" t="inlineStr">
        <is>
          <t>927538182434</t>
        </is>
      </c>
      <c r="B95" t="inlineStr">
        <is>
          <t>Harrow Bank Milan</t>
        </is>
      </c>
      <c r="C95" t="inlineStr">
        <is>
          <t>171857983160</t>
        </is>
      </c>
      <c r="D95" t="inlineStr">
        <is>
          <t>Larkspur Clearing New York</t>
        </is>
      </c>
      <c r="E95" t="inlineStr">
        <is>
          <t>CNY</t>
        </is>
      </c>
      <c r="F95" t="inlineStr">
        <is>
          <t>NT26081700089</t>
        </is>
      </c>
      <c r="G95" s="6" t="n">
        <v>46251</v>
      </c>
      <c r="H95" s="7" t="n">
        <v>31348259.354</v>
      </c>
      <c r="I95" t="inlineStr">
        <is>
          <t>GBP</t>
        </is>
      </c>
      <c r="J95" s="7" t="n">
        <v>3416960.27</v>
      </c>
      <c r="K95" t="inlineStr">
        <is>
          <t>SYRM</t>
        </is>
      </c>
      <c r="L95" t="inlineStr"/>
      <c r="M95" s="8" t="n">
        <v>46251.62162037037</v>
      </c>
      <c r="N95" t="inlineStr">
        <is>
          <t>Oakley Delaney</t>
        </is>
      </c>
      <c r="O95" s="8" t="n">
        <v>46251.6424537037</v>
      </c>
      <c r="P95" t="inlineStr">
        <is>
          <t>Harper Hollis</t>
        </is>
      </c>
      <c r="Q95" t="inlineStr">
        <is>
          <t>LEDGER_OR_CASHFLOW_RECEIVED</t>
        </is>
      </c>
      <c r="R95" t="inlineStr">
        <is>
          <t>SYRM_ACKNOWLEDGED</t>
        </is>
      </c>
      <c r="S95" t="inlineStr">
        <is>
          <t>View details</t>
        </is>
      </c>
    </row>
    <row r="96">
      <c r="A96" t="inlineStr">
        <is>
          <t>150316825069</t>
        </is>
      </c>
      <c r="B96" t="inlineStr">
        <is>
          <t>Harrow Bank Milan</t>
        </is>
      </c>
      <c r="C96" t="inlineStr">
        <is>
          <t>132544340094</t>
        </is>
      </c>
      <c r="D96" t="inlineStr">
        <is>
          <t>Dunlin Commercial Bank Paris</t>
        </is>
      </c>
      <c r="E96" t="inlineStr">
        <is>
          <t>GBP</t>
        </is>
      </c>
      <c r="F96" t="inlineStr">
        <is>
          <t>NT26081700090</t>
        </is>
      </c>
      <c r="G96" s="6" t="n">
        <v>46251</v>
      </c>
      <c r="H96" s="7" t="n">
        <v>13081321.603</v>
      </c>
      <c r="I96" t="inlineStr">
        <is>
          <t>GBP</t>
        </is>
      </c>
      <c r="J96" s="7" t="n">
        <v>13081321.603</v>
      </c>
      <c r="K96" t="inlineStr">
        <is>
          <t>SYRM</t>
        </is>
      </c>
      <c r="L96" t="inlineStr">
        <is>
          <t>Balance alignment</t>
        </is>
      </c>
      <c r="M96" s="8" t="n">
        <v>46251.04893518519</v>
      </c>
      <c r="N96" t="inlineStr">
        <is>
          <t>Finley Sinclair</t>
        </is>
      </c>
      <c r="O96" s="8" t="n">
        <v>46251.09685185185</v>
      </c>
      <c r="P96" t="inlineStr">
        <is>
          <t>Finley Hollis</t>
        </is>
      </c>
      <c r="Q96" t="inlineStr">
        <is>
          <t>LEDGER_OR_CASHFLOW_RECEIVED</t>
        </is>
      </c>
      <c r="R96" t="inlineStr">
        <is>
          <t>SYRM_ACKNOWLEDGED</t>
        </is>
      </c>
      <c r="S96" t="inlineStr">
        <is>
          <t>View details</t>
        </is>
      </c>
    </row>
    <row r="97">
      <c r="A97" t="inlineStr">
        <is>
          <t>927538182434</t>
        </is>
      </c>
      <c r="B97" t="inlineStr">
        <is>
          <t>Yarrow Settlement Bank Oslo</t>
        </is>
      </c>
      <c r="C97" t="inlineStr">
        <is>
          <t>794226063698</t>
        </is>
      </c>
      <c r="D97" t="inlineStr">
        <is>
          <t>Oriel Settlement Bank Madrid</t>
        </is>
      </c>
      <c r="E97" t="inlineStr">
        <is>
          <t>CNY</t>
        </is>
      </c>
      <c r="F97" t="inlineStr">
        <is>
          <t>NT26081700091</t>
        </is>
      </c>
      <c r="G97" s="6" t="n">
        <v>46251</v>
      </c>
      <c r="H97" s="7" t="n">
        <v>322876282.08</v>
      </c>
      <c r="I97" t="inlineStr">
        <is>
          <t>GBP</t>
        </is>
      </c>
      <c r="J97" s="7" t="n">
        <v>35193514.747</v>
      </c>
      <c r="K97" t="inlineStr">
        <is>
          <t>SYRM</t>
        </is>
      </c>
      <c r="L97" t="inlineStr">
        <is>
          <t>Balance alignment</t>
        </is>
      </c>
      <c r="M97" s="8" t="n">
        <v>46251.70496527778</v>
      </c>
      <c r="N97" t="inlineStr">
        <is>
          <t>Oakley Delaney</t>
        </is>
      </c>
      <c r="O97" s="8" t="n">
        <v>46251.7146875</v>
      </c>
      <c r="P97" t="inlineStr">
        <is>
          <t>Kai Merrick</t>
        </is>
      </c>
      <c r="Q97" t="inlineStr">
        <is>
          <t>LEDGER_RECEIVED</t>
        </is>
      </c>
      <c r="R97" t="inlineStr">
        <is>
          <t>SYRM_ACKNOWLEDGED</t>
        </is>
      </c>
      <c r="S97" t="inlineStr">
        <is>
          <t>View details</t>
        </is>
      </c>
    </row>
    <row r="98">
      <c r="A98" t="inlineStr">
        <is>
          <t>265771593142</t>
        </is>
      </c>
      <c r="B98" t="inlineStr">
        <is>
          <t>Larkspur Clearing New York</t>
        </is>
      </c>
      <c r="C98" t="inlineStr">
        <is>
          <t>499062838623</t>
        </is>
      </c>
      <c r="D98" t="inlineStr">
        <is>
          <t>Mallow Settlement Bank Oslo</t>
        </is>
      </c>
      <c r="E98" t="inlineStr">
        <is>
          <t>EUR</t>
        </is>
      </c>
      <c r="F98" t="inlineStr">
        <is>
          <t>NT26081700092</t>
        </is>
      </c>
      <c r="G98" s="6" t="n">
        <v>46251</v>
      </c>
      <c r="H98" s="7" t="n">
        <v>48981270.615</v>
      </c>
      <c r="I98" t="inlineStr">
        <is>
          <t>GBP</t>
        </is>
      </c>
      <c r="J98" s="7" t="n">
        <v>42025930.188</v>
      </c>
      <c r="K98" t="inlineStr">
        <is>
          <t>SYRM</t>
        </is>
      </c>
      <c r="L98" t="inlineStr">
        <is>
          <t>Liquidity sweep</t>
        </is>
      </c>
      <c r="M98" s="8" t="n">
        <v>46251.64717592593</v>
      </c>
      <c r="N98" t="inlineStr">
        <is>
          <t>Oakley Rhodes</t>
        </is>
      </c>
      <c r="O98" s="8" t="n">
        <v>46251.70342592592</v>
      </c>
      <c r="P98" t="inlineStr">
        <is>
          <t>Avery Prentice</t>
        </is>
      </c>
      <c r="Q98" t="inlineStr">
        <is>
          <t>LEDGER_OR_CASHFLOW_RECEIVED</t>
        </is>
      </c>
      <c r="R98" t="inlineStr">
        <is>
          <t>SYRM_ACKNOWLEDGED</t>
        </is>
      </c>
      <c r="S98" t="inlineStr">
        <is>
          <t>View details</t>
        </is>
      </c>
    </row>
    <row r="99">
      <c r="A99" t="inlineStr">
        <is>
          <t>968942362772</t>
        </is>
      </c>
      <c r="B99" t="inlineStr">
        <is>
          <t>Yarrow Bank Stockholm</t>
        </is>
      </c>
      <c r="C99" t="inlineStr">
        <is>
          <t>910703979141</t>
        </is>
      </c>
      <c r="D99" t="inlineStr">
        <is>
          <t>Granite Trust Frankfurt</t>
        </is>
      </c>
      <c r="E99" t="inlineStr">
        <is>
          <t>EUR</t>
        </is>
      </c>
      <c r="F99" t="inlineStr">
        <is>
          <t>NT26081700093</t>
        </is>
      </c>
      <c r="G99" s="6" t="n">
        <v>46251</v>
      </c>
      <c r="H99" s="7" t="n">
        <v>62122852.49</v>
      </c>
      <c r="I99" t="inlineStr">
        <is>
          <t>GBP</t>
        </is>
      </c>
      <c r="J99" s="7" t="n">
        <v>53301407.436</v>
      </c>
      <c r="K99" t="inlineStr">
        <is>
          <t>SYRM</t>
        </is>
      </c>
      <c r="L99" t="inlineStr"/>
      <c r="M99" s="8" t="n">
        <v>46251.51105324074</v>
      </c>
      <c r="N99" t="inlineStr">
        <is>
          <t>Blake Fairweather</t>
        </is>
      </c>
      <c r="O99" s="8" t="n">
        <v>46251.56591435185</v>
      </c>
      <c r="P99" t="inlineStr">
        <is>
          <t>Lennox Ellison</t>
        </is>
      </c>
      <c r="Q99" t="inlineStr">
        <is>
          <t>LEDGER_OR_CASHFLOW_RECEIVED</t>
        </is>
      </c>
      <c r="R99" t="inlineStr">
        <is>
          <t>SYRM_ACKNOWLEDGED</t>
        </is>
      </c>
      <c r="S99" t="inlineStr">
        <is>
          <t>View details</t>
        </is>
      </c>
    </row>
    <row r="100">
      <c r="A100" t="inlineStr">
        <is>
          <t>150316825069</t>
        </is>
      </c>
      <c r="B100" t="inlineStr">
        <is>
          <t>Granite Trust Frankfurt</t>
        </is>
      </c>
      <c r="C100" t="inlineStr">
        <is>
          <t>468341071172</t>
        </is>
      </c>
      <c r="D100" t="inlineStr">
        <is>
          <t>Dunlin Commercial Bank Paris</t>
        </is>
      </c>
      <c r="E100" t="inlineStr">
        <is>
          <t>GBP</t>
        </is>
      </c>
      <c r="F100" t="inlineStr">
        <is>
          <t>NT26081700094</t>
        </is>
      </c>
      <c r="G100" s="6" t="n">
        <v>46251</v>
      </c>
      <c r="H100" s="7" t="n">
        <v>6071565.845</v>
      </c>
      <c r="I100" t="inlineStr">
        <is>
          <t>GBP</t>
        </is>
      </c>
      <c r="J100" s="7" t="n">
        <v>6071565.845</v>
      </c>
      <c r="K100" t="inlineStr">
        <is>
          <t>SYRM</t>
        </is>
      </c>
      <c r="L100" t="inlineStr">
        <is>
          <t>Balance alignment</t>
        </is>
      </c>
      <c r="M100" s="8" t="n">
        <v>46251.34564814815</v>
      </c>
      <c r="N100" t="inlineStr">
        <is>
          <t>Harper Calloway</t>
        </is>
      </c>
      <c r="O100" s="8" t="n"/>
      <c r="Q100" t="inlineStr">
        <is>
          <t>PENDING_APPROVAL</t>
        </is>
      </c>
      <c r="R100" t="inlineStr">
        <is>
          <t>SYRM_ACKNOWLEDGED</t>
        </is>
      </c>
      <c r="S100" t="inlineStr">
        <is>
          <t>View details</t>
        </is>
      </c>
    </row>
    <row r="101">
      <c r="A101" t="inlineStr">
        <is>
          <t>794226063698</t>
        </is>
      </c>
      <c r="B101" t="inlineStr">
        <is>
          <t>Dunlin Commercial Bank Warsaw</t>
        </is>
      </c>
      <c r="C101" t="inlineStr">
        <is>
          <t>132544340094</t>
        </is>
      </c>
      <c r="D101" t="inlineStr">
        <is>
          <t>Juniper Bank Warsaw</t>
        </is>
      </c>
      <c r="E101" t="inlineStr">
        <is>
          <t>AED</t>
        </is>
      </c>
      <c r="F101" t="inlineStr">
        <is>
          <t>NT26081700095</t>
        </is>
      </c>
      <c r="G101" s="6" t="n">
        <v>46251</v>
      </c>
      <c r="H101" s="7" t="n">
        <v>260201233.986</v>
      </c>
      <c r="I101" t="inlineStr">
        <is>
          <t>GBP</t>
        </is>
      </c>
      <c r="J101" s="7" t="n">
        <v>55422862.839</v>
      </c>
      <c r="K101" t="inlineStr">
        <is>
          <t>SYRM</t>
        </is>
      </c>
      <c r="L101" t="inlineStr"/>
      <c r="M101" s="8" t="n">
        <v>46251.39809027778</v>
      </c>
      <c r="N101" t="inlineStr">
        <is>
          <t>Ellis Delaney</t>
        </is>
      </c>
      <c r="O101" s="8" t="n">
        <v>46251.43003472222</v>
      </c>
      <c r="P101" t="inlineStr">
        <is>
          <t>Quinn Kirby</t>
        </is>
      </c>
      <c r="Q101" t="inlineStr">
        <is>
          <t>LEDGER_OR_CASHFLOW_RECEIVED</t>
        </is>
      </c>
      <c r="R101" t="inlineStr">
        <is>
          <t>SYRM_ACKNOWLEDGED</t>
        </is>
      </c>
      <c r="S101" t="inlineStr">
        <is>
          <t>View details</t>
        </is>
      </c>
    </row>
    <row r="102">
      <c r="A102" t="inlineStr">
        <is>
          <t>150316825069</t>
        </is>
      </c>
      <c r="B102" t="inlineStr">
        <is>
          <t>Cedar Clearing New York</t>
        </is>
      </c>
      <c r="C102" t="inlineStr">
        <is>
          <t>700726936098</t>
        </is>
      </c>
      <c r="D102" t="inlineStr">
        <is>
          <t>Juniper Clearing Hong Kong</t>
        </is>
      </c>
      <c r="E102" t="inlineStr">
        <is>
          <t>GBP</t>
        </is>
      </c>
      <c r="F102" t="inlineStr">
        <is>
          <t>NT26081700096</t>
        </is>
      </c>
      <c r="G102" s="6" t="n">
        <v>46251</v>
      </c>
      <c r="H102" s="7" t="n">
        <v>74890754.36499999</v>
      </c>
      <c r="I102" t="inlineStr">
        <is>
          <t>GBP</t>
        </is>
      </c>
      <c r="J102" s="7" t="n">
        <v>74890754.36499999</v>
      </c>
      <c r="K102" t="inlineStr">
        <is>
          <t>SWIFT</t>
        </is>
      </c>
      <c r="L102" t="inlineStr">
        <is>
          <t>Funding move</t>
        </is>
      </c>
      <c r="M102" s="8" t="n">
        <v>46251.35835648148</v>
      </c>
      <c r="N102" t="inlineStr">
        <is>
          <t>Noor Sinclair</t>
        </is>
      </c>
      <c r="O102" s="8" t="n">
        <v>46251.3993287037</v>
      </c>
      <c r="P102" t="inlineStr">
        <is>
          <t>Wren Fairweather</t>
        </is>
      </c>
      <c r="Q102" t="inlineStr">
        <is>
          <t>CASHFLOW_RECEIVED</t>
        </is>
      </c>
      <c r="R102" t="inlineStr">
        <is>
          <t>SYRM_ACKNOWLEDGED</t>
        </is>
      </c>
      <c r="S102" t="inlineStr">
        <is>
          <t>View details</t>
        </is>
      </c>
    </row>
    <row r="103">
      <c r="A103" t="inlineStr">
        <is>
          <t>132544340094</t>
        </is>
      </c>
      <c r="B103" t="inlineStr">
        <is>
          <t>Thornbury Commercial Bank London</t>
        </is>
      </c>
      <c r="C103" t="inlineStr">
        <is>
          <t>150316825069</t>
        </is>
      </c>
      <c r="D103" t="inlineStr">
        <is>
          <t>Pinehurst Commercial Bank Stockholm</t>
        </is>
      </c>
      <c r="E103" t="inlineStr">
        <is>
          <t>CZK</t>
        </is>
      </c>
      <c r="F103" t="inlineStr">
        <is>
          <t>NT26081700097</t>
        </is>
      </c>
      <c r="G103" s="6" t="n">
        <v>46251</v>
      </c>
      <c r="H103" s="7" t="n">
        <v>50147504.588</v>
      </c>
      <c r="I103" t="inlineStr">
        <is>
          <t>GBP</t>
        </is>
      </c>
      <c r="J103" s="7" t="n">
        <v>1700000.406</v>
      </c>
      <c r="K103" t="inlineStr">
        <is>
          <t>INTERNAL</t>
        </is>
      </c>
      <c r="L103" t="inlineStr">
        <is>
          <t>Intraday top-up</t>
        </is>
      </c>
      <c r="M103" s="8" t="n">
        <v>46251.44232638889</v>
      </c>
      <c r="N103" t="inlineStr">
        <is>
          <t>Harper Calloway</t>
        </is>
      </c>
      <c r="O103" s="8" t="n">
        <v>46251.47913194444</v>
      </c>
      <c r="P103" t="inlineStr">
        <is>
          <t>Marlow Rhodes</t>
        </is>
      </c>
      <c r="Q103" t="inlineStr">
        <is>
          <t>LEDGER_OR_CASHFLOW_RECEIVED</t>
        </is>
      </c>
      <c r="R103" t="inlineStr">
        <is>
          <t>SYRM_ACKNOWLEDGED</t>
        </is>
      </c>
      <c r="S103" t="inlineStr">
        <is>
          <t>View details</t>
        </is>
      </c>
    </row>
    <row r="104">
      <c r="A104" t="inlineStr">
        <is>
          <t>468341071172</t>
        </is>
      </c>
      <c r="B104" t="inlineStr">
        <is>
          <t>Juniper Bank Warsaw</t>
        </is>
      </c>
      <c r="C104" t="inlineStr">
        <is>
          <t>499062838623</t>
        </is>
      </c>
      <c r="D104" t="inlineStr">
        <is>
          <t>Harrow Bank Milan</t>
        </is>
      </c>
      <c r="E104" t="inlineStr">
        <is>
          <t>EUR</t>
        </is>
      </c>
      <c r="F104" t="inlineStr">
        <is>
          <t>NT26081700098</t>
        </is>
      </c>
      <c r="G104" s="6" t="n">
        <v>46251</v>
      </c>
      <c r="H104" s="7" t="n">
        <v>16674923.238</v>
      </c>
      <c r="I104" t="inlineStr">
        <is>
          <t>GBP</t>
        </is>
      </c>
      <c r="J104" s="7" t="n">
        <v>14307084.138</v>
      </c>
      <c r="K104" t="inlineStr">
        <is>
          <t>SYRM</t>
        </is>
      </c>
      <c r="L104" t="inlineStr">
        <is>
          <t>Liquidity sweep</t>
        </is>
      </c>
      <c r="M104" s="8" t="n">
        <v>46251.55862268519</v>
      </c>
      <c r="N104" t="inlineStr">
        <is>
          <t>Quinn Lindqvist</t>
        </is>
      </c>
      <c r="O104" s="8" t="n">
        <v>46251.56278935185</v>
      </c>
      <c r="P104" t="inlineStr">
        <is>
          <t>Wren Hollis</t>
        </is>
      </c>
      <c r="Q104" t="inlineStr">
        <is>
          <t>LEDGER_OR_CASHFLOW_RECEIVED</t>
        </is>
      </c>
      <c r="R104" t="inlineStr">
        <is>
          <t>SYRM_ACKNOWLEDGED</t>
        </is>
      </c>
      <c r="S104" t="inlineStr">
        <is>
          <t>View details</t>
        </is>
      </c>
    </row>
    <row r="105">
      <c r="A105" t="inlineStr">
        <is>
          <t>794226063698</t>
        </is>
      </c>
      <c r="B105" t="inlineStr">
        <is>
          <t>Yarrow Bank Stockholm</t>
        </is>
      </c>
      <c r="C105" t="inlineStr">
        <is>
          <t>621381112674</t>
        </is>
      </c>
      <c r="D105" t="inlineStr">
        <is>
          <t>Juniper Commercial Bank Warsaw</t>
        </is>
      </c>
      <c r="E105" t="inlineStr">
        <is>
          <t>AED</t>
        </is>
      </c>
      <c r="F105" t="inlineStr">
        <is>
          <t>NT26081700099</t>
        </is>
      </c>
      <c r="G105" s="6" t="n">
        <v>46251</v>
      </c>
      <c r="H105" s="7" t="n">
        <v>53153502.405</v>
      </c>
      <c r="I105" t="inlineStr">
        <is>
          <t>GBP</t>
        </is>
      </c>
      <c r="J105" s="7" t="n">
        <v>11321696.012</v>
      </c>
      <c r="K105" t="inlineStr">
        <is>
          <t>SYRM</t>
        </is>
      </c>
      <c r="L105" t="inlineStr">
        <is>
          <t>Funding move</t>
        </is>
      </c>
      <c r="M105" s="8" t="n">
        <v>46251.53456018519</v>
      </c>
      <c r="N105" t="inlineStr">
        <is>
          <t>Oakley Delaney</t>
        </is>
      </c>
      <c r="O105" s="8" t="n">
        <v>46251.59358796296</v>
      </c>
      <c r="P105" t="inlineStr">
        <is>
          <t>Noor Sinclair</t>
        </is>
      </c>
      <c r="Q105" t="inlineStr">
        <is>
          <t>LEDGER_OR_CASHFLOW_RECEIVED</t>
        </is>
      </c>
      <c r="R105" t="inlineStr">
        <is>
          <t>SYRM_ACKNOWLEDGED</t>
        </is>
      </c>
      <c r="S105" t="inlineStr">
        <is>
          <t>View details</t>
        </is>
      </c>
    </row>
    <row r="106">
      <c r="A106" t="inlineStr">
        <is>
          <t>265771593142</t>
        </is>
      </c>
      <c r="B106" t="inlineStr">
        <is>
          <t>Bramble Trust Zurich</t>
        </is>
      </c>
      <c r="C106" t="inlineStr">
        <is>
          <t>898317028833</t>
        </is>
      </c>
      <c r="D106" t="inlineStr">
        <is>
          <t>Zephyr Settlement Bank New York</t>
        </is>
      </c>
      <c r="E106" t="inlineStr">
        <is>
          <t>EUR</t>
        </is>
      </c>
      <c r="F106" t="inlineStr">
        <is>
          <t>NT26081700100</t>
        </is>
      </c>
      <c r="G106" s="6" t="n">
        <v>46251</v>
      </c>
      <c r="H106" s="7" t="n">
        <v>158001.278</v>
      </c>
      <c r="I106" t="inlineStr">
        <is>
          <t>GBP</t>
        </is>
      </c>
      <c r="J106" s="7" t="n">
        <v>135565.097</v>
      </c>
      <c r="K106" t="inlineStr">
        <is>
          <t>SYRM</t>
        </is>
      </c>
      <c r="L106" t="inlineStr">
        <is>
          <t>Liquidity sweep</t>
        </is>
      </c>
      <c r="M106" s="8" t="n">
        <v>46251.49005787037</v>
      </c>
      <c r="N106" t="inlineStr">
        <is>
          <t>Quinn Hollis</t>
        </is>
      </c>
      <c r="O106" s="8" t="n"/>
      <c r="Q106" t="inlineStr">
        <is>
          <t>PENDING_APPROVAL</t>
        </is>
      </c>
      <c r="R106" t="inlineStr">
        <is>
          <t>SYRM_ACKNOWLEDGED</t>
        </is>
      </c>
      <c r="S106" t="inlineStr">
        <is>
          <t>View details</t>
        </is>
      </c>
    </row>
    <row r="107">
      <c r="A107" t="inlineStr">
        <is>
          <t>150316825069</t>
        </is>
      </c>
      <c r="B107" t="inlineStr">
        <is>
          <t>Redstart Trust Mexico City</t>
        </is>
      </c>
      <c r="C107" t="inlineStr">
        <is>
          <t>468341071172</t>
        </is>
      </c>
      <c r="D107" t="inlineStr">
        <is>
          <t>Wrenfield Clearing Frankfurt</t>
        </is>
      </c>
      <c r="E107" t="inlineStr">
        <is>
          <t>GBP</t>
        </is>
      </c>
      <c r="F107" t="inlineStr">
        <is>
          <t>NT26081700101</t>
        </is>
      </c>
      <c r="G107" s="6" t="n">
        <v>46251</v>
      </c>
      <c r="H107" s="7" t="n">
        <v>8816375.23</v>
      </c>
      <c r="I107" t="inlineStr">
        <is>
          <t>GBP</t>
        </is>
      </c>
      <c r="J107" s="7" t="n">
        <v>8816375.23</v>
      </c>
      <c r="K107" t="inlineStr">
        <is>
          <t>SYRM</t>
        </is>
      </c>
      <c r="L107" t="inlineStr">
        <is>
          <t>Balance alignment</t>
        </is>
      </c>
      <c r="M107" s="8" t="n">
        <v>46251.44459490741</v>
      </c>
      <c r="N107" t="inlineStr">
        <is>
          <t>Blake Fairweather</t>
        </is>
      </c>
      <c r="O107" s="8" t="n">
        <v>46251.44806712963</v>
      </c>
      <c r="P107" t="inlineStr">
        <is>
          <t>Kai Novak</t>
        </is>
      </c>
      <c r="Q107" t="inlineStr">
        <is>
          <t>LEDGER_OR_CASHFLOW_RECEIVED</t>
        </is>
      </c>
      <c r="R107" t="inlineStr">
        <is>
          <t>SYRM_ACKNOWLEDGED</t>
        </is>
      </c>
      <c r="S107" t="inlineStr">
        <is>
          <t>View details</t>
        </is>
      </c>
    </row>
    <row r="108">
      <c r="A108" t="inlineStr">
        <is>
          <t>794226063698</t>
        </is>
      </c>
      <c r="B108" t="inlineStr">
        <is>
          <t>Pinehurst Commercial Bank Stockholm</t>
        </is>
      </c>
      <c r="C108" t="inlineStr">
        <is>
          <t>468341071172</t>
        </is>
      </c>
      <c r="D108" t="inlineStr">
        <is>
          <t>Pinehurst Trust Toronto</t>
        </is>
      </c>
      <c r="E108" t="inlineStr">
        <is>
          <t>AED</t>
        </is>
      </c>
      <c r="F108" t="inlineStr">
        <is>
          <t>NT26081700102</t>
        </is>
      </c>
      <c r="G108" s="6" t="n">
        <v>46251</v>
      </c>
      <c r="H108" s="7" t="n">
        <v>87369526.13699999</v>
      </c>
      <c r="I108" t="inlineStr">
        <is>
          <t>GBP</t>
        </is>
      </c>
      <c r="J108" s="7" t="n">
        <v>18609709.067</v>
      </c>
      <c r="K108" t="inlineStr">
        <is>
          <t>SYRM</t>
        </is>
      </c>
      <c r="L108" t="inlineStr">
        <is>
          <t>Funding move</t>
        </is>
      </c>
      <c r="M108" s="8" t="n">
        <v>46251.58701388889</v>
      </c>
      <c r="N108" t="inlineStr">
        <is>
          <t>Finley Sinclair</t>
        </is>
      </c>
      <c r="O108" s="8" t="n">
        <v>46251.623125</v>
      </c>
      <c r="P108" t="inlineStr">
        <is>
          <t>Oakley Delaney</t>
        </is>
      </c>
      <c r="Q108" t="inlineStr">
        <is>
          <t>LEDGER_OR_CASHFLOW_RECEIVED</t>
        </is>
      </c>
      <c r="R108" t="inlineStr">
        <is>
          <t>SYRM_ACKNOWLEDGED</t>
        </is>
      </c>
      <c r="S108" t="inlineStr">
        <is>
          <t>View details</t>
        </is>
      </c>
    </row>
    <row r="109">
      <c r="A109" t="inlineStr">
        <is>
          <t>794226063698</t>
        </is>
      </c>
      <c r="B109" t="inlineStr">
        <is>
          <t>Zephyr Settlement Bank New York</t>
        </is>
      </c>
      <c r="C109" t="inlineStr">
        <is>
          <t>726928343448</t>
        </is>
      </c>
      <c r="D109" t="inlineStr">
        <is>
          <t>Kestrel Clearing Oslo</t>
        </is>
      </c>
      <c r="E109" t="inlineStr">
        <is>
          <t>AED</t>
        </is>
      </c>
      <c r="F109" t="inlineStr">
        <is>
          <t>NT26081700103</t>
        </is>
      </c>
      <c r="G109" s="6" t="n">
        <v>46251</v>
      </c>
      <c r="H109" s="7" t="n">
        <v>15157547.89</v>
      </c>
      <c r="I109" t="inlineStr">
        <is>
          <t>GBP</t>
        </is>
      </c>
      <c r="J109" s="7" t="n">
        <v>3228557.701</v>
      </c>
      <c r="K109" t="inlineStr">
        <is>
          <t>SYRM</t>
        </is>
      </c>
      <c r="L109" t="inlineStr">
        <is>
          <t>Balance alignment</t>
        </is>
      </c>
      <c r="M109" s="8" t="n">
        <v>46251.25008101852</v>
      </c>
      <c r="N109" t="inlineStr">
        <is>
          <t>Oakley Delaney</t>
        </is>
      </c>
      <c r="O109" s="8" t="n">
        <v>46251.28619212963</v>
      </c>
      <c r="P109" t="inlineStr">
        <is>
          <t>Greer Osgood</t>
        </is>
      </c>
      <c r="Q109" t="inlineStr">
        <is>
          <t>LEDGER_OR_CASHFLOW_RECEIVED</t>
        </is>
      </c>
      <c r="R109" t="inlineStr">
        <is>
          <t>SYRM_ACKNOWLEDGED</t>
        </is>
      </c>
      <c r="S109" t="inlineStr">
        <is>
          <t>View details</t>
        </is>
      </c>
    </row>
    <row r="110">
      <c r="A110" t="inlineStr">
        <is>
          <t>700726936098</t>
        </is>
      </c>
      <c r="B110" t="inlineStr">
        <is>
          <t>Kestrel Bank Frankfurt</t>
        </is>
      </c>
      <c r="C110" t="inlineStr">
        <is>
          <t>468341071172</t>
        </is>
      </c>
      <c r="D110" t="inlineStr">
        <is>
          <t>Ironbark Trust Dublin</t>
        </is>
      </c>
      <c r="E110" t="inlineStr">
        <is>
          <t>SAR</t>
        </is>
      </c>
      <c r="F110" t="inlineStr">
        <is>
          <t>NT26081700104</t>
        </is>
      </c>
      <c r="G110" s="6" t="n">
        <v>46251</v>
      </c>
      <c r="H110" s="7" t="n">
        <v>784646.341</v>
      </c>
      <c r="I110" t="inlineStr">
        <is>
          <t>GBP</t>
        </is>
      </c>
      <c r="J110" s="7" t="n">
        <v>163991.085</v>
      </c>
      <c r="K110" t="inlineStr">
        <is>
          <t>SYRM</t>
        </is>
      </c>
      <c r="L110" t="inlineStr">
        <is>
          <t>Intraday top-up</t>
        </is>
      </c>
      <c r="M110" s="8" t="n">
        <v>46251.48644675926</v>
      </c>
      <c r="N110" t="inlineStr">
        <is>
          <t>Greer Osgood</t>
        </is>
      </c>
      <c r="O110" s="8" t="n">
        <v>46251.4885300926</v>
      </c>
      <c r="P110" t="inlineStr">
        <is>
          <t>Blake Fairweather</t>
        </is>
      </c>
      <c r="Q110" t="inlineStr">
        <is>
          <t>LEDGER_OR_CASHFLOW_RECEIVED</t>
        </is>
      </c>
      <c r="R110" t="inlineStr">
        <is>
          <t>SYRM_ACKNOWLEDGED</t>
        </is>
      </c>
      <c r="S110" t="inlineStr">
        <is>
          <t>View details</t>
        </is>
      </c>
    </row>
    <row r="111">
      <c r="A111" t="inlineStr">
        <is>
          <t>468341071172</t>
        </is>
      </c>
      <c r="B111" t="inlineStr">
        <is>
          <t>Ironbark Trust Dublin</t>
        </is>
      </c>
      <c r="C111" t="inlineStr">
        <is>
          <t>621381112674</t>
        </is>
      </c>
      <c r="D111" t="inlineStr">
        <is>
          <t>Granite Commercial Bank Milan</t>
        </is>
      </c>
      <c r="E111" t="inlineStr">
        <is>
          <t>EUR</t>
        </is>
      </c>
      <c r="F111" t="inlineStr">
        <is>
          <t>NT26081700105</t>
        </is>
      </c>
      <c r="G111" s="6" t="n">
        <v>46251</v>
      </c>
      <c r="H111" s="7" t="n">
        <v>140761849.012</v>
      </c>
      <c r="I111" t="inlineStr">
        <is>
          <t>GBP</t>
        </is>
      </c>
      <c r="J111" s="7" t="n">
        <v>120773666.452</v>
      </c>
      <c r="K111" t="inlineStr">
        <is>
          <t>INTERNAL</t>
        </is>
      </c>
      <c r="L111" t="inlineStr">
        <is>
          <t>Intraday top-up</t>
        </is>
      </c>
      <c r="M111" s="8" t="n">
        <v>46251.33447916667</v>
      </c>
      <c r="N111" t="inlineStr">
        <is>
          <t>Noor Sinclair</t>
        </is>
      </c>
      <c r="O111" s="8" t="n">
        <v>46251.35947916667</v>
      </c>
      <c r="P111" t="inlineStr">
        <is>
          <t>Oakley Delaney</t>
        </is>
      </c>
      <c r="Q111" t="inlineStr">
        <is>
          <t>LEDGER_OR_CASHFLOW_RECEIVED</t>
        </is>
      </c>
      <c r="R111" t="inlineStr">
        <is>
          <t>SYRM_ACKNOWLEDGED</t>
        </is>
      </c>
      <c r="S111" t="inlineStr">
        <is>
          <t>View details</t>
        </is>
      </c>
    </row>
    <row r="112">
      <c r="A112" t="inlineStr">
        <is>
          <t>284925023085</t>
        </is>
      </c>
      <c r="B112" t="inlineStr">
        <is>
          <t>Thornbury Commercial Bank London</t>
        </is>
      </c>
      <c r="C112" t="inlineStr">
        <is>
          <t>700726936098</t>
        </is>
      </c>
      <c r="D112" t="inlineStr">
        <is>
          <t>Umberton Trust Tokyo</t>
        </is>
      </c>
      <c r="E112" t="inlineStr">
        <is>
          <t>MXN</t>
        </is>
      </c>
      <c r="F112" t="inlineStr">
        <is>
          <t>NT26081700106</t>
        </is>
      </c>
      <c r="G112" s="6" t="n">
        <v>46251</v>
      </c>
      <c r="H112" s="7" t="n">
        <v>132966.717</v>
      </c>
      <c r="I112" t="inlineStr">
        <is>
          <t>GBP</t>
        </is>
      </c>
      <c r="J112" s="7" t="n">
        <v>5690.975</v>
      </c>
      <c r="K112" t="inlineStr">
        <is>
          <t>SYRM</t>
        </is>
      </c>
      <c r="L112" t="inlineStr">
        <is>
          <t>Liquidity sweep</t>
        </is>
      </c>
      <c r="M112" s="8" t="n">
        <v>46251.45114583334</v>
      </c>
      <c r="N112" t="inlineStr">
        <is>
          <t>Greer Prentice</t>
        </is>
      </c>
      <c r="O112" s="8" t="n">
        <v>46251.50947916666</v>
      </c>
      <c r="P112" t="inlineStr">
        <is>
          <t>Wren Fairweather</t>
        </is>
      </c>
      <c r="Q112" t="inlineStr">
        <is>
          <t>LEDGER_OR_CASHFLOW_RECEIVED</t>
        </is>
      </c>
      <c r="R112" t="inlineStr">
        <is>
          <t>SYRM_ACKNOWLEDGED</t>
        </is>
      </c>
      <c r="S112" t="inlineStr">
        <is>
          <t>View details</t>
        </is>
      </c>
    </row>
    <row r="113">
      <c r="A113" t="inlineStr">
        <is>
          <t>171857983160</t>
        </is>
      </c>
      <c r="B113" t="inlineStr">
        <is>
          <t>Kestrel Clearing Oslo</t>
        </is>
      </c>
      <c r="C113" t="inlineStr">
        <is>
          <t>726928343448</t>
        </is>
      </c>
      <c r="D113" t="inlineStr">
        <is>
          <t>Juniper Bank Warsaw</t>
        </is>
      </c>
      <c r="E113" t="inlineStr">
        <is>
          <t>AUD</t>
        </is>
      </c>
      <c r="F113" t="inlineStr">
        <is>
          <t>NT26081700107</t>
        </is>
      </c>
      <c r="G113" s="6" t="n">
        <v>46251</v>
      </c>
      <c r="H113" s="7" t="n">
        <v>155271637.68</v>
      </c>
      <c r="I113" t="inlineStr">
        <is>
          <t>GBP</t>
        </is>
      </c>
      <c r="J113" s="7" t="n">
        <v>79654350.13</v>
      </c>
      <c r="K113" t="inlineStr">
        <is>
          <t>SYRM</t>
        </is>
      </c>
      <c r="L113" t="inlineStr"/>
      <c r="M113" s="8" t="n">
        <v>46251.58596064815</v>
      </c>
      <c r="N113" t="inlineStr">
        <is>
          <t>Finley Jennings</t>
        </is>
      </c>
      <c r="O113" s="8" t="n">
        <v>46251.63873842593</v>
      </c>
      <c r="P113" t="inlineStr">
        <is>
          <t>Tatum Ashford</t>
        </is>
      </c>
      <c r="Q113" t="inlineStr">
        <is>
          <t>LEDGER_OR_CASHFLOW_RECEIVED</t>
        </is>
      </c>
      <c r="R113" t="inlineStr">
        <is>
          <t>SYRM_ACKNOWLEDGED</t>
        </is>
      </c>
      <c r="S113" t="inlineStr">
        <is>
          <t>View details</t>
        </is>
      </c>
    </row>
    <row r="114">
      <c r="A114" t="inlineStr">
        <is>
          <t>621381112674</t>
        </is>
      </c>
      <c r="B114" t="inlineStr">
        <is>
          <t>Kestrel Clearing Oslo</t>
        </is>
      </c>
      <c r="C114" t="inlineStr">
        <is>
          <t>150316825069</t>
        </is>
      </c>
      <c r="D114" t="inlineStr">
        <is>
          <t>Wrenfield Commercial Bank Oslo</t>
        </is>
      </c>
      <c r="E114" t="inlineStr">
        <is>
          <t>PLN</t>
        </is>
      </c>
      <c r="F114" t="inlineStr">
        <is>
          <t>NT26081700108</t>
        </is>
      </c>
      <c r="G114" s="6" t="n">
        <v>46251</v>
      </c>
      <c r="H114" s="7" t="n">
        <v>114413258.901</v>
      </c>
      <c r="I114" t="inlineStr">
        <is>
          <t>GBP</t>
        </is>
      </c>
      <c r="J114" s="7" t="n">
        <v>22653825.262</v>
      </c>
      <c r="K114" t="inlineStr">
        <is>
          <t>SYRM</t>
        </is>
      </c>
      <c r="L114" t="inlineStr"/>
      <c r="M114" s="8" t="n">
        <v>46251.68200231482</v>
      </c>
      <c r="N114" t="inlineStr">
        <is>
          <t>Wren Delaney</t>
        </is>
      </c>
      <c r="O114" s="8" t="n">
        <v>46251.71880787037</v>
      </c>
      <c r="P114" t="inlineStr">
        <is>
          <t>Quinn Lindqvist</t>
        </is>
      </c>
      <c r="Q114" t="inlineStr">
        <is>
          <t>FAILED</t>
        </is>
      </c>
      <c r="R114" t="inlineStr">
        <is>
          <t>SYRM_ACKNOWLEDGED</t>
        </is>
      </c>
      <c r="S114" t="inlineStr">
        <is>
          <t>View details</t>
        </is>
      </c>
    </row>
    <row r="115">
      <c r="A115" t="inlineStr">
        <is>
          <t>824840705580</t>
        </is>
      </c>
      <c r="B115" t="inlineStr">
        <is>
          <t>Redstart Trust Mexico City</t>
        </is>
      </c>
      <c r="C115" t="inlineStr">
        <is>
          <t>726928343448</t>
        </is>
      </c>
      <c r="D115" t="inlineStr">
        <is>
          <t>Oriel Commercial Bank Toronto</t>
        </is>
      </c>
      <c r="E115" t="inlineStr">
        <is>
          <t>EUR</t>
        </is>
      </c>
      <c r="F115" t="inlineStr">
        <is>
          <t>NT26081700109</t>
        </is>
      </c>
      <c r="G115" s="6" t="n">
        <v>46251</v>
      </c>
      <c r="H115" s="7" t="n">
        <v>2433695.717</v>
      </c>
      <c r="I115" t="inlineStr">
        <is>
          <t>GBP</t>
        </is>
      </c>
      <c r="J115" s="7" t="n">
        <v>2088110.925</v>
      </c>
      <c r="K115" t="inlineStr">
        <is>
          <t>SWIFT</t>
        </is>
      </c>
      <c r="L115" t="inlineStr">
        <is>
          <t>Liquidity sweep</t>
        </is>
      </c>
      <c r="M115" s="8" t="n">
        <v>46251.60986111111</v>
      </c>
      <c r="N115" t="inlineStr">
        <is>
          <t>Greer Prentice</t>
        </is>
      </c>
      <c r="O115" s="8" t="n">
        <v>46251.66819444444</v>
      </c>
      <c r="P115" t="inlineStr">
        <is>
          <t>Finley Hollis</t>
        </is>
      </c>
      <c r="Q115" t="inlineStr">
        <is>
          <t>LEDGER_OR_CASHFLOW_RECEIVED</t>
        </is>
      </c>
      <c r="R115" t="inlineStr">
        <is>
          <t>SYRM_ACKNOWLEDGED</t>
        </is>
      </c>
      <c r="S115" t="inlineStr">
        <is>
          <t>View details</t>
        </is>
      </c>
    </row>
    <row r="116">
      <c r="A116" t="inlineStr">
        <is>
          <t>113829985108</t>
        </is>
      </c>
      <c r="B116" t="inlineStr">
        <is>
          <t>Dunlin Commercial Bank Paris</t>
        </is>
      </c>
      <c r="C116" t="inlineStr">
        <is>
          <t>132544340094</t>
        </is>
      </c>
      <c r="D116" t="inlineStr">
        <is>
          <t>Juniper Trust London</t>
        </is>
      </c>
      <c r="E116" t="inlineStr">
        <is>
          <t>EUR</t>
        </is>
      </c>
      <c r="F116" t="inlineStr">
        <is>
          <t>NT26081700110</t>
        </is>
      </c>
      <c r="G116" s="6" t="n">
        <v>46251</v>
      </c>
      <c r="H116" s="7" t="n">
        <v>9733064.719000001</v>
      </c>
      <c r="I116" t="inlineStr">
        <is>
          <t>GBP</t>
        </is>
      </c>
      <c r="J116" s="7" t="n">
        <v>8350969.529</v>
      </c>
      <c r="K116" t="inlineStr">
        <is>
          <t>SYRM</t>
        </is>
      </c>
      <c r="L116" t="inlineStr">
        <is>
          <t>Balance alignment</t>
        </is>
      </c>
      <c r="M116" s="8" t="n">
        <v>46251.47341435185</v>
      </c>
      <c r="N116" t="inlineStr">
        <is>
          <t>Lennox Ellison</t>
        </is>
      </c>
      <c r="O116" s="8" t="n">
        <v>46251.5053587963</v>
      </c>
      <c r="P116" t="inlineStr">
        <is>
          <t>Oakley Rhodes</t>
        </is>
      </c>
      <c r="Q116" t="inlineStr">
        <is>
          <t>LEDGER_OR_CASHFLOW_RECEIVED</t>
        </is>
      </c>
      <c r="R116" t="inlineStr">
        <is>
          <t>SYRM_ACKNOWLEDGED</t>
        </is>
      </c>
      <c r="S116" t="inlineStr">
        <is>
          <t>View details</t>
        </is>
      </c>
    </row>
    <row r="117">
      <c r="A117" t="inlineStr">
        <is>
          <t>898317028833</t>
        </is>
      </c>
      <c r="B117" t="inlineStr">
        <is>
          <t>Umberton Trust Tokyo</t>
        </is>
      </c>
      <c r="C117" t="inlineStr">
        <is>
          <t>794226063698</t>
        </is>
      </c>
      <c r="D117" t="inlineStr">
        <is>
          <t>Wrenfield Trust Tokyo</t>
        </is>
      </c>
      <c r="E117" t="inlineStr">
        <is>
          <t>GBP</t>
        </is>
      </c>
      <c r="F117" t="inlineStr">
        <is>
          <t>NT26081700111</t>
        </is>
      </c>
      <c r="G117" s="6" t="n">
        <v>46251</v>
      </c>
      <c r="H117" s="7" t="n">
        <v>46085976.851</v>
      </c>
      <c r="I117" t="inlineStr">
        <is>
          <t>GBP</t>
        </is>
      </c>
      <c r="J117" s="7" t="n">
        <v>46085976.851</v>
      </c>
      <c r="K117" t="inlineStr">
        <is>
          <t>SYRM</t>
        </is>
      </c>
      <c r="L117" t="inlineStr"/>
      <c r="M117" s="8" t="n">
        <v>46251.40181712963</v>
      </c>
      <c r="N117" t="inlineStr">
        <is>
          <t>Oakley Prentice</t>
        </is>
      </c>
      <c r="O117" s="8" t="n">
        <v>46251.4372337963</v>
      </c>
      <c r="P117" t="inlineStr">
        <is>
          <t>Quinn Osgood</t>
        </is>
      </c>
      <c r="Q117" t="inlineStr">
        <is>
          <t>CASHFLOW_RECEIVED</t>
        </is>
      </c>
      <c r="R117" t="inlineStr">
        <is>
          <t>SYRM_REJECTED</t>
        </is>
      </c>
      <c r="S117" t="inlineStr">
        <is>
          <t>View details</t>
        </is>
      </c>
    </row>
    <row r="118">
      <c r="A118" t="inlineStr">
        <is>
          <t>953625291146</t>
        </is>
      </c>
      <c r="B118" t="inlineStr">
        <is>
          <t>Wrenfield Commercial Bank Oslo</t>
        </is>
      </c>
      <c r="C118" t="inlineStr">
        <is>
          <t>120047354818</t>
        </is>
      </c>
      <c r="D118" t="inlineStr">
        <is>
          <t>Mallow Settlement Bank Oslo</t>
        </is>
      </c>
      <c r="E118" t="inlineStr">
        <is>
          <t>USD</t>
        </is>
      </c>
      <c r="F118" t="inlineStr">
        <is>
          <t>NT26081700112</t>
        </is>
      </c>
      <c r="G118" s="6" t="n">
        <v>46251</v>
      </c>
      <c r="H118" s="7" t="n">
        <v>15186297.923</v>
      </c>
      <c r="I118" t="inlineStr">
        <is>
          <t>GBP</t>
        </is>
      </c>
      <c r="J118" s="7" t="n">
        <v>11906057.572</v>
      </c>
      <c r="K118" t="inlineStr">
        <is>
          <t>SWIFT</t>
        </is>
      </c>
      <c r="L118" t="inlineStr"/>
      <c r="M118" s="8" t="n">
        <v>46251.47150462963</v>
      </c>
      <c r="N118" t="inlineStr">
        <is>
          <t>Wren Hollis</t>
        </is>
      </c>
      <c r="O118" s="8" t="n"/>
      <c r="Q118" t="inlineStr">
        <is>
          <t>PENDING_APPROVAL</t>
        </is>
      </c>
      <c r="R118" t="inlineStr">
        <is>
          <t>SYRM_ACKNOWLEDGED</t>
        </is>
      </c>
      <c r="S118" t="inlineStr">
        <is>
          <t>View details</t>
        </is>
      </c>
    </row>
    <row r="119">
      <c r="A119" t="inlineStr">
        <is>
          <t>150316825069</t>
        </is>
      </c>
      <c r="B119" t="inlineStr">
        <is>
          <t>Pinehurst Commercial Bank Sydney</t>
        </is>
      </c>
      <c r="C119" t="inlineStr">
        <is>
          <t>499062838623</t>
        </is>
      </c>
      <c r="D119" t="inlineStr">
        <is>
          <t>Oriel Settlement Bank Madrid</t>
        </is>
      </c>
      <c r="E119" t="inlineStr">
        <is>
          <t>GBP</t>
        </is>
      </c>
      <c r="F119" t="inlineStr">
        <is>
          <t>NT26081700113</t>
        </is>
      </c>
      <c r="G119" s="6" t="n">
        <v>46251</v>
      </c>
      <c r="H119" s="7" t="n">
        <v>4.665</v>
      </c>
      <c r="I119" t="inlineStr">
        <is>
          <t>GBP</t>
        </is>
      </c>
      <c r="J119" s="7" t="n">
        <v>4.665</v>
      </c>
      <c r="K119" t="inlineStr">
        <is>
          <t>SWIFT</t>
        </is>
      </c>
      <c r="L119" t="inlineStr">
        <is>
          <t>Intraday top-up</t>
        </is>
      </c>
      <c r="M119" s="8" t="n">
        <v>46251.34943287037</v>
      </c>
      <c r="N119" t="inlineStr">
        <is>
          <t>Devon Jennings</t>
        </is>
      </c>
      <c r="O119" s="8" t="n">
        <v>46251.35568287037</v>
      </c>
      <c r="P119" t="inlineStr">
        <is>
          <t>Greer Osgood</t>
        </is>
      </c>
      <c r="Q119" t="inlineStr">
        <is>
          <t>CASHFLOW_RECEIVED</t>
        </is>
      </c>
      <c r="R119" t="inlineStr">
        <is>
          <t>SYRM_ACKNOWLEDGED</t>
        </is>
      </c>
      <c r="S119" t="inlineStr">
        <is>
          <t>View details</t>
        </is>
      </c>
    </row>
    <row r="120">
      <c r="A120" t="inlineStr">
        <is>
          <t>150316825069</t>
        </is>
      </c>
      <c r="B120" t="inlineStr">
        <is>
          <t>Thornbury Commercial Bank London</t>
        </is>
      </c>
      <c r="C120" t="inlineStr">
        <is>
          <t>700726936098</t>
        </is>
      </c>
      <c r="D120" t="inlineStr">
        <is>
          <t>Wrenfield Clearing Frankfurt</t>
        </is>
      </c>
      <c r="E120" t="inlineStr">
        <is>
          <t>GBP</t>
        </is>
      </c>
      <c r="F120" t="inlineStr">
        <is>
          <t>NT26081700114</t>
        </is>
      </c>
      <c r="G120" s="6" t="n">
        <v>46251</v>
      </c>
      <c r="H120" s="7" t="n">
        <v>6084677.597</v>
      </c>
      <c r="I120" t="inlineStr">
        <is>
          <t>GBP</t>
        </is>
      </c>
      <c r="J120" s="7" t="n">
        <v>6084677.597</v>
      </c>
      <c r="K120" t="inlineStr">
        <is>
          <t>SWIFT</t>
        </is>
      </c>
      <c r="L120" t="inlineStr">
        <is>
          <t>Balance alignment</t>
        </is>
      </c>
      <c r="M120" s="8" t="n">
        <v>46251.58635416667</v>
      </c>
      <c r="N120" t="inlineStr">
        <is>
          <t>Oakley Delaney</t>
        </is>
      </c>
      <c r="O120" s="8" t="n">
        <v>46251.61204861111</v>
      </c>
      <c r="P120" t="inlineStr">
        <is>
          <t>Marlow Sinclair</t>
        </is>
      </c>
      <c r="Q120" t="inlineStr">
        <is>
          <t>LEDGER_OR_CASHFLOW_RECEIVED</t>
        </is>
      </c>
      <c r="R120" t="inlineStr">
        <is>
          <t>SYRM_ACKNOWLEDGED</t>
        </is>
      </c>
      <c r="S120" t="inlineStr">
        <is>
          <t>View details</t>
        </is>
      </c>
    </row>
    <row r="121">
      <c r="A121" t="inlineStr">
        <is>
          <t>113829985108</t>
        </is>
      </c>
      <c r="B121" t="inlineStr">
        <is>
          <t>Alder Settlement Bank Paris</t>
        </is>
      </c>
      <c r="C121" t="inlineStr">
        <is>
          <t>499062838623</t>
        </is>
      </c>
      <c r="D121" t="inlineStr">
        <is>
          <t>Ironbark Clearing Frankfurt</t>
        </is>
      </c>
      <c r="E121" t="inlineStr">
        <is>
          <t>EUR</t>
        </is>
      </c>
      <c r="F121" t="inlineStr">
        <is>
          <t>NT26081800115</t>
        </is>
      </c>
      <c r="G121" s="6" t="n">
        <v>46252</v>
      </c>
      <c r="H121" s="7" t="n">
        <v>608219.578</v>
      </c>
      <c r="I121" t="inlineStr">
        <is>
          <t>GBP</t>
        </is>
      </c>
      <c r="J121" s="7" t="n">
        <v>521852.398</v>
      </c>
      <c r="K121" t="inlineStr">
        <is>
          <t>SWIFT</t>
        </is>
      </c>
      <c r="L121" t="inlineStr">
        <is>
          <t>Balance alignment</t>
        </is>
      </c>
      <c r="M121" s="8" t="n">
        <v>46252.56449074074</v>
      </c>
      <c r="N121" t="inlineStr">
        <is>
          <t>Blake Fairweather</t>
        </is>
      </c>
      <c r="O121" s="8" t="n">
        <v>46252.6061574074</v>
      </c>
      <c r="P121" t="inlineStr">
        <is>
          <t>Marlow Sinclair</t>
        </is>
      </c>
      <c r="Q121" t="inlineStr">
        <is>
          <t>LEDGER_OR_CASHFLOW_RECEIVED</t>
        </is>
      </c>
      <c r="R121" t="inlineStr">
        <is>
          <t>SYRM_ACKNOWLEDGED</t>
        </is>
      </c>
      <c r="S121" t="inlineStr">
        <is>
          <t>View details</t>
        </is>
      </c>
    </row>
    <row r="122">
      <c r="A122" t="inlineStr">
        <is>
          <t>150316825069</t>
        </is>
      </c>
      <c r="B122" t="inlineStr">
        <is>
          <t>Mallow Trust Frankfurt</t>
        </is>
      </c>
      <c r="C122" t="inlineStr">
        <is>
          <t>794226063698</t>
        </is>
      </c>
      <c r="D122" t="inlineStr">
        <is>
          <t>Kestrel Clearing Oslo</t>
        </is>
      </c>
      <c r="E122" t="inlineStr">
        <is>
          <t>GBP</t>
        </is>
      </c>
      <c r="F122" t="inlineStr">
        <is>
          <t>NT26081800116</t>
        </is>
      </c>
      <c r="G122" s="6" t="n">
        <v>46252</v>
      </c>
      <c r="H122" s="7" t="n">
        <v>4497455.386</v>
      </c>
      <c r="I122" t="inlineStr">
        <is>
          <t>GBP</t>
        </is>
      </c>
      <c r="J122" s="7" t="n">
        <v>4497455.386</v>
      </c>
      <c r="K122" t="inlineStr">
        <is>
          <t>SYRM</t>
        </is>
      </c>
      <c r="L122" t="inlineStr">
        <is>
          <t>Funding move</t>
        </is>
      </c>
      <c r="M122" s="8" t="n">
        <v>46252.4474537037</v>
      </c>
      <c r="N122" t="inlineStr">
        <is>
          <t>Wren Fairweather</t>
        </is>
      </c>
      <c r="O122" s="8" t="n">
        <v>46252.46689814814</v>
      </c>
      <c r="P122" t="inlineStr">
        <is>
          <t>Quinn Hollis</t>
        </is>
      </c>
      <c r="Q122" t="inlineStr">
        <is>
          <t>LEDGER_OR_CASHFLOW_RECEIVED</t>
        </is>
      </c>
      <c r="R122" t="inlineStr">
        <is>
          <t>SYRM_ACKNOWLEDGED</t>
        </is>
      </c>
      <c r="S122" t="inlineStr">
        <is>
          <t>View details</t>
        </is>
      </c>
    </row>
    <row r="123">
      <c r="A123" t="inlineStr">
        <is>
          <t>953625291146</t>
        </is>
      </c>
      <c r="B123" t="inlineStr">
        <is>
          <t>Oriel Commercial Bank Toronto</t>
        </is>
      </c>
      <c r="C123" t="inlineStr">
        <is>
          <t>968942362772</t>
        </is>
      </c>
      <c r="D123" t="inlineStr">
        <is>
          <t>Pinehurst Clearing Oslo</t>
        </is>
      </c>
      <c r="E123" t="inlineStr">
        <is>
          <t>USD</t>
        </is>
      </c>
      <c r="F123" t="inlineStr">
        <is>
          <t>NT26081800117</t>
        </is>
      </c>
      <c r="G123" s="6" t="n">
        <v>46252</v>
      </c>
      <c r="H123" s="7" t="n">
        <v>242028782.899</v>
      </c>
      <c r="I123" t="inlineStr">
        <is>
          <t>GBP</t>
        </is>
      </c>
      <c r="J123" s="7" t="n">
        <v>189750565.793</v>
      </c>
      <c r="K123" t="inlineStr">
        <is>
          <t>SWIFT</t>
        </is>
      </c>
      <c r="L123" t="inlineStr">
        <is>
          <t>Liquidity sweep</t>
        </is>
      </c>
      <c r="M123" s="8" t="n">
        <v>46252.77616898148</v>
      </c>
      <c r="N123" t="inlineStr">
        <is>
          <t>Quinn Kirby</t>
        </is>
      </c>
      <c r="O123" s="8" t="n">
        <v>46252.83658564815</v>
      </c>
      <c r="P123" t="inlineStr">
        <is>
          <t>Harper Calloway</t>
        </is>
      </c>
      <c r="Q123" t="inlineStr">
        <is>
          <t>LEDGER_OR_CASHFLOW_RECEIVED</t>
        </is>
      </c>
      <c r="R123" t="inlineStr">
        <is>
          <t>SYRM_ACKNOWLEDGED</t>
        </is>
      </c>
      <c r="S123" t="inlineStr">
        <is>
          <t>View details</t>
        </is>
      </c>
    </row>
    <row r="124">
      <c r="A124" t="inlineStr">
        <is>
          <t>150316825069</t>
        </is>
      </c>
      <c r="B124" t="inlineStr">
        <is>
          <t>Wrenfield Bank Paris</t>
        </is>
      </c>
      <c r="C124" t="inlineStr">
        <is>
          <t>468341071172</t>
        </is>
      </c>
      <c r="D124" t="inlineStr">
        <is>
          <t>Cedar Clearing New York</t>
        </is>
      </c>
      <c r="E124" t="inlineStr">
        <is>
          <t>GBP</t>
        </is>
      </c>
      <c r="F124" t="inlineStr">
        <is>
          <t>NT26081800118</t>
        </is>
      </c>
      <c r="G124" s="6" t="n">
        <v>46252</v>
      </c>
      <c r="H124" s="7" t="n">
        <v>401186.659</v>
      </c>
      <c r="I124" t="inlineStr">
        <is>
          <t>GBP</t>
        </is>
      </c>
      <c r="J124" s="7" t="n">
        <v>401186.659</v>
      </c>
      <c r="K124" t="inlineStr">
        <is>
          <t>SYRM</t>
        </is>
      </c>
      <c r="L124" t="inlineStr">
        <is>
          <t>Intraday top-up</t>
        </is>
      </c>
      <c r="M124" s="8" t="n">
        <v>46252.31680555556</v>
      </c>
      <c r="N124" t="inlineStr">
        <is>
          <t>Ellis Delaney</t>
        </is>
      </c>
      <c r="O124" s="8" t="n">
        <v>46252.3675</v>
      </c>
      <c r="P124" t="inlineStr">
        <is>
          <t>Oakley Rhodes</t>
        </is>
      </c>
      <c r="Q124" t="inlineStr">
        <is>
          <t>LEDGER_OR_CASHFLOW_RECEIVED</t>
        </is>
      </c>
      <c r="R124" t="inlineStr">
        <is>
          <t>SYRM_ACKNOWLEDGED</t>
        </is>
      </c>
      <c r="S124" t="inlineStr">
        <is>
          <t>View details</t>
        </is>
      </c>
    </row>
    <row r="125">
      <c r="A125" t="inlineStr">
        <is>
          <t>150316825069</t>
        </is>
      </c>
      <c r="B125" t="inlineStr">
        <is>
          <t>Bramble Trust Zurich</t>
        </is>
      </c>
      <c r="C125" t="inlineStr">
        <is>
          <t>794226063698</t>
        </is>
      </c>
      <c r="D125" t="inlineStr">
        <is>
          <t>Juniper Trust London</t>
        </is>
      </c>
      <c r="E125" t="inlineStr">
        <is>
          <t>GBP</t>
        </is>
      </c>
      <c r="F125" t="inlineStr">
        <is>
          <t>NT26081800119</t>
        </is>
      </c>
      <c r="G125" s="6" t="n">
        <v>46252</v>
      </c>
      <c r="H125" s="7" t="n">
        <v>1242765.743</v>
      </c>
      <c r="I125" t="inlineStr">
        <is>
          <t>GBP</t>
        </is>
      </c>
      <c r="J125" s="7" t="n">
        <v>1242765.743</v>
      </c>
      <c r="K125" t="inlineStr">
        <is>
          <t>SWIFT</t>
        </is>
      </c>
      <c r="L125" t="inlineStr">
        <is>
          <t>Liquidity sweep</t>
        </is>
      </c>
      <c r="M125" s="8" t="n">
        <v>46252.32741898148</v>
      </c>
      <c r="N125" t="inlineStr">
        <is>
          <t>Greer Prentice</t>
        </is>
      </c>
      <c r="O125" s="8" t="n">
        <v>46252.34130787037</v>
      </c>
      <c r="P125" t="inlineStr">
        <is>
          <t>Oakley Novak</t>
        </is>
      </c>
      <c r="Q125" t="inlineStr">
        <is>
          <t>LEDGER_OR_CASHFLOW_RECEIVED</t>
        </is>
      </c>
      <c r="R125" t="inlineStr">
        <is>
          <t>SYRM_PENDING</t>
        </is>
      </c>
      <c r="S125" t="inlineStr">
        <is>
          <t>View details</t>
        </is>
      </c>
    </row>
    <row r="126">
      <c r="A126" t="inlineStr">
        <is>
          <t>910703979141</t>
        </is>
      </c>
      <c r="B126" t="inlineStr">
        <is>
          <t>Cedar Settlement Bank Hong Kong</t>
        </is>
      </c>
      <c r="C126" t="inlineStr">
        <is>
          <t>359365220160</t>
        </is>
      </c>
      <c r="D126" t="inlineStr">
        <is>
          <t>Oriel Settlement Bank Madrid</t>
        </is>
      </c>
      <c r="E126" t="inlineStr">
        <is>
          <t>CHF</t>
        </is>
      </c>
      <c r="F126" t="inlineStr">
        <is>
          <t>NT26081800120</t>
        </is>
      </c>
      <c r="G126" s="6" t="n">
        <v>46252</v>
      </c>
      <c r="H126" s="7" t="n">
        <v>14905523.576</v>
      </c>
      <c r="I126" t="inlineStr">
        <is>
          <t>GBP</t>
        </is>
      </c>
      <c r="J126" s="7" t="n">
        <v>13370254.648</v>
      </c>
      <c r="K126" t="inlineStr">
        <is>
          <t>SYRM</t>
        </is>
      </c>
      <c r="L126" t="inlineStr">
        <is>
          <t>Liquidity sweep</t>
        </is>
      </c>
      <c r="M126" s="8" t="n">
        <v>46252.62876157407</v>
      </c>
      <c r="N126" t="inlineStr">
        <is>
          <t>Kai Calloway</t>
        </is>
      </c>
      <c r="O126" s="8" t="n">
        <v>46252.63501157407</v>
      </c>
      <c r="P126" t="inlineStr">
        <is>
          <t>Noor Sinclair</t>
        </is>
      </c>
      <c r="Q126" t="inlineStr">
        <is>
          <t>LEDGER_OR_CASHFLOW_RECEIVED</t>
        </is>
      </c>
      <c r="R126" t="inlineStr">
        <is>
          <t>SYRM_REJECTED</t>
        </is>
      </c>
      <c r="S126" t="inlineStr">
        <is>
          <t>View details</t>
        </is>
      </c>
    </row>
    <row r="127">
      <c r="A127" t="inlineStr">
        <is>
          <t>968942362772</t>
        </is>
      </c>
      <c r="B127" t="inlineStr">
        <is>
          <t>Wrenfield Trust Tokyo</t>
        </is>
      </c>
      <c r="C127" t="inlineStr">
        <is>
          <t>132544340094</t>
        </is>
      </c>
      <c r="D127" t="inlineStr">
        <is>
          <t>Juniper Clearing New York</t>
        </is>
      </c>
      <c r="E127" t="inlineStr">
        <is>
          <t>EUR</t>
        </is>
      </c>
      <c r="F127" t="inlineStr">
        <is>
          <t>NT26081800121</t>
        </is>
      </c>
      <c r="G127" s="6" t="n">
        <v>46252</v>
      </c>
      <c r="H127" s="7" t="n">
        <v>504624.367</v>
      </c>
      <c r="I127" t="inlineStr">
        <is>
          <t>GBP</t>
        </is>
      </c>
      <c r="J127" s="7" t="n">
        <v>432967.707</v>
      </c>
      <c r="K127" t="inlineStr">
        <is>
          <t>SWIFT</t>
        </is>
      </c>
      <c r="L127" t="inlineStr"/>
      <c r="M127" s="8" t="n">
        <v>46252.60739583334</v>
      </c>
      <c r="N127" t="inlineStr">
        <is>
          <t>Ellis Gallagher</t>
        </is>
      </c>
      <c r="O127" s="8" t="n">
        <v>46252.65461805555</v>
      </c>
      <c r="P127" t="inlineStr">
        <is>
          <t>Quinn Hollis</t>
        </is>
      </c>
      <c r="Q127" t="inlineStr">
        <is>
          <t>CASHFLOW_RECEIVED</t>
        </is>
      </c>
      <c r="R127" t="inlineStr">
        <is>
          <t>SYRM_ACKNOWLEDGED</t>
        </is>
      </c>
      <c r="S127" t="inlineStr">
        <is>
          <t>View details</t>
        </is>
      </c>
    </row>
    <row r="128">
      <c r="A128" t="inlineStr">
        <is>
          <t>132544340094</t>
        </is>
      </c>
      <c r="B128" t="inlineStr">
        <is>
          <t>Yarrow Bank Stockholm</t>
        </is>
      </c>
      <c r="C128" t="inlineStr">
        <is>
          <t>700726936098</t>
        </is>
      </c>
      <c r="D128" t="inlineStr">
        <is>
          <t>Pinehurst Trust Toronto</t>
        </is>
      </c>
      <c r="E128" t="inlineStr">
        <is>
          <t>CZK</t>
        </is>
      </c>
      <c r="F128" t="inlineStr">
        <is>
          <t>NT26081800122</t>
        </is>
      </c>
      <c r="G128" s="6" t="n">
        <v>46252</v>
      </c>
      <c r="H128" s="7" t="n">
        <v>28842.347</v>
      </c>
      <c r="I128" t="inlineStr">
        <is>
          <t>GBP</t>
        </is>
      </c>
      <c r="J128" s="7" t="n">
        <v>977.756</v>
      </c>
      <c r="K128" t="inlineStr">
        <is>
          <t>SWIFT</t>
        </is>
      </c>
      <c r="L128" t="inlineStr">
        <is>
          <t>Liquidity sweep</t>
        </is>
      </c>
      <c r="M128" s="8" t="n">
        <v>46252.38541666666</v>
      </c>
      <c r="N128" t="inlineStr">
        <is>
          <t>Oakley Novak</t>
        </is>
      </c>
      <c r="O128" s="8" t="n">
        <v>46252.43541666667</v>
      </c>
      <c r="P128" t="inlineStr">
        <is>
          <t>Wren Fairweather</t>
        </is>
      </c>
      <c r="Q128" t="inlineStr">
        <is>
          <t>LEDGER_RECEIVED</t>
        </is>
      </c>
      <c r="R128" t="inlineStr">
        <is>
          <t>SYRM_ACKNOWLEDGED</t>
        </is>
      </c>
      <c r="S128" t="inlineStr">
        <is>
          <t>View details</t>
        </is>
      </c>
    </row>
    <row r="129">
      <c r="A129" t="inlineStr">
        <is>
          <t>171857983160</t>
        </is>
      </c>
      <c r="B129" t="inlineStr">
        <is>
          <t>Redstart Commercial Bank Stockholm</t>
        </is>
      </c>
      <c r="C129" t="inlineStr">
        <is>
          <t>359365220160</t>
        </is>
      </c>
      <c r="D129" t="inlineStr">
        <is>
          <t>Juniper Commercial Bank Warsaw</t>
        </is>
      </c>
      <c r="E129" t="inlineStr">
        <is>
          <t>AUD</t>
        </is>
      </c>
      <c r="F129" t="inlineStr">
        <is>
          <t>NT26081800123</t>
        </is>
      </c>
      <c r="G129" s="6" t="n">
        <v>46252</v>
      </c>
      <c r="H129" s="7" t="n">
        <v>38431307.412</v>
      </c>
      <c r="I129" t="inlineStr">
        <is>
          <t>GBP</t>
        </is>
      </c>
      <c r="J129" s="7" t="n">
        <v>19715260.702</v>
      </c>
      <c r="K129" t="inlineStr">
        <is>
          <t>SYRM</t>
        </is>
      </c>
      <c r="L129" t="inlineStr">
        <is>
          <t>Funding move</t>
        </is>
      </c>
      <c r="M129" s="8" t="n">
        <v>46252.43498842593</v>
      </c>
      <c r="N129" t="inlineStr">
        <is>
          <t>Tatum Ashford</t>
        </is>
      </c>
      <c r="O129" s="8" t="n">
        <v>46252.44401620371</v>
      </c>
      <c r="P129" t="inlineStr">
        <is>
          <t>Quinn Brookes</t>
        </is>
      </c>
      <c r="Q129" t="inlineStr">
        <is>
          <t>LEDGER_OR_CASHFLOW_RECEIVED</t>
        </is>
      </c>
      <c r="R129" t="inlineStr">
        <is>
          <t>SYRM_REJECTED</t>
        </is>
      </c>
      <c r="S129" t="inlineStr">
        <is>
          <t>View details</t>
        </is>
      </c>
    </row>
    <row r="130">
      <c r="A130" t="inlineStr">
        <is>
          <t>150316825069</t>
        </is>
      </c>
      <c r="B130" t="inlineStr">
        <is>
          <t>Pinehurst Trust Toronto</t>
        </is>
      </c>
      <c r="C130" t="inlineStr">
        <is>
          <t>968942362772</t>
        </is>
      </c>
      <c r="D130" t="inlineStr">
        <is>
          <t>Pinehurst Clearing Oslo</t>
        </is>
      </c>
      <c r="E130" t="inlineStr">
        <is>
          <t>GBP</t>
        </is>
      </c>
      <c r="F130" t="inlineStr">
        <is>
          <t>NT26081800124</t>
        </is>
      </c>
      <c r="G130" s="6" t="n">
        <v>46252</v>
      </c>
      <c r="H130" s="7" t="n">
        <v>1342437.022</v>
      </c>
      <c r="I130" t="inlineStr">
        <is>
          <t>GBP</t>
        </is>
      </c>
      <c r="J130" s="7" t="n">
        <v>1342437.022</v>
      </c>
      <c r="K130" t="inlineStr">
        <is>
          <t>SYRM</t>
        </is>
      </c>
      <c r="L130" t="inlineStr">
        <is>
          <t>Liquidity sweep</t>
        </is>
      </c>
      <c r="M130" s="8" t="n">
        <v>46252.67237268519</v>
      </c>
      <c r="N130" t="inlineStr">
        <is>
          <t>Devon Jennings</t>
        </is>
      </c>
      <c r="O130" s="8" t="n">
        <v>46252.67931712963</v>
      </c>
      <c r="P130" t="inlineStr">
        <is>
          <t>Oakley Rhodes</t>
        </is>
      </c>
      <c r="Q130" t="inlineStr">
        <is>
          <t>LEDGER_OR_CASHFLOW_RECEIVED</t>
        </is>
      </c>
      <c r="R130" t="inlineStr">
        <is>
          <t>SYRM_ACKNOWLEDGED</t>
        </is>
      </c>
      <c r="S130" t="inlineStr">
        <is>
          <t>View details</t>
        </is>
      </c>
    </row>
    <row r="131">
      <c r="A131" t="inlineStr">
        <is>
          <t>968942362772</t>
        </is>
      </c>
      <c r="B131" t="inlineStr">
        <is>
          <t>Sablewood Settlement Bank Oslo</t>
        </is>
      </c>
      <c r="C131" t="inlineStr">
        <is>
          <t>468341071172</t>
        </is>
      </c>
      <c r="D131" t="inlineStr">
        <is>
          <t>Granite Commercial Bank Milan</t>
        </is>
      </c>
      <c r="E131" t="inlineStr">
        <is>
          <t>EUR</t>
        </is>
      </c>
      <c r="F131" t="inlineStr">
        <is>
          <t>NT26081800125</t>
        </is>
      </c>
      <c r="G131" s="6" t="n">
        <v>46252</v>
      </c>
      <c r="H131" s="7" t="n">
        <v>9483121.608999999</v>
      </c>
      <c r="I131" t="inlineStr">
        <is>
          <t>GBP</t>
        </is>
      </c>
      <c r="J131" s="7" t="n">
        <v>8136518.341</v>
      </c>
      <c r="K131" t="inlineStr">
        <is>
          <t>SYRM</t>
        </is>
      </c>
      <c r="L131" t="inlineStr">
        <is>
          <t>Liquidity sweep</t>
        </is>
      </c>
      <c r="M131" s="8" t="n">
        <v>46252.36091435186</v>
      </c>
      <c r="N131" t="inlineStr">
        <is>
          <t>Oakley Delaney</t>
        </is>
      </c>
      <c r="O131" s="8" t="n">
        <v>46252.39633101852</v>
      </c>
      <c r="P131" t="inlineStr">
        <is>
          <t>Harper Calloway</t>
        </is>
      </c>
      <c r="Q131" t="inlineStr">
        <is>
          <t>LEDGER_OR_CASHFLOW_RECEIVED</t>
        </is>
      </c>
      <c r="R131" t="inlineStr">
        <is>
          <t>SYRM_PENDING</t>
        </is>
      </c>
      <c r="S131" t="inlineStr">
        <is>
          <t>View details</t>
        </is>
      </c>
    </row>
    <row r="132">
      <c r="A132" t="inlineStr">
        <is>
          <t>150316825069</t>
        </is>
      </c>
      <c r="B132" t="inlineStr">
        <is>
          <t>Redstart Commercial Bank Stockholm</t>
        </is>
      </c>
      <c r="C132" t="inlineStr">
        <is>
          <t>910703979141</t>
        </is>
      </c>
      <c r="D132" t="inlineStr">
        <is>
          <t>Mallow Settlement Bank Oslo</t>
        </is>
      </c>
      <c r="E132" t="inlineStr">
        <is>
          <t>GBP</t>
        </is>
      </c>
      <c r="F132" t="inlineStr">
        <is>
          <t>NT26081800126</t>
        </is>
      </c>
      <c r="G132" s="6" t="n">
        <v>46252</v>
      </c>
      <c r="H132" s="7" t="n">
        <v>1337294.36</v>
      </c>
      <c r="I132" t="inlineStr">
        <is>
          <t>GBP</t>
        </is>
      </c>
      <c r="J132" s="7" t="n">
        <v>1337294.36</v>
      </c>
      <c r="K132" t="inlineStr">
        <is>
          <t>SYRM</t>
        </is>
      </c>
      <c r="L132" t="inlineStr">
        <is>
          <t>Funding move</t>
        </is>
      </c>
      <c r="M132" s="8" t="n">
        <v>46252.23949074074</v>
      </c>
      <c r="N132" t="inlineStr">
        <is>
          <t>Finley Jennings</t>
        </is>
      </c>
      <c r="O132" s="8" t="n">
        <v>46252.26310185185</v>
      </c>
      <c r="P132" t="inlineStr">
        <is>
          <t>Wren Hollis</t>
        </is>
      </c>
      <c r="Q132" t="inlineStr">
        <is>
          <t>LEDGER_OR_CASHFLOW_RECEIVED</t>
        </is>
      </c>
      <c r="R132" t="inlineStr">
        <is>
          <t>SYRM_ACKNOWLEDGED</t>
        </is>
      </c>
      <c r="S132" t="inlineStr">
        <is>
          <t>View details</t>
        </is>
      </c>
    </row>
    <row r="133">
      <c r="A133" t="inlineStr">
        <is>
          <t>150316825069</t>
        </is>
      </c>
      <c r="B133" t="inlineStr">
        <is>
          <t>Bramble Commercial Bank Toronto</t>
        </is>
      </c>
      <c r="C133" t="inlineStr">
        <is>
          <t>968942362772</t>
        </is>
      </c>
      <c r="D133" t="inlineStr">
        <is>
          <t>Mallow Trust Frankfurt</t>
        </is>
      </c>
      <c r="E133" t="inlineStr">
        <is>
          <t>GBP</t>
        </is>
      </c>
      <c r="F133" t="inlineStr">
        <is>
          <t>NT26081800127</t>
        </is>
      </c>
      <c r="G133" s="6" t="n">
        <v>46252</v>
      </c>
      <c r="H133" s="7" t="n">
        <v>2511038.034</v>
      </c>
      <c r="I133" t="inlineStr">
        <is>
          <t>GBP</t>
        </is>
      </c>
      <c r="J133" s="7" t="n">
        <v>2511038.034</v>
      </c>
      <c r="K133" t="inlineStr">
        <is>
          <t>SYRM</t>
        </is>
      </c>
      <c r="L133" t="inlineStr"/>
      <c r="M133" s="8" t="n">
        <v>46252.58501157408</v>
      </c>
      <c r="N133" t="inlineStr">
        <is>
          <t>Wren Hollis</t>
        </is>
      </c>
      <c r="O133" s="8" t="n">
        <v>46252.64612268518</v>
      </c>
      <c r="P133" t="inlineStr">
        <is>
          <t>Oakley Novak</t>
        </is>
      </c>
      <c r="Q133" t="inlineStr">
        <is>
          <t>LEDGER_OR_CASHFLOW_RECEIVED</t>
        </is>
      </c>
      <c r="R133" t="inlineStr">
        <is>
          <t>SYRM_ACKNOWLEDGED</t>
        </is>
      </c>
      <c r="S133" t="inlineStr">
        <is>
          <t>View details</t>
        </is>
      </c>
    </row>
    <row r="134">
      <c r="A134" t="inlineStr">
        <is>
          <t>150316825069</t>
        </is>
      </c>
      <c r="B134" t="inlineStr">
        <is>
          <t>Zephyr Bank Singapore</t>
        </is>
      </c>
      <c r="C134" t="inlineStr">
        <is>
          <t>968942362772</t>
        </is>
      </c>
      <c r="D134" t="inlineStr">
        <is>
          <t>Ironbark Clearing Frankfurt</t>
        </is>
      </c>
      <c r="E134" t="inlineStr">
        <is>
          <t>GBP</t>
        </is>
      </c>
      <c r="F134" t="inlineStr">
        <is>
          <t>NT26081800128</t>
        </is>
      </c>
      <c r="G134" s="6" t="n">
        <v>46252</v>
      </c>
      <c r="H134" s="7" t="n">
        <v>6861577.264</v>
      </c>
      <c r="I134" t="inlineStr">
        <is>
          <t>GBP</t>
        </is>
      </c>
      <c r="J134" s="7" t="n">
        <v>6861577.264</v>
      </c>
      <c r="K134" t="inlineStr">
        <is>
          <t>SYRM</t>
        </is>
      </c>
      <c r="L134" t="inlineStr">
        <is>
          <t>Intraday top-up</t>
        </is>
      </c>
      <c r="M134" s="8" t="n">
        <v>46252.56578703703</v>
      </c>
      <c r="N134" t="inlineStr">
        <is>
          <t>Oakley Rhodes</t>
        </is>
      </c>
      <c r="O134" s="8" t="n">
        <v>46252.61023148148</v>
      </c>
      <c r="P134" t="inlineStr">
        <is>
          <t>Noor Thorne</t>
        </is>
      </c>
      <c r="Q134" t="inlineStr">
        <is>
          <t>LEDGER_OR_CASHFLOW_RECEIVED</t>
        </is>
      </c>
      <c r="R134" t="inlineStr">
        <is>
          <t>SYRM_ACKNOWLEDGED</t>
        </is>
      </c>
      <c r="S134" t="inlineStr">
        <is>
          <t>View details</t>
        </is>
      </c>
    </row>
    <row r="135">
      <c r="A135" t="inlineStr">
        <is>
          <t>113829985108</t>
        </is>
      </c>
      <c r="B135" t="inlineStr">
        <is>
          <t>Wrenfield Commercial Bank Oslo</t>
        </is>
      </c>
      <c r="C135" t="inlineStr">
        <is>
          <t>968942362772</t>
        </is>
      </c>
      <c r="D135" t="inlineStr">
        <is>
          <t>Wrenfield Trust Tokyo</t>
        </is>
      </c>
      <c r="E135" t="inlineStr">
        <is>
          <t>EUR</t>
        </is>
      </c>
      <c r="F135" t="inlineStr">
        <is>
          <t>NT26081800129</t>
        </is>
      </c>
      <c r="G135" s="6" t="n">
        <v>46252</v>
      </c>
      <c r="H135" s="7" t="n">
        <v>401504971.187</v>
      </c>
      <c r="I135" t="inlineStr">
        <is>
          <t>GBP</t>
        </is>
      </c>
      <c r="J135" s="7" t="n">
        <v>344491265.278</v>
      </c>
      <c r="K135" t="inlineStr">
        <is>
          <t>SWIFT</t>
        </is>
      </c>
      <c r="L135" t="inlineStr"/>
      <c r="M135" s="8" t="n">
        <v>46252.62438657408</v>
      </c>
      <c r="N135" t="inlineStr">
        <is>
          <t>Devon Jennings</t>
        </is>
      </c>
      <c r="O135" s="8" t="n">
        <v>46252.67230324074</v>
      </c>
      <c r="P135" t="inlineStr">
        <is>
          <t>Devon Calloway</t>
        </is>
      </c>
      <c r="Q135" t="inlineStr">
        <is>
          <t>LEDGER_OR_CASHFLOW_RECEIVED</t>
        </is>
      </c>
      <c r="R135" t="inlineStr">
        <is>
          <t>SYRM_ACKNOWLEDGED</t>
        </is>
      </c>
      <c r="S135" t="inlineStr">
        <is>
          <t>View details</t>
        </is>
      </c>
    </row>
    <row r="136">
      <c r="A136" t="inlineStr">
        <is>
          <t>150316825069</t>
        </is>
      </c>
      <c r="B136" t="inlineStr">
        <is>
          <t>Pinehurst Settlement Bank Frankfurt</t>
        </is>
      </c>
      <c r="C136" t="inlineStr">
        <is>
          <t>898317028833</t>
        </is>
      </c>
      <c r="D136" t="inlineStr">
        <is>
          <t>Bramble Clearing Milan</t>
        </is>
      </c>
      <c r="E136" t="inlineStr">
        <is>
          <t>GBP</t>
        </is>
      </c>
      <c r="F136" t="inlineStr">
        <is>
          <t>NT26081800130</t>
        </is>
      </c>
      <c r="G136" s="6" t="n">
        <v>46252</v>
      </c>
      <c r="H136" s="7" t="n">
        <v>35082520.262</v>
      </c>
      <c r="I136" t="inlineStr">
        <is>
          <t>GBP</t>
        </is>
      </c>
      <c r="J136" s="7" t="n">
        <v>35082520.262</v>
      </c>
      <c r="K136" t="inlineStr">
        <is>
          <t>INTERNAL</t>
        </is>
      </c>
      <c r="L136" t="inlineStr">
        <is>
          <t>Balance alignment</t>
        </is>
      </c>
      <c r="M136" s="8" t="n">
        <v>46252.43346064815</v>
      </c>
      <c r="N136" t="inlineStr">
        <is>
          <t>Finley Hollis</t>
        </is>
      </c>
      <c r="O136" s="8" t="n">
        <v>46252.48346064815</v>
      </c>
      <c r="P136" t="inlineStr">
        <is>
          <t>Ellis Delaney</t>
        </is>
      </c>
      <c r="Q136" t="inlineStr">
        <is>
          <t>LEDGER_OR_CASHFLOW_RECEIVED</t>
        </is>
      </c>
      <c r="R136" t="inlineStr">
        <is>
          <t>SYRM_ACKNOWLEDGED</t>
        </is>
      </c>
      <c r="S136" t="inlineStr">
        <is>
          <t>View details</t>
        </is>
      </c>
    </row>
    <row r="137">
      <c r="A137" t="inlineStr">
        <is>
          <t>700726936098</t>
        </is>
      </c>
      <c r="B137" t="inlineStr">
        <is>
          <t>Bramble Commercial Bank Toronto</t>
        </is>
      </c>
      <c r="C137" t="inlineStr">
        <is>
          <t>150316825069</t>
        </is>
      </c>
      <c r="D137" t="inlineStr">
        <is>
          <t>Bramble Trust Zurich</t>
        </is>
      </c>
      <c r="E137" t="inlineStr">
        <is>
          <t>SAR</t>
        </is>
      </c>
      <c r="F137" t="inlineStr">
        <is>
          <t>NT26081800131</t>
        </is>
      </c>
      <c r="G137" s="6" t="n">
        <v>46252</v>
      </c>
      <c r="H137" s="7" t="n">
        <v>135861994.357</v>
      </c>
      <c r="I137" t="inlineStr">
        <is>
          <t>GBP</t>
        </is>
      </c>
      <c r="J137" s="7" t="n">
        <v>28395156.821</v>
      </c>
      <c r="K137" t="inlineStr">
        <is>
          <t>INTERNAL</t>
        </is>
      </c>
      <c r="L137" t="inlineStr">
        <is>
          <t>Intraday top-up</t>
        </is>
      </c>
      <c r="M137" s="8" t="n">
        <v>46252.34398148148</v>
      </c>
      <c r="N137" t="inlineStr">
        <is>
          <t>Devon Jennings</t>
        </is>
      </c>
      <c r="O137" s="8" t="n">
        <v>46252.39537037037</v>
      </c>
      <c r="P137" t="inlineStr">
        <is>
          <t>Quinn Osgood</t>
        </is>
      </c>
      <c r="Q137" t="inlineStr">
        <is>
          <t>LEDGER_OR_CASHFLOW_RECEIVED</t>
        </is>
      </c>
      <c r="R137" t="inlineStr">
        <is>
          <t>SYRM_ACKNOWLEDGED</t>
        </is>
      </c>
      <c r="S137" t="inlineStr">
        <is>
          <t>View details</t>
        </is>
      </c>
    </row>
    <row r="138">
      <c r="A138" t="inlineStr">
        <is>
          <t>927538182434</t>
        </is>
      </c>
      <c r="B138" t="inlineStr">
        <is>
          <t>Zephyr Settlement Bank New York</t>
        </is>
      </c>
      <c r="C138" t="inlineStr">
        <is>
          <t>910703979141</t>
        </is>
      </c>
      <c r="D138" t="inlineStr">
        <is>
          <t>Mallow Commercial Bank Mexico City</t>
        </is>
      </c>
      <c r="E138" t="inlineStr">
        <is>
          <t>CNY</t>
        </is>
      </c>
      <c r="F138" t="inlineStr">
        <is>
          <t>NT26081800132</t>
        </is>
      </c>
      <c r="G138" s="6" t="n">
        <v>46252</v>
      </c>
      <c r="H138" s="7" t="n">
        <v>123362427.896</v>
      </c>
      <c r="I138" t="inlineStr">
        <is>
          <t>GBP</t>
        </is>
      </c>
      <c r="J138" s="7" t="n">
        <v>13446504.641</v>
      </c>
      <c r="K138" t="inlineStr">
        <is>
          <t>SYRM</t>
        </is>
      </c>
      <c r="L138" t="inlineStr"/>
      <c r="M138" s="8" t="n">
        <v>46252.44375</v>
      </c>
      <c r="N138" t="inlineStr">
        <is>
          <t>Marlow Thorne</t>
        </is>
      </c>
      <c r="O138" s="8" t="n">
        <v>46252.48888888889</v>
      </c>
      <c r="P138" t="inlineStr">
        <is>
          <t>Devon Delaney</t>
        </is>
      </c>
      <c r="Q138" t="inlineStr">
        <is>
          <t>LEDGER_OR_CASHFLOW_RECEIVED</t>
        </is>
      </c>
      <c r="R138" t="inlineStr">
        <is>
          <t>SYRM_ACKNOWLEDGED</t>
        </is>
      </c>
      <c r="S138" t="inlineStr">
        <is>
          <t>View details</t>
        </is>
      </c>
    </row>
    <row r="139">
      <c r="A139" t="inlineStr">
        <is>
          <t>150316825069</t>
        </is>
      </c>
      <c r="B139" t="inlineStr">
        <is>
          <t>Zephyr Bank Madrid</t>
        </is>
      </c>
      <c r="C139" t="inlineStr">
        <is>
          <t>898317028833</t>
        </is>
      </c>
      <c r="D139" t="inlineStr">
        <is>
          <t>Fernway Clearing Frankfurt</t>
        </is>
      </c>
      <c r="E139" t="inlineStr">
        <is>
          <t>GBP</t>
        </is>
      </c>
      <c r="F139" t="inlineStr">
        <is>
          <t>NT26081800133</t>
        </is>
      </c>
      <c r="G139" s="6" t="n">
        <v>46252</v>
      </c>
      <c r="H139" s="7" t="n">
        <v>457452.998</v>
      </c>
      <c r="I139" t="inlineStr">
        <is>
          <t>GBP</t>
        </is>
      </c>
      <c r="J139" s="7" t="n">
        <v>457452.998</v>
      </c>
      <c r="K139" t="inlineStr">
        <is>
          <t>SWIFT</t>
        </is>
      </c>
      <c r="L139" t="inlineStr">
        <is>
          <t>Liquidity sweep</t>
        </is>
      </c>
      <c r="M139" s="8" t="n">
        <v>46252.51523148148</v>
      </c>
      <c r="N139" t="inlineStr">
        <is>
          <t>Devon Calloway</t>
        </is>
      </c>
      <c r="O139" s="8" t="n">
        <v>46252.54092592592</v>
      </c>
      <c r="P139" t="inlineStr">
        <is>
          <t>Quinn Hollis</t>
        </is>
      </c>
      <c r="Q139" t="inlineStr">
        <is>
          <t>LEDGER_OR_CASHFLOW_RECEIVED</t>
        </is>
      </c>
      <c r="R139" t="inlineStr">
        <is>
          <t>SYRM_ACKNOWLEDGED</t>
        </is>
      </c>
      <c r="S139" t="inlineStr">
        <is>
          <t>View details</t>
        </is>
      </c>
    </row>
    <row r="140">
      <c r="A140" t="inlineStr">
        <is>
          <t>150316825069</t>
        </is>
      </c>
      <c r="B140" t="inlineStr">
        <is>
          <t>Nightjar Clearing Dublin</t>
        </is>
      </c>
      <c r="C140" t="inlineStr">
        <is>
          <t>794226063698</t>
        </is>
      </c>
      <c r="D140" t="inlineStr">
        <is>
          <t>Yarrow Trust Oslo</t>
        </is>
      </c>
      <c r="E140" t="inlineStr">
        <is>
          <t>GBP</t>
        </is>
      </c>
      <c r="F140" t="inlineStr">
        <is>
          <t>NT26081800134</t>
        </is>
      </c>
      <c r="G140" s="6" t="n">
        <v>46252</v>
      </c>
      <c r="H140" s="7" t="n">
        <v>403321.508</v>
      </c>
      <c r="I140" t="inlineStr">
        <is>
          <t>GBP</t>
        </is>
      </c>
      <c r="J140" s="7" t="n">
        <v>403321.508</v>
      </c>
      <c r="K140" t="inlineStr">
        <is>
          <t>SYRM</t>
        </is>
      </c>
      <c r="L140" t="inlineStr"/>
      <c r="M140" s="8" t="n">
        <v>46252.42180555555</v>
      </c>
      <c r="N140" t="inlineStr">
        <is>
          <t>Avery Sinclair</t>
        </is>
      </c>
      <c r="O140" s="8" t="n">
        <v>46252.46833333333</v>
      </c>
      <c r="P140" t="inlineStr">
        <is>
          <t>Ellis Gallagher</t>
        </is>
      </c>
      <c r="Q140" t="inlineStr">
        <is>
          <t>CASHFLOW_RECEIVED</t>
        </is>
      </c>
      <c r="R140" t="inlineStr">
        <is>
          <t>SYRM_ACKNOWLEDGED</t>
        </is>
      </c>
      <c r="S140" t="inlineStr">
        <is>
          <t>View details</t>
        </is>
      </c>
    </row>
    <row r="141">
      <c r="A141" t="inlineStr">
        <is>
          <t>824840705580</t>
        </is>
      </c>
      <c r="B141" t="inlineStr">
        <is>
          <t>Pinehurst Trust Toronto</t>
        </is>
      </c>
      <c r="C141" t="inlineStr">
        <is>
          <t>468341071172</t>
        </is>
      </c>
      <c r="D141" t="inlineStr">
        <is>
          <t>Granite Commercial Bank Milan</t>
        </is>
      </c>
      <c r="E141" t="inlineStr">
        <is>
          <t>EUR</t>
        </is>
      </c>
      <c r="F141" t="inlineStr">
        <is>
          <t>NT26081800135</t>
        </is>
      </c>
      <c r="G141" s="6" t="n">
        <v>46252</v>
      </c>
      <c r="H141" s="7" t="n">
        <v>412675.41</v>
      </c>
      <c r="I141" t="inlineStr">
        <is>
          <t>GBP</t>
        </is>
      </c>
      <c r="J141" s="7" t="n">
        <v>354075.502</v>
      </c>
      <c r="K141" t="inlineStr">
        <is>
          <t>SWIFT</t>
        </is>
      </c>
      <c r="L141" t="inlineStr">
        <is>
          <t>Intraday top-up</t>
        </is>
      </c>
      <c r="M141" s="8" t="n">
        <v>46252.27844907407</v>
      </c>
      <c r="N141" t="inlineStr">
        <is>
          <t>Kai Novak</t>
        </is>
      </c>
      <c r="O141" s="8" t="n">
        <v>46252.32706018518</v>
      </c>
      <c r="P141" t="inlineStr">
        <is>
          <t>Quinn Lindqvist</t>
        </is>
      </c>
      <c r="Q141" t="inlineStr">
        <is>
          <t>LEDGER_OR_CASHFLOW_RECEIVED</t>
        </is>
      </c>
      <c r="R141" t="inlineStr">
        <is>
          <t>SYRM_ACKNOWLEDGED</t>
        </is>
      </c>
      <c r="S141" t="inlineStr">
        <is>
          <t>View details</t>
        </is>
      </c>
    </row>
    <row r="142">
      <c r="A142" t="inlineStr">
        <is>
          <t>794226063698</t>
        </is>
      </c>
      <c r="B142" t="inlineStr">
        <is>
          <t>Cedar Clearing New York</t>
        </is>
      </c>
      <c r="C142" t="inlineStr">
        <is>
          <t>468341071172</t>
        </is>
      </c>
      <c r="D142" t="inlineStr">
        <is>
          <t>Juniper Clearing New York</t>
        </is>
      </c>
      <c r="E142" t="inlineStr">
        <is>
          <t>AED</t>
        </is>
      </c>
      <c r="F142" t="inlineStr">
        <is>
          <t>NT26081800136</t>
        </is>
      </c>
      <c r="G142" s="6" t="n">
        <v>46252</v>
      </c>
      <c r="H142" s="7" t="n">
        <v>168096606.776</v>
      </c>
      <c r="I142" t="inlineStr">
        <is>
          <t>GBP</t>
        </is>
      </c>
      <c r="J142" s="7" t="n">
        <v>35804577.243</v>
      </c>
      <c r="K142" t="inlineStr">
        <is>
          <t>SYRM</t>
        </is>
      </c>
      <c r="L142" t="inlineStr">
        <is>
          <t>Intraday top-up</t>
        </is>
      </c>
      <c r="M142" s="8" t="n">
        <v>46252.415625</v>
      </c>
      <c r="N142" t="inlineStr">
        <is>
          <t>Quinn Hollis</t>
        </is>
      </c>
      <c r="O142" s="8" t="n">
        <v>46252.41909722222</v>
      </c>
      <c r="P142" t="inlineStr">
        <is>
          <t>Noor Brookes</t>
        </is>
      </c>
      <c r="Q142" t="inlineStr">
        <is>
          <t>LEDGER_OR_CASHFLOW_RECEIVED</t>
        </is>
      </c>
      <c r="R142" t="inlineStr">
        <is>
          <t>SYRM_ACKNOWLEDGED</t>
        </is>
      </c>
      <c r="S142" t="inlineStr">
        <is>
          <t>View details</t>
        </is>
      </c>
    </row>
    <row r="143">
      <c r="A143" t="inlineStr">
        <is>
          <t>284925023085</t>
        </is>
      </c>
      <c r="B143" t="inlineStr">
        <is>
          <t>Dunlin Commercial Bank Warsaw</t>
        </is>
      </c>
      <c r="C143" t="inlineStr">
        <is>
          <t>150316825069</t>
        </is>
      </c>
      <c r="D143" t="inlineStr">
        <is>
          <t>Ironbark Trust Dublin</t>
        </is>
      </c>
      <c r="E143" t="inlineStr">
        <is>
          <t>MXN</t>
        </is>
      </c>
      <c r="F143" t="inlineStr">
        <is>
          <t>NT26081800137</t>
        </is>
      </c>
      <c r="G143" s="6" t="n">
        <v>46252</v>
      </c>
      <c r="H143" s="7" t="n">
        <v>27935.431</v>
      </c>
      <c r="I143" t="inlineStr">
        <is>
          <t>GBP</t>
        </is>
      </c>
      <c r="J143" s="7" t="n">
        <v>1195.636</v>
      </c>
      <c r="K143" t="inlineStr">
        <is>
          <t>SYRM</t>
        </is>
      </c>
      <c r="L143" t="inlineStr">
        <is>
          <t>Funding move</t>
        </is>
      </c>
      <c r="M143" s="8" t="n">
        <v>46252.47071759259</v>
      </c>
      <c r="N143" t="inlineStr">
        <is>
          <t>Marlow Sinclair</t>
        </is>
      </c>
      <c r="O143" s="8" t="n">
        <v>46252.47766203704</v>
      </c>
      <c r="P143" t="inlineStr">
        <is>
          <t>Avery Prentice</t>
        </is>
      </c>
      <c r="Q143" t="inlineStr">
        <is>
          <t>LEDGER_OR_CASHFLOW_RECEIVED</t>
        </is>
      </c>
      <c r="R143" t="inlineStr">
        <is>
          <t>SYRM_ACKNOWLEDGED</t>
        </is>
      </c>
      <c r="S143" t="inlineStr">
        <is>
          <t>View details</t>
        </is>
      </c>
    </row>
    <row r="144">
      <c r="A144" t="inlineStr">
        <is>
          <t>265771593142</t>
        </is>
      </c>
      <c r="B144" t="inlineStr">
        <is>
          <t>Umberton Commercial Bank Mexico City</t>
        </is>
      </c>
      <c r="C144" t="inlineStr">
        <is>
          <t>171857983160</t>
        </is>
      </c>
      <c r="D144" t="inlineStr">
        <is>
          <t>Umberton Trust Tokyo</t>
        </is>
      </c>
      <c r="E144" t="inlineStr">
        <is>
          <t>EUR</t>
        </is>
      </c>
      <c r="F144" t="inlineStr">
        <is>
          <t>NT26081800138</t>
        </is>
      </c>
      <c r="G144" s="6" t="n">
        <v>46252</v>
      </c>
      <c r="H144" s="7" t="n">
        <v>546023055.673</v>
      </c>
      <c r="I144" t="inlineStr">
        <is>
          <t>GBP</t>
        </is>
      </c>
      <c r="J144" s="7" t="n">
        <v>468487781.767</v>
      </c>
      <c r="K144" t="inlineStr">
        <is>
          <t>SWIFT</t>
        </is>
      </c>
      <c r="L144" t="inlineStr">
        <is>
          <t>Intraday top-up</t>
        </is>
      </c>
      <c r="M144" s="8" t="n">
        <v>46252.58459490741</v>
      </c>
      <c r="N144" t="inlineStr">
        <is>
          <t>Devon Jennings</t>
        </is>
      </c>
      <c r="O144" s="8" t="n">
        <v>46252.61167824074</v>
      </c>
      <c r="P144" t="inlineStr">
        <is>
          <t>Oakley Prentice</t>
        </is>
      </c>
      <c r="Q144" t="inlineStr">
        <is>
          <t>LEDGER_OR_CASHFLOW_RECEIVED</t>
        </is>
      </c>
      <c r="R144" t="inlineStr">
        <is>
          <t>SYRM_ACKNOWLEDGED</t>
        </is>
      </c>
      <c r="S144" t="inlineStr">
        <is>
          <t>View details</t>
        </is>
      </c>
    </row>
    <row r="145">
      <c r="A145" t="inlineStr">
        <is>
          <t>726928343448</t>
        </is>
      </c>
      <c r="B145" t="inlineStr">
        <is>
          <t>Redstart Commercial Bank Stockholm</t>
        </is>
      </c>
      <c r="C145" t="inlineStr">
        <is>
          <t>150316825069</t>
        </is>
      </c>
      <c r="D145" t="inlineStr">
        <is>
          <t>Kestrel Clearing Oslo</t>
        </is>
      </c>
      <c r="E145" t="inlineStr">
        <is>
          <t>EUR</t>
        </is>
      </c>
      <c r="F145" t="inlineStr">
        <is>
          <t>NT26081800139</t>
        </is>
      </c>
      <c r="G145" s="6" t="n">
        <v>46252</v>
      </c>
      <c r="H145" s="7" t="n">
        <v>286466902.359</v>
      </c>
      <c r="I145" t="inlineStr">
        <is>
          <t>GBP</t>
        </is>
      </c>
      <c r="J145" s="7" t="n">
        <v>245788602.224</v>
      </c>
      <c r="K145" t="inlineStr">
        <is>
          <t>SWIFT</t>
        </is>
      </c>
      <c r="L145" t="inlineStr">
        <is>
          <t>Intraday top-up</t>
        </is>
      </c>
      <c r="M145" s="8" t="n">
        <v>46252.63145833334</v>
      </c>
      <c r="N145" t="inlineStr">
        <is>
          <t>Kai Novak</t>
        </is>
      </c>
      <c r="O145" s="8" t="n">
        <v>46252.63770833334</v>
      </c>
      <c r="P145" t="inlineStr">
        <is>
          <t>Harper Hollis</t>
        </is>
      </c>
      <c r="Q145" t="inlineStr">
        <is>
          <t>LEDGER_OR_CASHFLOW_RECEIVED</t>
        </is>
      </c>
      <c r="R145" t="inlineStr">
        <is>
          <t>SYRM_ACKNOWLEDGED</t>
        </is>
      </c>
      <c r="S145" t="inlineStr">
        <is>
          <t>View details</t>
        </is>
      </c>
    </row>
    <row r="146">
      <c r="A146" t="inlineStr">
        <is>
          <t>898317028833</t>
        </is>
      </c>
      <c r="B146" t="inlineStr">
        <is>
          <t>Bramble Settlement Bank Hong Kong</t>
        </is>
      </c>
      <c r="C146" t="inlineStr">
        <is>
          <t>700726936098</t>
        </is>
      </c>
      <c r="D146" t="inlineStr">
        <is>
          <t>Juniper Trust London</t>
        </is>
      </c>
      <c r="E146" t="inlineStr">
        <is>
          <t>GBP</t>
        </is>
      </c>
      <c r="F146" t="inlineStr">
        <is>
          <t>NT26081800140</t>
        </is>
      </c>
      <c r="G146" s="6" t="n">
        <v>46252</v>
      </c>
      <c r="H146" s="7" t="n">
        <v>4177828.611</v>
      </c>
      <c r="I146" t="inlineStr">
        <is>
          <t>GBP</t>
        </is>
      </c>
      <c r="J146" s="7" t="n">
        <v>4177828.611</v>
      </c>
      <c r="K146" t="inlineStr">
        <is>
          <t>SYRM</t>
        </is>
      </c>
      <c r="L146" t="inlineStr">
        <is>
          <t>Intraday top-up</t>
        </is>
      </c>
      <c r="M146" s="8" t="n">
        <v>46252.56340277778</v>
      </c>
      <c r="N146" t="inlineStr">
        <is>
          <t>Oakley Fairweather</t>
        </is>
      </c>
      <c r="O146" s="8" t="n"/>
      <c r="Q146" t="inlineStr">
        <is>
          <t>PENDING_APPROVAL</t>
        </is>
      </c>
      <c r="R146" t="inlineStr">
        <is>
          <t>SYRM_ACKNOWLEDGED</t>
        </is>
      </c>
      <c r="S146" t="inlineStr">
        <is>
          <t>View details</t>
        </is>
      </c>
    </row>
    <row r="147">
      <c r="A147" t="inlineStr">
        <is>
          <t>700726936098</t>
        </is>
      </c>
      <c r="B147" t="inlineStr">
        <is>
          <t>Fernway Trust Tokyo</t>
        </is>
      </c>
      <c r="C147" t="inlineStr">
        <is>
          <t>499062838623</t>
        </is>
      </c>
      <c r="D147" t="inlineStr">
        <is>
          <t>Oriel Commercial Bank Toronto</t>
        </is>
      </c>
      <c r="E147" t="inlineStr">
        <is>
          <t>SAR</t>
        </is>
      </c>
      <c r="F147" t="inlineStr">
        <is>
          <t>NT26081800141</t>
        </is>
      </c>
      <c r="G147" s="6" t="n">
        <v>46252</v>
      </c>
      <c r="H147" s="7" t="n">
        <v>409279235.118</v>
      </c>
      <c r="I147" t="inlineStr">
        <is>
          <t>GBP</t>
        </is>
      </c>
      <c r="J147" s="7" t="n">
        <v>85539360.14</v>
      </c>
      <c r="K147" t="inlineStr">
        <is>
          <t>SWIFT</t>
        </is>
      </c>
      <c r="L147" t="inlineStr">
        <is>
          <t>Funding move</t>
        </is>
      </c>
      <c r="M147" s="8" t="n">
        <v>46252.68582175926</v>
      </c>
      <c r="N147" t="inlineStr">
        <is>
          <t>Marlow Sinclair</t>
        </is>
      </c>
      <c r="O147" s="8" t="n">
        <v>46252.74693287037</v>
      </c>
      <c r="P147" t="inlineStr">
        <is>
          <t>Wren Delaney</t>
        </is>
      </c>
      <c r="Q147" t="inlineStr">
        <is>
          <t>CASHFLOW_RECEIVED</t>
        </is>
      </c>
      <c r="R147" t="inlineStr">
        <is>
          <t>SYRM_ACKNOWLEDGED</t>
        </is>
      </c>
      <c r="S147" t="inlineStr">
        <is>
          <t>View details</t>
        </is>
      </c>
    </row>
    <row r="148">
      <c r="A148" t="inlineStr">
        <is>
          <t>150316825069</t>
        </is>
      </c>
      <c r="B148" t="inlineStr">
        <is>
          <t>Juniper Bank Warsaw</t>
        </is>
      </c>
      <c r="C148" t="inlineStr">
        <is>
          <t>794226063698</t>
        </is>
      </c>
      <c r="D148" t="inlineStr">
        <is>
          <t>Yarrow Bank Stockholm</t>
        </is>
      </c>
      <c r="E148" t="inlineStr">
        <is>
          <t>GBP</t>
        </is>
      </c>
      <c r="F148" t="inlineStr">
        <is>
          <t>NT26081800142</t>
        </is>
      </c>
      <c r="G148" s="6" t="n">
        <v>46252</v>
      </c>
      <c r="H148" s="7" t="n">
        <v>131439832.045</v>
      </c>
      <c r="I148" t="inlineStr">
        <is>
          <t>GBP</t>
        </is>
      </c>
      <c r="J148" s="7" t="n">
        <v>131439832.045</v>
      </c>
      <c r="K148" t="inlineStr">
        <is>
          <t>SYRM</t>
        </is>
      </c>
      <c r="L148" t="inlineStr">
        <is>
          <t>Balance alignment</t>
        </is>
      </c>
      <c r="M148" s="8" t="n">
        <v>46252.47401620371</v>
      </c>
      <c r="N148" t="inlineStr">
        <is>
          <t>Noor Brookes</t>
        </is>
      </c>
      <c r="O148" s="8" t="n">
        <v>46252.5191550926</v>
      </c>
      <c r="P148" t="inlineStr">
        <is>
          <t>Oakley Rhodes</t>
        </is>
      </c>
      <c r="Q148" t="inlineStr">
        <is>
          <t>LEDGER_OR_CASHFLOW_RECEIVED</t>
        </is>
      </c>
      <c r="R148" t="inlineStr">
        <is>
          <t>SYRM_ACKNOWLEDGED</t>
        </is>
      </c>
      <c r="S148" t="inlineStr">
        <is>
          <t>View details</t>
        </is>
      </c>
    </row>
    <row r="149">
      <c r="A149" t="inlineStr">
        <is>
          <t>927538182434</t>
        </is>
      </c>
      <c r="B149" t="inlineStr">
        <is>
          <t>Ironbark Clearing Frankfurt</t>
        </is>
      </c>
      <c r="C149" t="inlineStr">
        <is>
          <t>726928343448</t>
        </is>
      </c>
      <c r="D149" t="inlineStr">
        <is>
          <t>Bramble Clearing Milan</t>
        </is>
      </c>
      <c r="E149" t="inlineStr">
        <is>
          <t>CNY</t>
        </is>
      </c>
      <c r="F149" t="inlineStr">
        <is>
          <t>NT26081800143</t>
        </is>
      </c>
      <c r="G149" s="6" t="n">
        <v>46252</v>
      </c>
      <c r="H149" s="7" t="n">
        <v>6288912.552</v>
      </c>
      <c r="I149" t="inlineStr">
        <is>
          <t>GBP</t>
        </is>
      </c>
      <c r="J149" s="7" t="n">
        <v>685491.468</v>
      </c>
      <c r="K149" t="inlineStr">
        <is>
          <t>SYRM</t>
        </is>
      </c>
      <c r="L149" t="inlineStr"/>
      <c r="M149" s="8" t="n">
        <v>46252.32572916667</v>
      </c>
      <c r="N149" t="inlineStr">
        <is>
          <t>Finley Jennings</t>
        </is>
      </c>
      <c r="O149" s="8" t="n"/>
      <c r="Q149" t="inlineStr">
        <is>
          <t>PENDING_APPROVAL</t>
        </is>
      </c>
      <c r="R149" t="inlineStr">
        <is>
          <t>SYRM_PENDING</t>
        </is>
      </c>
      <c r="S149" t="inlineStr">
        <is>
          <t>View details</t>
        </is>
      </c>
    </row>
    <row r="150">
      <c r="A150" t="inlineStr">
        <is>
          <t>968942362772</t>
        </is>
      </c>
      <c r="B150" t="inlineStr">
        <is>
          <t>Wrenfield Bank Paris</t>
        </is>
      </c>
      <c r="C150" t="inlineStr">
        <is>
          <t>150316825069</t>
        </is>
      </c>
      <c r="D150" t="inlineStr">
        <is>
          <t>Wrenfield Bank Paris</t>
        </is>
      </c>
      <c r="E150" t="inlineStr">
        <is>
          <t>EUR</t>
        </is>
      </c>
      <c r="F150" t="inlineStr">
        <is>
          <t>NT26081800144</t>
        </is>
      </c>
      <c r="G150" s="6" t="n">
        <v>46252</v>
      </c>
      <c r="H150" s="7" t="n">
        <v>1157.262</v>
      </c>
      <c r="I150" t="inlineStr">
        <is>
          <t>GBP</t>
        </is>
      </c>
      <c r="J150" s="7" t="n">
        <v>992.931</v>
      </c>
      <c r="K150" t="inlineStr">
        <is>
          <t>SYRM</t>
        </is>
      </c>
      <c r="L150" t="inlineStr">
        <is>
          <t>Balance alignment</t>
        </is>
      </c>
      <c r="M150" s="8" t="n">
        <v>46252.6159375</v>
      </c>
      <c r="N150" t="inlineStr">
        <is>
          <t>Noor Thorne</t>
        </is>
      </c>
      <c r="O150" s="8" t="n">
        <v>46252.67774305555</v>
      </c>
      <c r="P150" t="inlineStr">
        <is>
          <t>Greer Prentice</t>
        </is>
      </c>
      <c r="Q150" t="inlineStr">
        <is>
          <t>LEDGER_OR_CASHFLOW_RECEIVED</t>
        </is>
      </c>
      <c r="R150" t="inlineStr">
        <is>
          <t>SYRM_ACKNOWLEDGED</t>
        </is>
      </c>
      <c r="S150" t="inlineStr">
        <is>
          <t>View details</t>
        </is>
      </c>
    </row>
    <row r="151">
      <c r="A151" t="inlineStr">
        <is>
          <t>794226063698</t>
        </is>
      </c>
      <c r="B151" t="inlineStr">
        <is>
          <t>Juniper Trust London</t>
        </is>
      </c>
      <c r="C151" t="inlineStr">
        <is>
          <t>150316825069</t>
        </is>
      </c>
      <c r="D151" t="inlineStr">
        <is>
          <t>Cedar Clearing New York</t>
        </is>
      </c>
      <c r="E151" t="inlineStr">
        <is>
          <t>AED</t>
        </is>
      </c>
      <c r="F151" t="inlineStr">
        <is>
          <t>NT26081800145</t>
        </is>
      </c>
      <c r="G151" s="6" t="n">
        <v>46252</v>
      </c>
      <c r="H151" s="7" t="n">
        <v>218546.438</v>
      </c>
      <c r="I151" t="inlineStr">
        <is>
          <t>GBP</t>
        </is>
      </c>
      <c r="J151" s="7" t="n">
        <v>46550.391</v>
      </c>
      <c r="K151" t="inlineStr">
        <is>
          <t>SWIFT</t>
        </is>
      </c>
      <c r="L151" t="inlineStr">
        <is>
          <t>Liquidity sweep</t>
        </is>
      </c>
      <c r="M151" s="8" t="n">
        <v>46252.17978009259</v>
      </c>
      <c r="N151" t="inlineStr">
        <is>
          <t>Ellis Delaney</t>
        </is>
      </c>
      <c r="O151" s="8" t="n">
        <v>46252.18880787037</v>
      </c>
      <c r="P151" t="inlineStr">
        <is>
          <t>Oakley Novak</t>
        </is>
      </c>
      <c r="Q151" t="inlineStr">
        <is>
          <t>LEDGER_OR_CASHFLOW_RECEIVED</t>
        </is>
      </c>
      <c r="R151" t="inlineStr">
        <is>
          <t>SYRM_ACKNOWLEDGED</t>
        </is>
      </c>
      <c r="S151" t="inlineStr">
        <is>
          <t>View details</t>
        </is>
      </c>
    </row>
    <row r="152">
      <c r="A152" t="inlineStr">
        <is>
          <t>700726936098</t>
        </is>
      </c>
      <c r="B152" t="inlineStr">
        <is>
          <t>Wrenfield Commercial Bank Oslo</t>
        </is>
      </c>
      <c r="C152" t="inlineStr">
        <is>
          <t>794226063698</t>
        </is>
      </c>
      <c r="D152" t="inlineStr">
        <is>
          <t>Harrow Bank Milan</t>
        </is>
      </c>
      <c r="E152" t="inlineStr">
        <is>
          <t>SAR</t>
        </is>
      </c>
      <c r="F152" t="inlineStr">
        <is>
          <t>NT26081800146</t>
        </is>
      </c>
      <c r="G152" s="6" t="n">
        <v>46252</v>
      </c>
      <c r="H152" s="7" t="n">
        <v>2066349.767</v>
      </c>
      <c r="I152" t="inlineStr">
        <is>
          <t>GBP</t>
        </is>
      </c>
      <c r="J152" s="7" t="n">
        <v>431867.101</v>
      </c>
      <c r="K152" t="inlineStr">
        <is>
          <t>SWIFT</t>
        </is>
      </c>
      <c r="L152" t="inlineStr"/>
      <c r="M152" s="8" t="n">
        <v>46252.67155092592</v>
      </c>
      <c r="N152" t="inlineStr">
        <is>
          <t>Noor Thorne</t>
        </is>
      </c>
      <c r="O152" s="8" t="n">
        <v>46252.6993287037</v>
      </c>
      <c r="P152" t="inlineStr">
        <is>
          <t>Oakley Novak</t>
        </is>
      </c>
      <c r="Q152" t="inlineStr">
        <is>
          <t>LEDGER_OR_CASHFLOW_RECEIVED</t>
        </is>
      </c>
      <c r="R152" t="inlineStr">
        <is>
          <t>SYRM_ACKNOWLEDGED</t>
        </is>
      </c>
      <c r="S152" t="inlineStr">
        <is>
          <t>View details</t>
        </is>
      </c>
    </row>
    <row r="153">
      <c r="A153" t="inlineStr">
        <is>
          <t>150316825069</t>
        </is>
      </c>
      <c r="B153" t="inlineStr">
        <is>
          <t>Mallow Settlement Bank Oslo</t>
        </is>
      </c>
      <c r="C153" t="inlineStr">
        <is>
          <t>910703979141</t>
        </is>
      </c>
      <c r="D153" t="inlineStr">
        <is>
          <t>Dunlin Commercial Bank Paris</t>
        </is>
      </c>
      <c r="E153" t="inlineStr">
        <is>
          <t>GBP</t>
        </is>
      </c>
      <c r="F153" t="inlineStr">
        <is>
          <t>NT26081800147</t>
        </is>
      </c>
      <c r="G153" s="6" t="n">
        <v>46252</v>
      </c>
      <c r="H153" s="7" t="n">
        <v>2943871.074</v>
      </c>
      <c r="I153" t="inlineStr">
        <is>
          <t>GBP</t>
        </is>
      </c>
      <c r="J153" s="7" t="n">
        <v>2943871.074</v>
      </c>
      <c r="K153" t="inlineStr">
        <is>
          <t>SYRM</t>
        </is>
      </c>
      <c r="L153" t="inlineStr">
        <is>
          <t>Liquidity sweep</t>
        </is>
      </c>
      <c r="M153" s="8" t="n">
        <v>46252.56967592592</v>
      </c>
      <c r="N153" t="inlineStr">
        <is>
          <t>Noor Sinclair</t>
        </is>
      </c>
      <c r="O153" s="8" t="n">
        <v>46252.60925925926</v>
      </c>
      <c r="P153" t="inlineStr">
        <is>
          <t>Kai Novak</t>
        </is>
      </c>
      <c r="Q153" t="inlineStr">
        <is>
          <t>LEDGER_OR_CASHFLOW_RECEIVED</t>
        </is>
      </c>
      <c r="R153" t="inlineStr">
        <is>
          <t>SYRM_ACKNOWLEDGED</t>
        </is>
      </c>
      <c r="S153" t="inlineStr">
        <is>
          <t>View details</t>
        </is>
      </c>
    </row>
    <row r="154">
      <c r="A154" t="inlineStr">
        <is>
          <t>132544340094</t>
        </is>
      </c>
      <c r="B154" t="inlineStr">
        <is>
          <t>Umberton Trust Tokyo</t>
        </is>
      </c>
      <c r="C154" t="inlineStr">
        <is>
          <t>150316825069</t>
        </is>
      </c>
      <c r="D154" t="inlineStr">
        <is>
          <t>Bramble Settlement Bank Hong Kong</t>
        </is>
      </c>
      <c r="E154" t="inlineStr">
        <is>
          <t>CZK</t>
        </is>
      </c>
      <c r="F154" t="inlineStr">
        <is>
          <t>NT26081800148</t>
        </is>
      </c>
      <c r="G154" s="6" t="n">
        <v>46252</v>
      </c>
      <c r="H154" s="7" t="n">
        <v>22731.722</v>
      </c>
      <c r="I154" t="inlineStr">
        <is>
          <t>GBP</t>
        </is>
      </c>
      <c r="J154" s="7" t="n">
        <v>770.605</v>
      </c>
      <c r="K154" t="inlineStr">
        <is>
          <t>SYRM</t>
        </is>
      </c>
      <c r="L154" t="inlineStr"/>
      <c r="M154" s="8" t="n">
        <v>46252.21208333333</v>
      </c>
      <c r="N154" t="inlineStr">
        <is>
          <t>Marlow Rhodes</t>
        </is>
      </c>
      <c r="O154" s="8" t="n">
        <v>46252.22805555556</v>
      </c>
      <c r="P154" t="inlineStr">
        <is>
          <t>Oakley Rhodes</t>
        </is>
      </c>
      <c r="Q154" t="inlineStr">
        <is>
          <t>LEDGER_OR_CASHFLOW_RECEIVED</t>
        </is>
      </c>
      <c r="R154" t="inlineStr">
        <is>
          <t>SYRM_ACKNOWLEDGED</t>
        </is>
      </c>
      <c r="S154" t="inlineStr">
        <is>
          <t>View details</t>
        </is>
      </c>
    </row>
    <row r="155">
      <c r="A155" t="inlineStr">
        <is>
          <t>132544340094</t>
        </is>
      </c>
      <c r="B155" t="inlineStr">
        <is>
          <t>Oriel Settlement Bank Madrid</t>
        </is>
      </c>
      <c r="C155" t="inlineStr">
        <is>
          <t>499062838623</t>
        </is>
      </c>
      <c r="D155" t="inlineStr">
        <is>
          <t>Wrenfield Clearing Frankfurt</t>
        </is>
      </c>
      <c r="E155" t="inlineStr">
        <is>
          <t>CZK</t>
        </is>
      </c>
      <c r="F155" t="inlineStr">
        <is>
          <t>NT26081800149</t>
        </is>
      </c>
      <c r="G155" s="6" t="n">
        <v>46252</v>
      </c>
      <c r="H155" s="7" t="n">
        <v>32640974.141</v>
      </c>
      <c r="I155" t="inlineStr">
        <is>
          <t>GBP</t>
        </is>
      </c>
      <c r="J155" s="7" t="n">
        <v>1106529.023</v>
      </c>
      <c r="K155" t="inlineStr">
        <is>
          <t>SYRM</t>
        </is>
      </c>
      <c r="L155" t="inlineStr">
        <is>
          <t>Balance alignment</t>
        </is>
      </c>
      <c r="M155" s="8" t="n">
        <v>46252.47898148148</v>
      </c>
      <c r="N155" t="inlineStr">
        <is>
          <t>Noor Thorne</t>
        </is>
      </c>
      <c r="O155" s="8" t="n">
        <v>46252.53384259259</v>
      </c>
      <c r="P155" t="inlineStr">
        <is>
          <t>Oakley Novak</t>
        </is>
      </c>
      <c r="Q155" t="inlineStr">
        <is>
          <t>LEDGER_OR_CASHFLOW_RECEIVED</t>
        </is>
      </c>
      <c r="R155" t="inlineStr">
        <is>
          <t>SYRM_REJECTED</t>
        </is>
      </c>
      <c r="S155" t="inlineStr">
        <is>
          <t>View details</t>
        </is>
      </c>
    </row>
    <row r="156">
      <c r="A156" t="inlineStr">
        <is>
          <t>968942362772</t>
        </is>
      </c>
      <c r="B156" t="inlineStr">
        <is>
          <t>Cedar Clearing New York</t>
        </is>
      </c>
      <c r="C156" t="inlineStr">
        <is>
          <t>171857983160</t>
        </is>
      </c>
      <c r="D156" t="inlineStr">
        <is>
          <t>Harrow Bank Milan</t>
        </is>
      </c>
      <c r="E156" t="inlineStr">
        <is>
          <t>EUR</t>
        </is>
      </c>
      <c r="F156" t="inlineStr">
        <is>
          <t>NT26081800150</t>
        </is>
      </c>
      <c r="G156" s="6" t="n">
        <v>46252</v>
      </c>
      <c r="H156" s="7" t="n">
        <v>34184243.654</v>
      </c>
      <c r="I156" t="inlineStr">
        <is>
          <t>GBP</t>
        </is>
      </c>
      <c r="J156" s="7" t="n">
        <v>29330081.055</v>
      </c>
      <c r="K156" t="inlineStr">
        <is>
          <t>SYRM</t>
        </is>
      </c>
      <c r="L156" t="inlineStr">
        <is>
          <t>Liquidity sweep</t>
        </is>
      </c>
      <c r="M156" s="8" t="n">
        <v>46252.63604166666</v>
      </c>
      <c r="N156" t="inlineStr">
        <is>
          <t>Ellis Gallagher</t>
        </is>
      </c>
      <c r="O156" s="8" t="n">
        <v>46252.66243055555</v>
      </c>
      <c r="P156" t="inlineStr">
        <is>
          <t>Quinn Lindqvist</t>
        </is>
      </c>
      <c r="Q156" t="inlineStr">
        <is>
          <t>LEDGER_OR_CASHFLOW_RECEIVED</t>
        </is>
      </c>
      <c r="R156" t="inlineStr">
        <is>
          <t>SYRM_ACKNOWLEDGED</t>
        </is>
      </c>
      <c r="S156" t="inlineStr">
        <is>
          <t>View details</t>
        </is>
      </c>
    </row>
    <row r="157">
      <c r="A157" t="inlineStr">
        <is>
          <t>132544340094</t>
        </is>
      </c>
      <c r="B157" t="inlineStr">
        <is>
          <t>Oriel Commercial Bank Toronto</t>
        </is>
      </c>
      <c r="C157" t="inlineStr">
        <is>
          <t>898317028833</t>
        </is>
      </c>
      <c r="D157" t="inlineStr">
        <is>
          <t>Pinehurst Settlement Bank Frankfurt</t>
        </is>
      </c>
      <c r="E157" t="inlineStr">
        <is>
          <t>CZK</t>
        </is>
      </c>
      <c r="F157" t="inlineStr">
        <is>
          <t>NT26081800151</t>
        </is>
      </c>
      <c r="G157" s="6" t="n">
        <v>46252</v>
      </c>
      <c r="H157" s="7" t="n">
        <v>801585783.867</v>
      </c>
      <c r="I157" t="inlineStr">
        <is>
          <t>GBP</t>
        </is>
      </c>
      <c r="J157" s="7" t="n">
        <v>27173758.073</v>
      </c>
      <c r="K157" t="inlineStr">
        <is>
          <t>SYRM</t>
        </is>
      </c>
      <c r="L157" t="inlineStr"/>
      <c r="M157" s="8" t="n">
        <v>46252.36803240741</v>
      </c>
      <c r="N157" t="inlineStr">
        <is>
          <t>Kai Merrick</t>
        </is>
      </c>
      <c r="O157" s="8" t="n">
        <v>46252.39511574074</v>
      </c>
      <c r="P157" t="inlineStr">
        <is>
          <t>Noor Sinclair</t>
        </is>
      </c>
      <c r="Q157" t="inlineStr">
        <is>
          <t>CASHFLOW_RECEIVED</t>
        </is>
      </c>
      <c r="R157" t="inlineStr">
        <is>
          <t>SYRM_ACKNOWLEDGED</t>
        </is>
      </c>
      <c r="S157" t="inlineStr">
        <is>
          <t>View details</t>
        </is>
      </c>
    </row>
    <row r="158">
      <c r="A158" t="inlineStr">
        <is>
          <t>910703979141</t>
        </is>
      </c>
      <c r="B158" t="inlineStr">
        <is>
          <t>Fernway Clearing Frankfurt</t>
        </is>
      </c>
      <c r="C158" t="inlineStr">
        <is>
          <t>499062838623</t>
        </is>
      </c>
      <c r="D158" t="inlineStr">
        <is>
          <t>Redstart Trust Mexico City</t>
        </is>
      </c>
      <c r="E158" t="inlineStr">
        <is>
          <t>CHF</t>
        </is>
      </c>
      <c r="F158" t="inlineStr">
        <is>
          <t>NT26081800152</t>
        </is>
      </c>
      <c r="G158" s="6" t="n">
        <v>46252</v>
      </c>
      <c r="H158" s="7" t="n">
        <v>11484.725</v>
      </c>
      <c r="I158" t="inlineStr">
        <is>
          <t>GBP</t>
        </is>
      </c>
      <c r="J158" s="7" t="n">
        <v>10301.798</v>
      </c>
      <c r="K158" t="inlineStr">
        <is>
          <t>SWIFT</t>
        </is>
      </c>
      <c r="L158" t="inlineStr"/>
      <c r="M158" s="8" t="n">
        <v>46252.74451388889</v>
      </c>
      <c r="N158" t="inlineStr">
        <is>
          <t>Quinn Lindqvist</t>
        </is>
      </c>
      <c r="O158" s="8" t="n">
        <v>46252.786875</v>
      </c>
      <c r="P158" t="inlineStr">
        <is>
          <t>Harper Calloway</t>
        </is>
      </c>
      <c r="Q158" t="inlineStr">
        <is>
          <t>LEDGER_OR_CASHFLOW_RECEIVED</t>
        </is>
      </c>
      <c r="R158" t="inlineStr">
        <is>
          <t>SYRM_ACKNOWLEDGED</t>
        </is>
      </c>
      <c r="S158" t="inlineStr">
        <is>
          <t>View details</t>
        </is>
      </c>
    </row>
    <row r="159">
      <c r="A159" t="inlineStr">
        <is>
          <t>150316825069</t>
        </is>
      </c>
      <c r="B159" t="inlineStr">
        <is>
          <t>Ironbark Trust Dublin</t>
        </is>
      </c>
      <c r="C159" t="inlineStr">
        <is>
          <t>700726936098</t>
        </is>
      </c>
      <c r="D159" t="inlineStr">
        <is>
          <t>Bramble Commercial Bank Toronto</t>
        </is>
      </c>
      <c r="E159" t="inlineStr">
        <is>
          <t>GBP</t>
        </is>
      </c>
      <c r="F159" t="inlineStr">
        <is>
          <t>NT26081800153</t>
        </is>
      </c>
      <c r="G159" s="6" t="n">
        <v>46252</v>
      </c>
      <c r="H159" s="7" t="n">
        <v>41525936.402</v>
      </c>
      <c r="I159" t="inlineStr">
        <is>
          <t>GBP</t>
        </is>
      </c>
      <c r="J159" s="7" t="n">
        <v>41525936.402</v>
      </c>
      <c r="K159" t="inlineStr">
        <is>
          <t>SYRM</t>
        </is>
      </c>
      <c r="L159" t="inlineStr">
        <is>
          <t>Funding move</t>
        </is>
      </c>
      <c r="M159" s="8" t="n">
        <v>46252.53023148148</v>
      </c>
      <c r="N159" t="inlineStr">
        <is>
          <t>Quinn Kirby</t>
        </is>
      </c>
      <c r="O159" s="8" t="n">
        <v>46252.53300925926</v>
      </c>
      <c r="P159" t="inlineStr">
        <is>
          <t>Oakley Fairweather</t>
        </is>
      </c>
      <c r="Q159" t="inlineStr">
        <is>
          <t>LEDGER_OR_CASHFLOW_RECEIVED</t>
        </is>
      </c>
      <c r="R159" t="inlineStr">
        <is>
          <t>SYRM_ACKNOWLEDGED</t>
        </is>
      </c>
      <c r="S159" t="inlineStr">
        <is>
          <t>View details</t>
        </is>
      </c>
    </row>
    <row r="160">
      <c r="A160" t="inlineStr">
        <is>
          <t>468341071172</t>
        </is>
      </c>
      <c r="B160" t="inlineStr">
        <is>
          <t>Larkspur Trust Hong Kong</t>
        </is>
      </c>
      <c r="C160" t="inlineStr">
        <is>
          <t>499062838623</t>
        </is>
      </c>
      <c r="D160" t="inlineStr">
        <is>
          <t>Mallow Trust Frankfurt</t>
        </is>
      </c>
      <c r="E160" t="inlineStr">
        <is>
          <t>EUR</t>
        </is>
      </c>
      <c r="F160" t="inlineStr">
        <is>
          <t>NT26081800154</t>
        </is>
      </c>
      <c r="G160" s="6" t="n">
        <v>46252</v>
      </c>
      <c r="H160" s="7" t="n">
        <v>775342024.184</v>
      </c>
      <c r="I160" t="inlineStr">
        <is>
          <t>GBP</t>
        </is>
      </c>
      <c r="J160" s="7" t="n">
        <v>665243456.75</v>
      </c>
      <c r="K160" t="inlineStr">
        <is>
          <t>SWIFT</t>
        </is>
      </c>
      <c r="L160" t="inlineStr">
        <is>
          <t>Funding move</t>
        </is>
      </c>
      <c r="M160" s="8" t="n">
        <v>46252.45601851852</v>
      </c>
      <c r="N160" t="inlineStr">
        <is>
          <t>Marlow Thorne</t>
        </is>
      </c>
      <c r="O160" s="8" t="n">
        <v>46252.45810185185</v>
      </c>
      <c r="P160" t="inlineStr">
        <is>
          <t>Avery Sinclair</t>
        </is>
      </c>
      <c r="Q160" t="inlineStr">
        <is>
          <t>LEDGER_OR_CASHFLOW_RECEIVED</t>
        </is>
      </c>
      <c r="R160" t="inlineStr">
        <is>
          <t>SYRM_ACKNOWLEDGED</t>
        </is>
      </c>
      <c r="S160" t="inlineStr">
        <is>
          <t>View details</t>
        </is>
      </c>
    </row>
    <row r="161">
      <c r="A161" t="inlineStr">
        <is>
          <t>150316825069</t>
        </is>
      </c>
      <c r="B161" t="inlineStr">
        <is>
          <t>Kestrel Clearing Oslo</t>
        </is>
      </c>
      <c r="C161" t="inlineStr">
        <is>
          <t>284925023085</t>
        </is>
      </c>
      <c r="D161" t="inlineStr">
        <is>
          <t>Kestrel Clearing Oslo</t>
        </is>
      </c>
      <c r="E161" t="inlineStr">
        <is>
          <t>GBP</t>
        </is>
      </c>
      <c r="F161" t="inlineStr">
        <is>
          <t>NT26081800155</t>
        </is>
      </c>
      <c r="G161" s="6" t="n">
        <v>46252</v>
      </c>
      <c r="H161" s="7" t="n">
        <v>229761.317</v>
      </c>
      <c r="I161" t="inlineStr">
        <is>
          <t>GBP</t>
        </is>
      </c>
      <c r="J161" s="7" t="n">
        <v>229761.317</v>
      </c>
      <c r="K161" t="inlineStr">
        <is>
          <t>INTERNAL</t>
        </is>
      </c>
      <c r="L161" t="inlineStr">
        <is>
          <t>Funding move</t>
        </is>
      </c>
      <c r="M161" s="8" t="n">
        <v>46252.71479166667</v>
      </c>
      <c r="N161" t="inlineStr">
        <is>
          <t>Quinn Hollis</t>
        </is>
      </c>
      <c r="O161" s="8" t="n">
        <v>46252.72729166667</v>
      </c>
      <c r="P161" t="inlineStr">
        <is>
          <t>Sawyer Calloway</t>
        </is>
      </c>
      <c r="Q161" t="inlineStr">
        <is>
          <t>LEDGER_OR_CASHFLOW_RECEIVED</t>
        </is>
      </c>
      <c r="R161" t="inlineStr">
        <is>
          <t>SYRM_ACKNOWLEDGED</t>
        </is>
      </c>
      <c r="S161" t="inlineStr">
        <is>
          <t>View details</t>
        </is>
      </c>
    </row>
    <row r="162">
      <c r="A162" t="inlineStr">
        <is>
          <t>700726936098</t>
        </is>
      </c>
      <c r="B162" t="inlineStr">
        <is>
          <t>Bramble Trust Zurich</t>
        </is>
      </c>
      <c r="C162" t="inlineStr">
        <is>
          <t>468341071172</t>
        </is>
      </c>
      <c r="D162" t="inlineStr">
        <is>
          <t>Redstart Commercial Bank Stockholm</t>
        </is>
      </c>
      <c r="E162" t="inlineStr">
        <is>
          <t>SAR</t>
        </is>
      </c>
      <c r="F162" t="inlineStr">
        <is>
          <t>NT26081800156</t>
        </is>
      </c>
      <c r="G162" s="6" t="n">
        <v>46252</v>
      </c>
      <c r="H162" s="7" t="n">
        <v>7712566.254</v>
      </c>
      <c r="I162" t="inlineStr">
        <is>
          <t>GBP</t>
        </is>
      </c>
      <c r="J162" s="7" t="n">
        <v>1611926.347</v>
      </c>
      <c r="K162" t="inlineStr">
        <is>
          <t>SWIFT</t>
        </is>
      </c>
      <c r="L162" t="inlineStr">
        <is>
          <t>Funding move</t>
        </is>
      </c>
      <c r="M162" s="8" t="n">
        <v>46252.62810185185</v>
      </c>
      <c r="N162" t="inlineStr">
        <is>
          <t>Quinn Hollis</t>
        </is>
      </c>
      <c r="O162" s="8" t="n">
        <v>46252.6850462963</v>
      </c>
      <c r="P162" t="inlineStr">
        <is>
          <t>Sawyer Calloway</t>
        </is>
      </c>
      <c r="Q162" t="inlineStr">
        <is>
          <t>LEDGER_OR_CASHFLOW_RECEIVED</t>
        </is>
      </c>
      <c r="R162" t="inlineStr">
        <is>
          <t>SYRM_ACKNOWLEDGED</t>
        </is>
      </c>
      <c r="S162" t="inlineStr">
        <is>
          <t>View details</t>
        </is>
      </c>
    </row>
    <row r="163">
      <c r="A163" t="inlineStr">
        <is>
          <t>150316825069</t>
        </is>
      </c>
      <c r="B163" t="inlineStr">
        <is>
          <t>Mallow Commercial Bank Mexico City</t>
        </is>
      </c>
      <c r="C163" t="inlineStr">
        <is>
          <t>794226063698</t>
        </is>
      </c>
      <c r="D163" t="inlineStr">
        <is>
          <t>Wrenfield Commercial Bank Oslo</t>
        </is>
      </c>
      <c r="E163" t="inlineStr">
        <is>
          <t>GBP</t>
        </is>
      </c>
      <c r="F163" t="inlineStr">
        <is>
          <t>NT26081800157</t>
        </is>
      </c>
      <c r="G163" s="6" t="n">
        <v>46252</v>
      </c>
      <c r="H163" s="7" t="n">
        <v>35920837.331</v>
      </c>
      <c r="I163" t="inlineStr">
        <is>
          <t>GBP</t>
        </is>
      </c>
      <c r="J163" s="7" t="n">
        <v>35920837.331</v>
      </c>
      <c r="K163" t="inlineStr">
        <is>
          <t>SYRM</t>
        </is>
      </c>
      <c r="L163" t="inlineStr">
        <is>
          <t>Balance alignment</t>
        </is>
      </c>
      <c r="M163" s="8" t="n">
        <v>46252.40545138889</v>
      </c>
      <c r="N163" t="inlineStr">
        <is>
          <t>Oakley Rhodes</t>
        </is>
      </c>
      <c r="O163" s="8" t="n">
        <v>46252.40892361111</v>
      </c>
      <c r="P163" t="inlineStr">
        <is>
          <t>Finley Sinclair</t>
        </is>
      </c>
      <c r="Q163" t="inlineStr">
        <is>
          <t>LEDGER_OR_CASHFLOW_RECEIVED</t>
        </is>
      </c>
      <c r="R163" t="inlineStr">
        <is>
          <t>SYRM_ACKNOWLEDGED</t>
        </is>
      </c>
      <c r="S163" t="inlineStr">
        <is>
          <t>View details</t>
        </is>
      </c>
    </row>
    <row r="164">
      <c r="A164" t="inlineStr">
        <is>
          <t>700726936098</t>
        </is>
      </c>
      <c r="B164" t="inlineStr">
        <is>
          <t>Mallow Settlement Bank Oslo</t>
        </is>
      </c>
      <c r="C164" t="inlineStr">
        <is>
          <t>284925023085</t>
        </is>
      </c>
      <c r="D164" t="inlineStr">
        <is>
          <t>Yarrow Trust Oslo</t>
        </is>
      </c>
      <c r="E164" t="inlineStr">
        <is>
          <t>SAR</t>
        </is>
      </c>
      <c r="F164" t="inlineStr">
        <is>
          <t>NT26081800158</t>
        </is>
      </c>
      <c r="G164" s="6" t="n">
        <v>46252</v>
      </c>
      <c r="H164" s="7" t="n">
        <v>32392806.366</v>
      </c>
      <c r="I164" t="inlineStr">
        <is>
          <t>GBP</t>
        </is>
      </c>
      <c r="J164" s="7" t="n">
        <v>6770096.53</v>
      </c>
      <c r="K164" t="inlineStr">
        <is>
          <t>SYRM</t>
        </is>
      </c>
      <c r="L164" t="inlineStr">
        <is>
          <t>Liquidity sweep</t>
        </is>
      </c>
      <c r="M164" s="8" t="n">
        <v>46252.34685185185</v>
      </c>
      <c r="N164" t="inlineStr">
        <is>
          <t>Greer Osgood</t>
        </is>
      </c>
      <c r="O164" s="8" t="n">
        <v>46252.39893518519</v>
      </c>
      <c r="P164" t="inlineStr">
        <is>
          <t>Harper Calloway</t>
        </is>
      </c>
      <c r="Q164" t="inlineStr">
        <is>
          <t>FAILED</t>
        </is>
      </c>
      <c r="R164" t="inlineStr">
        <is>
          <t>SYRM_ACKNOWLEDGED</t>
        </is>
      </c>
      <c r="S164" t="inlineStr">
        <is>
          <t>View details</t>
        </is>
      </c>
    </row>
    <row r="165">
      <c r="A165" t="inlineStr">
        <is>
          <t>794226063698</t>
        </is>
      </c>
      <c r="B165" t="inlineStr">
        <is>
          <t>Mallow Trust Frankfurt</t>
        </is>
      </c>
      <c r="C165" t="inlineStr">
        <is>
          <t>499062838623</t>
        </is>
      </c>
      <c r="D165" t="inlineStr">
        <is>
          <t>Wrenfield Clearing Frankfurt</t>
        </is>
      </c>
      <c r="E165" t="inlineStr">
        <is>
          <t>AED</t>
        </is>
      </c>
      <c r="F165" t="inlineStr">
        <is>
          <t>NT26081800159</t>
        </is>
      </c>
      <c r="G165" s="6" t="n">
        <v>46252</v>
      </c>
      <c r="H165" s="7" t="n">
        <v>8745201.393999999</v>
      </c>
      <c r="I165" t="inlineStr">
        <is>
          <t>GBP</t>
        </is>
      </c>
      <c r="J165" s="7" t="n">
        <v>1862727.897</v>
      </c>
      <c r="K165" t="inlineStr">
        <is>
          <t>SYRM</t>
        </is>
      </c>
      <c r="L165" t="inlineStr">
        <is>
          <t>Funding move</t>
        </is>
      </c>
      <c r="M165" s="8" t="n">
        <v>46252.39260416666</v>
      </c>
      <c r="N165" t="inlineStr">
        <is>
          <t>Harper Calloway</t>
        </is>
      </c>
      <c r="O165" s="8" t="n">
        <v>46252.40649305555</v>
      </c>
      <c r="P165" t="inlineStr">
        <is>
          <t>Devon Jennings</t>
        </is>
      </c>
      <c r="Q165" t="inlineStr">
        <is>
          <t>LEDGER_OR_CASHFLOW_RECEIVED</t>
        </is>
      </c>
      <c r="R165" t="inlineStr">
        <is>
          <t>SYRM_ACKNOWLEDGED</t>
        </is>
      </c>
      <c r="S165" t="inlineStr">
        <is>
          <t>View details</t>
        </is>
      </c>
    </row>
    <row r="166">
      <c r="A166" t="inlineStr">
        <is>
          <t>499062838623</t>
        </is>
      </c>
      <c r="B166" t="inlineStr">
        <is>
          <t>Juniper Bank Warsaw</t>
        </is>
      </c>
      <c r="C166" t="inlineStr">
        <is>
          <t>700726936098</t>
        </is>
      </c>
      <c r="D166" t="inlineStr">
        <is>
          <t>Zephyr Bank Singapore</t>
        </is>
      </c>
      <c r="E166" t="inlineStr">
        <is>
          <t>USD</t>
        </is>
      </c>
      <c r="F166" t="inlineStr">
        <is>
          <t>NT26081800160</t>
        </is>
      </c>
      <c r="G166" s="6" t="n">
        <v>46252</v>
      </c>
      <c r="H166" s="7" t="n">
        <v>12074297.398</v>
      </c>
      <c r="I166" t="inlineStr">
        <is>
          <t>GBP</t>
        </is>
      </c>
      <c r="J166" s="7" t="n">
        <v>9466249.16</v>
      </c>
      <c r="K166" t="inlineStr">
        <is>
          <t>SWIFT</t>
        </is>
      </c>
      <c r="L166" t="inlineStr">
        <is>
          <t>Balance alignment</t>
        </is>
      </c>
      <c r="M166" s="8" t="n">
        <v>46252.41076388889</v>
      </c>
      <c r="N166" t="inlineStr">
        <is>
          <t>Harper Calloway</t>
        </is>
      </c>
      <c r="O166" s="8" t="n">
        <v>46252.44479166667</v>
      </c>
      <c r="P166" t="inlineStr">
        <is>
          <t>Oakley Novak</t>
        </is>
      </c>
      <c r="Q166" t="inlineStr">
        <is>
          <t>LEDGER_OR_CASHFLOW_RECEIVED</t>
        </is>
      </c>
      <c r="R166" t="inlineStr">
        <is>
          <t>SYRM_ACKNOWLEDGED</t>
        </is>
      </c>
      <c r="S166" t="inlineStr">
        <is>
          <t>View details</t>
        </is>
      </c>
    </row>
    <row r="167">
      <c r="A167" t="inlineStr">
        <is>
          <t>468341071172</t>
        </is>
      </c>
      <c r="B167" t="inlineStr">
        <is>
          <t>Bramble Commercial Bank Toronto</t>
        </is>
      </c>
      <c r="C167" t="inlineStr">
        <is>
          <t>953625291146</t>
        </is>
      </c>
      <c r="D167" t="inlineStr">
        <is>
          <t>Granite Commercial Bank Milan</t>
        </is>
      </c>
      <c r="E167" t="inlineStr">
        <is>
          <t>EUR</t>
        </is>
      </c>
      <c r="F167" t="inlineStr">
        <is>
          <t>NT26081800161</t>
        </is>
      </c>
      <c r="G167" s="6" t="n">
        <v>46252</v>
      </c>
      <c r="H167" s="7" t="n">
        <v>84803475.992</v>
      </c>
      <c r="I167" t="inlineStr">
        <is>
          <t>GBP</t>
        </is>
      </c>
      <c r="J167" s="7" t="n">
        <v>72761382.40099999</v>
      </c>
      <c r="K167" t="inlineStr">
        <is>
          <t>INTERNAL</t>
        </is>
      </c>
      <c r="L167" t="inlineStr">
        <is>
          <t>Intraday top-up</t>
        </is>
      </c>
      <c r="M167" s="8" t="n">
        <v>46252.64193287037</v>
      </c>
      <c r="N167" t="inlineStr">
        <is>
          <t>Marlow Sinclair</t>
        </is>
      </c>
      <c r="O167" s="8" t="n">
        <v>46252.68915509259</v>
      </c>
      <c r="P167" t="inlineStr">
        <is>
          <t>Sawyer Calloway</t>
        </is>
      </c>
      <c r="Q167" t="inlineStr">
        <is>
          <t>LEDGER_OR_CASHFLOW_RECEIVED</t>
        </is>
      </c>
      <c r="R167" t="inlineStr">
        <is>
          <t>SYRM_ACKNOWLEDGED</t>
        </is>
      </c>
      <c r="S167" t="inlineStr">
        <is>
          <t>View details</t>
        </is>
      </c>
    </row>
    <row r="168">
      <c r="A168" t="inlineStr">
        <is>
          <t>910703979141</t>
        </is>
      </c>
      <c r="B168" t="inlineStr">
        <is>
          <t>Wrenfield Commercial Bank Oslo</t>
        </is>
      </c>
      <c r="C168" t="inlineStr">
        <is>
          <t>171857983160</t>
        </is>
      </c>
      <c r="D168" t="inlineStr">
        <is>
          <t>Granite Commercial Bank Milan</t>
        </is>
      </c>
      <c r="E168" t="inlineStr">
        <is>
          <t>CHF</t>
        </is>
      </c>
      <c r="F168" t="inlineStr">
        <is>
          <t>NT26081800162</t>
        </is>
      </c>
      <c r="G168" s="6" t="n">
        <v>46252</v>
      </c>
      <c r="H168" s="7" t="n">
        <v>157621413.071</v>
      </c>
      <c r="I168" t="inlineStr">
        <is>
          <t>GBP</t>
        </is>
      </c>
      <c r="J168" s="7" t="n">
        <v>141386407.525</v>
      </c>
      <c r="K168" t="inlineStr">
        <is>
          <t>INTERNAL</t>
        </is>
      </c>
      <c r="L168" t="inlineStr">
        <is>
          <t>Liquidity sweep</t>
        </is>
      </c>
      <c r="M168" s="8" t="n">
        <v>46252.4575462963</v>
      </c>
      <c r="N168" t="inlineStr">
        <is>
          <t>Oakley Delaney</t>
        </is>
      </c>
      <c r="O168" s="8" t="n">
        <v>46252.47143518519</v>
      </c>
      <c r="P168" t="inlineStr">
        <is>
          <t>Oakley Delaney</t>
        </is>
      </c>
      <c r="Q168" t="inlineStr">
        <is>
          <t>LEDGER_OR_CASHFLOW_RECEIVED</t>
        </is>
      </c>
      <c r="R168" t="inlineStr">
        <is>
          <t>SYRM_ACKNOWLEDGED</t>
        </is>
      </c>
      <c r="S168" t="inlineStr">
        <is>
          <t>View details</t>
        </is>
      </c>
    </row>
    <row r="169">
      <c r="A169" t="inlineStr">
        <is>
          <t>794226063698</t>
        </is>
      </c>
      <c r="B169" t="inlineStr">
        <is>
          <t>Ironbark Trust Dublin</t>
        </is>
      </c>
      <c r="C169" t="inlineStr">
        <is>
          <t>150316825069</t>
        </is>
      </c>
      <c r="D169" t="inlineStr">
        <is>
          <t>Sablewood Settlement Bank Oslo</t>
        </is>
      </c>
      <c r="E169" t="inlineStr">
        <is>
          <t>AED</t>
        </is>
      </c>
      <c r="F169" t="inlineStr">
        <is>
          <t>NT26081800163</t>
        </is>
      </c>
      <c r="G169" s="6" t="n">
        <v>46252</v>
      </c>
      <c r="H169" s="7" t="n">
        <v>1974108.688</v>
      </c>
      <c r="I169" t="inlineStr">
        <is>
          <t>GBP</t>
        </is>
      </c>
      <c r="J169" s="7" t="n">
        <v>420485.151</v>
      </c>
      <c r="K169" t="inlineStr">
        <is>
          <t>SYRM</t>
        </is>
      </c>
      <c r="L169" t="inlineStr">
        <is>
          <t>Balance alignment</t>
        </is>
      </c>
      <c r="M169" s="8" t="n">
        <v>46252.40851851852</v>
      </c>
      <c r="N169" t="inlineStr">
        <is>
          <t>Oakley Rhodes</t>
        </is>
      </c>
      <c r="O169" s="8" t="n">
        <v>46252.44532407408</v>
      </c>
      <c r="P169" t="inlineStr">
        <is>
          <t>Devon Jennings</t>
        </is>
      </c>
      <c r="Q169" t="inlineStr">
        <is>
          <t>LEDGER_OR_CASHFLOW_RECEIVED</t>
        </is>
      </c>
      <c r="R169" t="inlineStr">
        <is>
          <t>SYRM_REJECTED</t>
        </is>
      </c>
      <c r="S169" t="inlineStr">
        <is>
          <t>View details</t>
        </is>
      </c>
    </row>
    <row r="170">
      <c r="A170" t="inlineStr">
        <is>
          <t>794226063698</t>
        </is>
      </c>
      <c r="B170" t="inlineStr">
        <is>
          <t>Thornbury Commercial Bank London</t>
        </is>
      </c>
      <c r="C170" t="inlineStr">
        <is>
          <t>968942362772</t>
        </is>
      </c>
      <c r="D170" t="inlineStr">
        <is>
          <t>Wrenfield Trust Tokyo</t>
        </is>
      </c>
      <c r="E170" t="inlineStr">
        <is>
          <t>AED</t>
        </is>
      </c>
      <c r="F170" t="inlineStr">
        <is>
          <t>NT26081800164</t>
        </is>
      </c>
      <c r="G170" s="6" t="n">
        <v>46252</v>
      </c>
      <c r="H170" s="7" t="n">
        <v>216485849.211</v>
      </c>
      <c r="I170" t="inlineStr">
        <is>
          <t>GBP</t>
        </is>
      </c>
      <c r="J170" s="7" t="n">
        <v>46111485.882</v>
      </c>
      <c r="K170" t="inlineStr">
        <is>
          <t>SYRM</t>
        </is>
      </c>
      <c r="L170" t="inlineStr">
        <is>
          <t>Balance alignment</t>
        </is>
      </c>
      <c r="M170" s="8" t="n">
        <v>46252.67284722222</v>
      </c>
      <c r="N170" t="inlineStr">
        <is>
          <t>Devon Delaney</t>
        </is>
      </c>
      <c r="O170" s="8" t="n">
        <v>46252.731875</v>
      </c>
      <c r="P170" t="inlineStr">
        <is>
          <t>Finley Jennings</t>
        </is>
      </c>
      <c r="Q170" t="inlineStr">
        <is>
          <t>LEDGER_OR_CASHFLOW_RECEIVED</t>
        </is>
      </c>
      <c r="R170" t="inlineStr">
        <is>
          <t>SYRM_ACKNOWLEDGED</t>
        </is>
      </c>
      <c r="S170" t="inlineStr">
        <is>
          <t>View details</t>
        </is>
      </c>
    </row>
    <row r="171">
      <c r="A171" t="inlineStr">
        <is>
          <t>150316825069</t>
        </is>
      </c>
      <c r="B171" t="inlineStr">
        <is>
          <t>Mallow Trust Frankfurt</t>
        </is>
      </c>
      <c r="C171" t="inlineStr">
        <is>
          <t>120047354818</t>
        </is>
      </c>
      <c r="D171" t="inlineStr">
        <is>
          <t>Bramble Commercial Bank Toronto</t>
        </is>
      </c>
      <c r="E171" t="inlineStr">
        <is>
          <t>GBP</t>
        </is>
      </c>
      <c r="F171" t="inlineStr">
        <is>
          <t>NT26081800165</t>
        </is>
      </c>
      <c r="G171" s="6" t="n">
        <v>46252</v>
      </c>
      <c r="H171" s="7" t="n">
        <v>2028306.436</v>
      </c>
      <c r="I171" t="inlineStr">
        <is>
          <t>GBP</t>
        </is>
      </c>
      <c r="J171" s="7" t="n">
        <v>2028306.436</v>
      </c>
      <c r="K171" t="inlineStr">
        <is>
          <t>SYRM</t>
        </is>
      </c>
      <c r="L171" t="inlineStr">
        <is>
          <t>Funding move</t>
        </is>
      </c>
      <c r="M171" s="8" t="n">
        <v>46252.47996527778</v>
      </c>
      <c r="N171" t="inlineStr">
        <is>
          <t>Sawyer Calloway</t>
        </is>
      </c>
      <c r="O171" s="8" t="n">
        <v>46252.54246527778</v>
      </c>
      <c r="P171" t="inlineStr">
        <is>
          <t>Harper Hollis</t>
        </is>
      </c>
      <c r="Q171" t="inlineStr">
        <is>
          <t>LEDGER_OR_CASHFLOW_RECEIVED</t>
        </is>
      </c>
      <c r="R171" t="inlineStr">
        <is>
          <t>SYRM_ACKNOWLEDGED</t>
        </is>
      </c>
      <c r="S171" t="inlineStr">
        <is>
          <t>View details</t>
        </is>
      </c>
    </row>
    <row r="172">
      <c r="A172" t="inlineStr">
        <is>
          <t>468341071172</t>
        </is>
      </c>
      <c r="B172" t="inlineStr">
        <is>
          <t>Ironbark Trust Dublin</t>
        </is>
      </c>
      <c r="C172" t="inlineStr">
        <is>
          <t>132544340094</t>
        </is>
      </c>
      <c r="D172" t="inlineStr">
        <is>
          <t>Cedar Clearing New York</t>
        </is>
      </c>
      <c r="E172" t="inlineStr">
        <is>
          <t>EUR</t>
        </is>
      </c>
      <c r="F172" t="inlineStr">
        <is>
          <t>NT26081800166</t>
        </is>
      </c>
      <c r="G172" s="6" t="n">
        <v>46252</v>
      </c>
      <c r="H172" s="7" t="n">
        <v>3853871534.499</v>
      </c>
      <c r="I172" t="inlineStr">
        <is>
          <t>GBP</t>
        </is>
      </c>
      <c r="J172" s="7" t="n">
        <v>3306621776.6</v>
      </c>
      <c r="K172" t="inlineStr">
        <is>
          <t>INTERNAL</t>
        </is>
      </c>
      <c r="L172" t="inlineStr">
        <is>
          <t>Balance alignment</t>
        </is>
      </c>
      <c r="M172" s="8" t="n">
        <v>46252.49746527777</v>
      </c>
      <c r="N172" t="inlineStr">
        <is>
          <t>Finley Hollis</t>
        </is>
      </c>
      <c r="O172" s="8" t="n">
        <v>46252.53635416667</v>
      </c>
      <c r="P172" t="inlineStr">
        <is>
          <t>Devon Delaney</t>
        </is>
      </c>
      <c r="Q172" t="inlineStr">
        <is>
          <t>LEDGER_OR_CASHFLOW_RECEIVED</t>
        </is>
      </c>
      <c r="R172" t="inlineStr">
        <is>
          <t>SYRM_REJECTED</t>
        </is>
      </c>
      <c r="S172" t="inlineStr">
        <is>
          <t>View details</t>
        </is>
      </c>
    </row>
    <row r="173">
      <c r="A173" t="inlineStr">
        <is>
          <t>150316825069</t>
        </is>
      </c>
      <c r="B173" t="inlineStr">
        <is>
          <t>Mallow Trust Frankfurt</t>
        </is>
      </c>
      <c r="C173" t="inlineStr">
        <is>
          <t>794226063698</t>
        </is>
      </c>
      <c r="D173" t="inlineStr">
        <is>
          <t>Juniper Clearing New York</t>
        </is>
      </c>
      <c r="E173" t="inlineStr">
        <is>
          <t>GBP</t>
        </is>
      </c>
      <c r="F173" t="inlineStr">
        <is>
          <t>NT26081800167</t>
        </is>
      </c>
      <c r="G173" s="6" t="n">
        <v>46252</v>
      </c>
      <c r="H173" s="7" t="n">
        <v>1149412.311</v>
      </c>
      <c r="I173" t="inlineStr">
        <is>
          <t>GBP</t>
        </is>
      </c>
      <c r="J173" s="7" t="n">
        <v>1149412.311</v>
      </c>
      <c r="K173" t="inlineStr">
        <is>
          <t>INTERNAL</t>
        </is>
      </c>
      <c r="L173" t="inlineStr"/>
      <c r="M173" s="8" t="n">
        <v>46252.39465277778</v>
      </c>
      <c r="N173" t="inlineStr">
        <is>
          <t>Wren Hollis</t>
        </is>
      </c>
      <c r="O173" s="8" t="n">
        <v>46252.40298611111</v>
      </c>
      <c r="P173" t="inlineStr">
        <is>
          <t>Greer Osgood</t>
        </is>
      </c>
      <c r="Q173" t="inlineStr">
        <is>
          <t>CASHFLOW_RECEIVED</t>
        </is>
      </c>
      <c r="R173" t="inlineStr">
        <is>
          <t>SYRM_PENDING</t>
        </is>
      </c>
      <c r="S173" t="inlineStr">
        <is>
          <t>View details</t>
        </is>
      </c>
    </row>
    <row r="174">
      <c r="A174" t="inlineStr">
        <is>
          <t>794226063698</t>
        </is>
      </c>
      <c r="B174" t="inlineStr">
        <is>
          <t>Fernway Clearing Frankfurt</t>
        </is>
      </c>
      <c r="C174" t="inlineStr">
        <is>
          <t>726928343448</t>
        </is>
      </c>
      <c r="D174" t="inlineStr">
        <is>
          <t>Sablewood Settlement Bank Oslo</t>
        </is>
      </c>
      <c r="E174" t="inlineStr">
        <is>
          <t>AED</t>
        </is>
      </c>
      <c r="F174" t="inlineStr">
        <is>
          <t>NT26081800168</t>
        </is>
      </c>
      <c r="G174" s="6" t="n">
        <v>46252</v>
      </c>
      <c r="H174" s="7" t="n">
        <v>94117.28200000001</v>
      </c>
      <c r="I174" t="inlineStr">
        <is>
          <t>GBP</t>
        </is>
      </c>
      <c r="J174" s="7" t="n">
        <v>20046.981</v>
      </c>
      <c r="K174" t="inlineStr">
        <is>
          <t>INTERNAL</t>
        </is>
      </c>
      <c r="L174" t="inlineStr"/>
      <c r="M174" s="8" t="n">
        <v>46252.45149305555</v>
      </c>
      <c r="N174" t="inlineStr">
        <is>
          <t>Noor Thorne</t>
        </is>
      </c>
      <c r="O174" s="8" t="n">
        <v>46252.46954861111</v>
      </c>
      <c r="P174" t="inlineStr">
        <is>
          <t>Greer Osgood</t>
        </is>
      </c>
      <c r="Q174" t="inlineStr">
        <is>
          <t>LEDGER_OR_CASHFLOW_RECEIVED</t>
        </is>
      </c>
      <c r="R174" t="inlineStr">
        <is>
          <t>SYRM_ACKNOWLEDGED</t>
        </is>
      </c>
      <c r="S174" t="inlineStr">
        <is>
          <t>View details</t>
        </is>
      </c>
    </row>
    <row r="175">
      <c r="A175" t="inlineStr">
        <is>
          <t>953625291146</t>
        </is>
      </c>
      <c r="B175" t="inlineStr">
        <is>
          <t>Zephyr Bank Madrid</t>
        </is>
      </c>
      <c r="C175" t="inlineStr">
        <is>
          <t>468341071172</t>
        </is>
      </c>
      <c r="D175" t="inlineStr">
        <is>
          <t>Thornbury Commercial Bank London</t>
        </is>
      </c>
      <c r="E175" t="inlineStr">
        <is>
          <t>USD</t>
        </is>
      </c>
      <c r="F175" t="inlineStr">
        <is>
          <t>NT26081800169</t>
        </is>
      </c>
      <c r="G175" s="6" t="n">
        <v>46252</v>
      </c>
      <c r="H175" s="7" t="n">
        <v>242348552.523</v>
      </c>
      <c r="I175" t="inlineStr">
        <is>
          <t>GBP</t>
        </is>
      </c>
      <c r="J175" s="7" t="n">
        <v>190001265.178</v>
      </c>
      <c r="K175" t="inlineStr">
        <is>
          <t>SWIFT</t>
        </is>
      </c>
      <c r="L175" t="inlineStr">
        <is>
          <t>Funding move</t>
        </is>
      </c>
      <c r="M175" s="8" t="n">
        <v>46252.77943287037</v>
      </c>
      <c r="N175" t="inlineStr">
        <is>
          <t>Oakley Rhodes</t>
        </is>
      </c>
      <c r="O175" s="8" t="n">
        <v>46252.8079050926</v>
      </c>
      <c r="P175" t="inlineStr">
        <is>
          <t>Marlow Sinclair</t>
        </is>
      </c>
      <c r="Q175" t="inlineStr">
        <is>
          <t>LEDGER_OR_CASHFLOW_RECEIVED</t>
        </is>
      </c>
      <c r="R175" t="inlineStr">
        <is>
          <t>SYRM_ACKNOWLEDGED</t>
        </is>
      </c>
      <c r="S175" t="inlineStr">
        <is>
          <t>View details</t>
        </is>
      </c>
    </row>
    <row r="176">
      <c r="A176" t="inlineStr">
        <is>
          <t>150316825069</t>
        </is>
      </c>
      <c r="B176" t="inlineStr">
        <is>
          <t>Dunlin Commercial Bank Paris</t>
        </is>
      </c>
      <c r="C176" t="inlineStr">
        <is>
          <t>150316825069</t>
        </is>
      </c>
      <c r="D176" t="inlineStr">
        <is>
          <t>Mallow Settlement Bank Oslo</t>
        </is>
      </c>
      <c r="E176" t="inlineStr">
        <is>
          <t>GBP</t>
        </is>
      </c>
      <c r="F176" t="inlineStr">
        <is>
          <t>NT26081800170</t>
        </is>
      </c>
      <c r="G176" s="6" t="n">
        <v>46252</v>
      </c>
      <c r="H176" s="7" t="n">
        <v>42660487.448</v>
      </c>
      <c r="I176" t="inlineStr">
        <is>
          <t>GBP</t>
        </is>
      </c>
      <c r="J176" s="7" t="n">
        <v>42660487.448</v>
      </c>
      <c r="K176" t="inlineStr">
        <is>
          <t>SWIFT</t>
        </is>
      </c>
      <c r="L176" t="inlineStr"/>
      <c r="M176" s="8" t="n">
        <v>46252.66894675926</v>
      </c>
      <c r="N176" t="inlineStr">
        <is>
          <t>Harper Calloway</t>
        </is>
      </c>
      <c r="O176" s="8" t="n">
        <v>46252.70228009259</v>
      </c>
      <c r="P176" t="inlineStr">
        <is>
          <t>Quinn Lindqvist</t>
        </is>
      </c>
      <c r="Q176" t="inlineStr">
        <is>
          <t>LEDGER_OR_CASHFLOW_RECEIVED</t>
        </is>
      </c>
      <c r="R176" t="inlineStr">
        <is>
          <t>SYRM_ACKNOWLEDGED</t>
        </is>
      </c>
      <c r="S176" t="inlineStr">
        <is>
          <t>View details</t>
        </is>
      </c>
    </row>
    <row r="177">
      <c r="A177" t="inlineStr">
        <is>
          <t>150316825069</t>
        </is>
      </c>
      <c r="B177" t="inlineStr">
        <is>
          <t>Redstart Commercial Bank Dublin</t>
        </is>
      </c>
      <c r="C177" t="inlineStr">
        <is>
          <t>794226063698</t>
        </is>
      </c>
      <c r="D177" t="inlineStr">
        <is>
          <t>Pinehurst Commercial Bank Stockholm</t>
        </is>
      </c>
      <c r="E177" t="inlineStr">
        <is>
          <t>GBP</t>
        </is>
      </c>
      <c r="F177" t="inlineStr">
        <is>
          <t>NT26081800171</t>
        </is>
      </c>
      <c r="G177" s="6" t="n">
        <v>46252</v>
      </c>
      <c r="H177" s="7" t="n">
        <v>84997.553</v>
      </c>
      <c r="I177" t="inlineStr">
        <is>
          <t>GBP</t>
        </is>
      </c>
      <c r="J177" s="7" t="n">
        <v>84997.553</v>
      </c>
      <c r="K177" t="inlineStr">
        <is>
          <t>SYRM</t>
        </is>
      </c>
      <c r="L177" t="inlineStr">
        <is>
          <t>Balance alignment</t>
        </is>
      </c>
      <c r="M177" s="8" t="n">
        <v>46252.42244212963</v>
      </c>
      <c r="N177" t="inlineStr">
        <is>
          <t>Marlow Rhodes</t>
        </is>
      </c>
      <c r="O177" s="8" t="n">
        <v>46252.45091435185</v>
      </c>
      <c r="P177" t="inlineStr">
        <is>
          <t>Harper Calloway</t>
        </is>
      </c>
      <c r="Q177" t="inlineStr">
        <is>
          <t>LEDGER_OR_CASHFLOW_RECEIVED</t>
        </is>
      </c>
      <c r="R177" t="inlineStr">
        <is>
          <t>SYRM_ACKNOWLEDGED</t>
        </is>
      </c>
      <c r="S177" t="inlineStr">
        <is>
          <t>View details</t>
        </is>
      </c>
    </row>
    <row r="178">
      <c r="A178" t="inlineStr">
        <is>
          <t>824840705580</t>
        </is>
      </c>
      <c r="B178" t="inlineStr">
        <is>
          <t>Pinehurst Settlement Bank Frankfurt</t>
        </is>
      </c>
      <c r="C178" t="inlineStr">
        <is>
          <t>468341071172</t>
        </is>
      </c>
      <c r="D178" t="inlineStr">
        <is>
          <t>Yarrow Trust Oslo</t>
        </is>
      </c>
      <c r="E178" t="inlineStr">
        <is>
          <t>EUR</t>
        </is>
      </c>
      <c r="F178" t="inlineStr">
        <is>
          <t>NT26081800172</t>
        </is>
      </c>
      <c r="G178" s="6" t="n">
        <v>46252</v>
      </c>
      <c r="H178" s="7" t="n">
        <v>126019303.557</v>
      </c>
      <c r="I178" t="inlineStr">
        <is>
          <t>GBP</t>
        </is>
      </c>
      <c r="J178" s="7" t="n">
        <v>108124562.452</v>
      </c>
      <c r="K178" t="inlineStr">
        <is>
          <t>SWIFT</t>
        </is>
      </c>
      <c r="L178" t="inlineStr">
        <is>
          <t>Intraday top-up</t>
        </is>
      </c>
      <c r="M178" s="8" t="n">
        <v>46252.70090277777</v>
      </c>
      <c r="N178" t="inlineStr">
        <is>
          <t>Quinn Osgood</t>
        </is>
      </c>
      <c r="O178" s="8" t="n">
        <v>46252.766875</v>
      </c>
      <c r="P178" t="inlineStr">
        <is>
          <t>Marlow Sinclair</t>
        </is>
      </c>
      <c r="Q178" t="inlineStr">
        <is>
          <t>LEDGER_OR_CASHFLOW_RECEIVED</t>
        </is>
      </c>
      <c r="R178" t="inlineStr">
        <is>
          <t>SYRM_ACKNOWLEDGED</t>
        </is>
      </c>
      <c r="S178" t="inlineStr">
        <is>
          <t>View details</t>
        </is>
      </c>
    </row>
    <row r="179">
      <c r="A179" t="inlineStr">
        <is>
          <t>726928343448</t>
        </is>
      </c>
      <c r="B179" t="inlineStr">
        <is>
          <t>Harrow Bank Milan</t>
        </is>
      </c>
      <c r="C179" t="inlineStr">
        <is>
          <t>898317028833</t>
        </is>
      </c>
      <c r="D179" t="inlineStr">
        <is>
          <t>Pinehurst Commercial Bank Sydney</t>
        </is>
      </c>
      <c r="E179" t="inlineStr">
        <is>
          <t>EUR</t>
        </is>
      </c>
      <c r="F179" t="inlineStr">
        <is>
          <t>NT26081800173</t>
        </is>
      </c>
      <c r="G179" s="6" t="n">
        <v>46252</v>
      </c>
      <c r="H179" s="7" t="n">
        <v>65312.472</v>
      </c>
      <c r="I179" t="inlineStr">
        <is>
          <t>GBP</t>
        </is>
      </c>
      <c r="J179" s="7" t="n">
        <v>56038.101</v>
      </c>
      <c r="K179" t="inlineStr">
        <is>
          <t>SYRM</t>
        </is>
      </c>
      <c r="L179" t="inlineStr">
        <is>
          <t>Funding move</t>
        </is>
      </c>
      <c r="M179" s="8" t="n">
        <v>46252.43081018519</v>
      </c>
      <c r="N179" t="inlineStr">
        <is>
          <t>Avery Prentice</t>
        </is>
      </c>
      <c r="O179" s="8" t="n">
        <v>46252.47733796296</v>
      </c>
      <c r="P179" t="inlineStr">
        <is>
          <t>Finley Sinclair</t>
        </is>
      </c>
      <c r="Q179" t="inlineStr">
        <is>
          <t>CASHFLOW_RECEIVED</t>
        </is>
      </c>
      <c r="R179" t="inlineStr">
        <is>
          <t>SYRM_PENDING</t>
        </is>
      </c>
      <c r="S179" t="inlineStr">
        <is>
          <t>View details</t>
        </is>
      </c>
    </row>
    <row r="180">
      <c r="A180" t="inlineStr">
        <is>
          <t>898317028833</t>
        </is>
      </c>
      <c r="B180" t="inlineStr">
        <is>
          <t>Juniper Trust London</t>
        </is>
      </c>
      <c r="C180" t="inlineStr">
        <is>
          <t>150316825069</t>
        </is>
      </c>
      <c r="D180" t="inlineStr">
        <is>
          <t>Oriel Commercial Bank Toronto</t>
        </is>
      </c>
      <c r="E180" t="inlineStr">
        <is>
          <t>GBP</t>
        </is>
      </c>
      <c r="F180" t="inlineStr">
        <is>
          <t>NT26081800174</t>
        </is>
      </c>
      <c r="G180" s="6" t="n">
        <v>46252</v>
      </c>
      <c r="H180" s="7" t="n">
        <v>99249.985</v>
      </c>
      <c r="I180" t="inlineStr">
        <is>
          <t>GBP</t>
        </is>
      </c>
      <c r="J180" s="7" t="n">
        <v>99249.985</v>
      </c>
      <c r="K180" t="inlineStr">
        <is>
          <t>SYRM</t>
        </is>
      </c>
      <c r="L180" t="inlineStr"/>
      <c r="M180" s="8" t="n">
        <v>46252.48010416667</v>
      </c>
      <c r="N180" t="inlineStr">
        <is>
          <t>Wren Fairweather</t>
        </is>
      </c>
      <c r="O180" s="8" t="n">
        <v>46252.4946875</v>
      </c>
      <c r="P180" t="inlineStr">
        <is>
          <t>Marlow Rhodes</t>
        </is>
      </c>
      <c r="Q180" t="inlineStr">
        <is>
          <t>LEDGER_OR_CASHFLOW_RECEIVED</t>
        </is>
      </c>
      <c r="R180" t="inlineStr">
        <is>
          <t>SYRM_ACKNOWLEDGED</t>
        </is>
      </c>
      <c r="S180" t="inlineStr">
        <is>
          <t>View details</t>
        </is>
      </c>
    </row>
    <row r="181">
      <c r="A181" t="inlineStr">
        <is>
          <t>794226063698</t>
        </is>
      </c>
      <c r="B181" t="inlineStr">
        <is>
          <t>Mallow Settlement Bank Warsaw</t>
        </is>
      </c>
      <c r="C181" t="inlineStr">
        <is>
          <t>927538182434</t>
        </is>
      </c>
      <c r="D181" t="inlineStr">
        <is>
          <t>Umberton Commercial Bank Mexico City</t>
        </is>
      </c>
      <c r="E181" t="inlineStr">
        <is>
          <t>AED</t>
        </is>
      </c>
      <c r="F181" t="inlineStr">
        <is>
          <t>NT26081800175</t>
        </is>
      </c>
      <c r="G181" s="6" t="n">
        <v>46252</v>
      </c>
      <c r="H181" s="7" t="n">
        <v>584428954.119</v>
      </c>
      <c r="I181" t="inlineStr">
        <is>
          <t>GBP</t>
        </is>
      </c>
      <c r="J181" s="7" t="n">
        <v>124483367.227</v>
      </c>
      <c r="K181" t="inlineStr">
        <is>
          <t>SYRM</t>
        </is>
      </c>
      <c r="L181" t="inlineStr">
        <is>
          <t>Balance alignment</t>
        </is>
      </c>
      <c r="M181" s="8" t="n">
        <v>46252.56501157407</v>
      </c>
      <c r="N181" t="inlineStr">
        <is>
          <t>Wren Delaney</t>
        </is>
      </c>
      <c r="O181" s="8" t="n">
        <v>46252.57542824074</v>
      </c>
      <c r="P181" t="inlineStr">
        <is>
          <t>Noor Brookes</t>
        </is>
      </c>
      <c r="Q181" t="inlineStr">
        <is>
          <t>LEDGER_OR_CASHFLOW_RECEIVED</t>
        </is>
      </c>
      <c r="R181" t="inlineStr">
        <is>
          <t>SYRM_ACKNOWLEDGED</t>
        </is>
      </c>
      <c r="S181" t="inlineStr">
        <is>
          <t>View details</t>
        </is>
      </c>
    </row>
    <row r="182">
      <c r="A182" t="inlineStr">
        <is>
          <t>700726936098</t>
        </is>
      </c>
      <c r="B182" t="inlineStr">
        <is>
          <t>Ironbark Trust Dublin</t>
        </is>
      </c>
      <c r="C182" t="inlineStr">
        <is>
          <t>910703979141</t>
        </is>
      </c>
      <c r="D182" t="inlineStr">
        <is>
          <t>Juniper Commercial Bank Warsaw</t>
        </is>
      </c>
      <c r="E182" t="inlineStr">
        <is>
          <t>SAR</t>
        </is>
      </c>
      <c r="F182" t="inlineStr">
        <is>
          <t>NT26081800176</t>
        </is>
      </c>
      <c r="G182" s="6" t="n">
        <v>46252</v>
      </c>
      <c r="H182" s="7" t="n">
        <v>292.357</v>
      </c>
      <c r="I182" t="inlineStr">
        <is>
          <t>GBP</t>
        </is>
      </c>
      <c r="J182" s="7" t="n">
        <v>61.103</v>
      </c>
      <c r="K182" t="inlineStr">
        <is>
          <t>SYRM</t>
        </is>
      </c>
      <c r="L182" t="inlineStr">
        <is>
          <t>Intraday top-up</t>
        </is>
      </c>
      <c r="M182" s="8" t="n">
        <v>46252.61497685185</v>
      </c>
      <c r="N182" t="inlineStr">
        <is>
          <t>Quinn Osgood</t>
        </is>
      </c>
      <c r="O182" s="8" t="n">
        <v>46252.66011574074</v>
      </c>
      <c r="P182" t="inlineStr">
        <is>
          <t>Oakley Novak</t>
        </is>
      </c>
      <c r="Q182" t="inlineStr">
        <is>
          <t>LEDGER_OR_CASHFLOW_RECEIVED</t>
        </is>
      </c>
      <c r="R182" t="inlineStr">
        <is>
          <t>SYRM_ACKNOWLEDGED</t>
        </is>
      </c>
      <c r="S182" t="inlineStr">
        <is>
          <t>View details</t>
        </is>
      </c>
    </row>
    <row r="183">
      <c r="A183" t="inlineStr">
        <is>
          <t>150316825069</t>
        </is>
      </c>
      <c r="B183" t="inlineStr">
        <is>
          <t>Dunlin Commercial Bank Warsaw</t>
        </is>
      </c>
      <c r="C183" t="inlineStr">
        <is>
          <t>953625291146</t>
        </is>
      </c>
      <c r="D183" t="inlineStr">
        <is>
          <t>Yarrow Bank Stockholm</t>
        </is>
      </c>
      <c r="E183" t="inlineStr">
        <is>
          <t>GBP</t>
        </is>
      </c>
      <c r="F183" t="inlineStr">
        <is>
          <t>NT26081800177</t>
        </is>
      </c>
      <c r="G183" s="6" t="n">
        <v>46252</v>
      </c>
      <c r="H183" s="7" t="n">
        <v>24877.795</v>
      </c>
      <c r="I183" t="inlineStr">
        <is>
          <t>GBP</t>
        </is>
      </c>
      <c r="J183" s="7" t="n">
        <v>24877.795</v>
      </c>
      <c r="K183" t="inlineStr">
        <is>
          <t>SYRM</t>
        </is>
      </c>
      <c r="L183" t="inlineStr">
        <is>
          <t>Balance alignment</t>
        </is>
      </c>
      <c r="M183" s="8" t="n">
        <v>46252.45248842592</v>
      </c>
      <c r="N183" t="inlineStr">
        <is>
          <t>Sawyer Calloway</t>
        </is>
      </c>
      <c r="O183" s="8" t="n"/>
      <c r="Q183" t="inlineStr">
        <is>
          <t>PENDING_APPROVAL</t>
        </is>
      </c>
      <c r="R183" t="inlineStr">
        <is>
          <t>SYRM_ACKNOWLEDGED</t>
        </is>
      </c>
      <c r="S183" t="inlineStr">
        <is>
          <t>View details</t>
        </is>
      </c>
    </row>
    <row r="184">
      <c r="A184" t="inlineStr">
        <is>
          <t>359365220160</t>
        </is>
      </c>
      <c r="B184" t="inlineStr">
        <is>
          <t>Wrenfield Bank Paris</t>
        </is>
      </c>
      <c r="C184" t="inlineStr">
        <is>
          <t>898317028833</t>
        </is>
      </c>
      <c r="D184" t="inlineStr">
        <is>
          <t>Cedar Clearing New York</t>
        </is>
      </c>
      <c r="E184" t="inlineStr">
        <is>
          <t>EUR</t>
        </is>
      </c>
      <c r="F184" t="inlineStr">
        <is>
          <t>NT26081800178</t>
        </is>
      </c>
      <c r="G184" s="6" t="n">
        <v>46252</v>
      </c>
      <c r="H184" s="7" t="n">
        <v>449187558.97</v>
      </c>
      <c r="I184" t="inlineStr">
        <is>
          <t>GBP</t>
        </is>
      </c>
      <c r="J184" s="7" t="n">
        <v>385402925.596</v>
      </c>
      <c r="K184" t="inlineStr">
        <is>
          <t>SYRM</t>
        </is>
      </c>
      <c r="L184" t="inlineStr">
        <is>
          <t>Liquidity sweep</t>
        </is>
      </c>
      <c r="M184" s="8" t="n">
        <v>46252.76758101852</v>
      </c>
      <c r="N184" t="inlineStr">
        <is>
          <t>Quinn Brookes</t>
        </is>
      </c>
      <c r="O184" s="8" t="n">
        <v>46252.8252199074</v>
      </c>
      <c r="P184" t="inlineStr">
        <is>
          <t>Quinn Lindqvist</t>
        </is>
      </c>
      <c r="Q184" t="inlineStr">
        <is>
          <t>LEDGER_OR_CASHFLOW_RECEIVED</t>
        </is>
      </c>
      <c r="R184" t="inlineStr">
        <is>
          <t>SYRM_ACKNOWLEDGED</t>
        </is>
      </c>
      <c r="S184" t="inlineStr">
        <is>
          <t>View details</t>
        </is>
      </c>
    </row>
    <row r="185">
      <c r="A185" t="inlineStr">
        <is>
          <t>898317028833</t>
        </is>
      </c>
      <c r="B185" t="inlineStr">
        <is>
          <t>Kestrel Clearing Oslo</t>
        </is>
      </c>
      <c r="C185" t="inlineStr">
        <is>
          <t>794226063698</t>
        </is>
      </c>
      <c r="D185" t="inlineStr">
        <is>
          <t>Nightjar Clearing Dublin</t>
        </is>
      </c>
      <c r="E185" t="inlineStr">
        <is>
          <t>GBP</t>
        </is>
      </c>
      <c r="F185" t="inlineStr">
        <is>
          <t>NT26081800179</t>
        </is>
      </c>
      <c r="G185" s="6" t="n">
        <v>46252</v>
      </c>
      <c r="H185" s="7" t="n">
        <v>33466252.889</v>
      </c>
      <c r="I185" t="inlineStr">
        <is>
          <t>GBP</t>
        </is>
      </c>
      <c r="J185" s="7" t="n">
        <v>33466252.889</v>
      </c>
      <c r="K185" t="inlineStr">
        <is>
          <t>SYRM</t>
        </is>
      </c>
      <c r="L185" t="inlineStr">
        <is>
          <t>Balance alignment</t>
        </is>
      </c>
      <c r="M185" s="8" t="n">
        <v>46252.86690972222</v>
      </c>
      <c r="N185" t="inlineStr">
        <is>
          <t>Quinn Hollis</t>
        </is>
      </c>
      <c r="O185" s="8" t="n">
        <v>46252.91829861111</v>
      </c>
      <c r="P185" t="inlineStr">
        <is>
          <t>Ellis Delaney</t>
        </is>
      </c>
      <c r="Q185" t="inlineStr">
        <is>
          <t>LEDGER_OR_CASHFLOW_RECEIVED</t>
        </is>
      </c>
      <c r="R185" t="inlineStr">
        <is>
          <t>SYRM_ACKNOWLEDGED</t>
        </is>
      </c>
      <c r="S185" t="inlineStr">
        <is>
          <t>View details</t>
        </is>
      </c>
    </row>
    <row r="186">
      <c r="A186" t="inlineStr">
        <is>
          <t>968942362772</t>
        </is>
      </c>
      <c r="B186" t="inlineStr">
        <is>
          <t>Bramble Bank Milan</t>
        </is>
      </c>
      <c r="C186" t="inlineStr">
        <is>
          <t>726928343448</t>
        </is>
      </c>
      <c r="D186" t="inlineStr">
        <is>
          <t>Juniper Trust London</t>
        </is>
      </c>
      <c r="E186" t="inlineStr">
        <is>
          <t>EUR</t>
        </is>
      </c>
      <c r="F186" t="inlineStr">
        <is>
          <t>NT26081800180</t>
        </is>
      </c>
      <c r="G186" s="6" t="n">
        <v>46252</v>
      </c>
      <c r="H186" s="7" t="n">
        <v>200466793.887</v>
      </c>
      <c r="I186" t="inlineStr">
        <is>
          <t>GBP</t>
        </is>
      </c>
      <c r="J186" s="7" t="n">
        <v>172000509.155</v>
      </c>
      <c r="K186" t="inlineStr">
        <is>
          <t>SYRM</t>
        </is>
      </c>
      <c r="L186" t="inlineStr">
        <is>
          <t>Intraday top-up</t>
        </is>
      </c>
      <c r="M186" s="8" t="n">
        <v>46252.63128472222</v>
      </c>
      <c r="N186" t="inlineStr">
        <is>
          <t>Avery Sinclair</t>
        </is>
      </c>
      <c r="O186" s="8" t="n">
        <v>46252.65767361111</v>
      </c>
      <c r="P186" t="inlineStr">
        <is>
          <t>Marlow Rhodes</t>
        </is>
      </c>
      <c r="Q186" t="inlineStr">
        <is>
          <t>LEDGER_OR_CASHFLOW_RECEIVED</t>
        </is>
      </c>
      <c r="R186" t="inlineStr">
        <is>
          <t>SYRM_ACKNOWLEDGED</t>
        </is>
      </c>
      <c r="S186" t="inlineStr">
        <is>
          <t>View details</t>
        </is>
      </c>
    </row>
    <row r="187">
      <c r="A187" t="inlineStr">
        <is>
          <t>132544340094</t>
        </is>
      </c>
      <c r="B187" t="inlineStr">
        <is>
          <t>Umberton Commercial Bank Mexico City</t>
        </is>
      </c>
      <c r="C187" t="inlineStr">
        <is>
          <t>150316825069</t>
        </is>
      </c>
      <c r="D187" t="inlineStr">
        <is>
          <t>Juniper Clearing New York</t>
        </is>
      </c>
      <c r="E187" t="inlineStr">
        <is>
          <t>CZK</t>
        </is>
      </c>
      <c r="F187" t="inlineStr">
        <is>
          <t>NT26081800181</t>
        </is>
      </c>
      <c r="G187" s="6" t="n">
        <v>46252</v>
      </c>
      <c r="H187" s="7" t="n">
        <v>22258322.222</v>
      </c>
      <c r="I187" t="inlineStr">
        <is>
          <t>GBP</t>
        </is>
      </c>
      <c r="J187" s="7" t="n">
        <v>754557.123</v>
      </c>
      <c r="K187" t="inlineStr">
        <is>
          <t>SWIFT</t>
        </is>
      </c>
      <c r="L187" t="inlineStr">
        <is>
          <t>Balance alignment</t>
        </is>
      </c>
      <c r="M187" s="8" t="n">
        <v>46252.44693287037</v>
      </c>
      <c r="N187" t="inlineStr">
        <is>
          <t>Kai Merrick</t>
        </is>
      </c>
      <c r="O187" s="8" t="n">
        <v>46252.50734953704</v>
      </c>
      <c r="P187" t="inlineStr">
        <is>
          <t>Devon Jennings</t>
        </is>
      </c>
      <c r="Q187" t="inlineStr">
        <is>
          <t>LEDGER_RECEIVED</t>
        </is>
      </c>
      <c r="R187" t="inlineStr">
        <is>
          <t>SYRM_ACKNOWLEDGED</t>
        </is>
      </c>
      <c r="S187" t="inlineStr">
        <is>
          <t>View details</t>
        </is>
      </c>
    </row>
    <row r="188">
      <c r="A188" t="inlineStr">
        <is>
          <t>113829985108</t>
        </is>
      </c>
      <c r="B188" t="inlineStr">
        <is>
          <t>Wrenfield Trust Tokyo</t>
        </is>
      </c>
      <c r="C188" t="inlineStr">
        <is>
          <t>927538182434</t>
        </is>
      </c>
      <c r="D188" t="inlineStr">
        <is>
          <t>Mallow Settlement Bank Oslo</t>
        </is>
      </c>
      <c r="E188" t="inlineStr">
        <is>
          <t>EUR</t>
        </is>
      </c>
      <c r="F188" t="inlineStr">
        <is>
          <t>NT26081800182</t>
        </is>
      </c>
      <c r="G188" s="6" t="n">
        <v>46252</v>
      </c>
      <c r="H188" s="7" t="n">
        <v>994341180.278</v>
      </c>
      <c r="I188" t="inlineStr">
        <is>
          <t>GBP</t>
        </is>
      </c>
      <c r="J188" s="7" t="n">
        <v>853144732.679</v>
      </c>
      <c r="K188" t="inlineStr">
        <is>
          <t>SWIFT</t>
        </is>
      </c>
      <c r="L188" t="inlineStr">
        <is>
          <t>Funding move</t>
        </is>
      </c>
      <c r="M188" s="8" t="n">
        <v>46252.45857638889</v>
      </c>
      <c r="N188" t="inlineStr">
        <is>
          <t>Avery Prentice</t>
        </is>
      </c>
      <c r="O188" s="8" t="n">
        <v>46252.47524305555</v>
      </c>
      <c r="P188" t="inlineStr">
        <is>
          <t>Oakley Delaney</t>
        </is>
      </c>
      <c r="Q188" t="inlineStr">
        <is>
          <t>LEDGER_OR_CASHFLOW_RECEIVED</t>
        </is>
      </c>
      <c r="R188" t="inlineStr">
        <is>
          <t>SYRM_ACKNOWLEDGED</t>
        </is>
      </c>
      <c r="S188" t="inlineStr">
        <is>
          <t>View details</t>
        </is>
      </c>
    </row>
    <row r="189">
      <c r="A189" t="inlineStr">
        <is>
          <t>968942362772</t>
        </is>
      </c>
      <c r="B189" t="inlineStr">
        <is>
          <t>Pinehurst Clearing Oslo</t>
        </is>
      </c>
      <c r="C189" t="inlineStr">
        <is>
          <t>898317028833</t>
        </is>
      </c>
      <c r="D189" t="inlineStr">
        <is>
          <t>Sablewood Settlement Bank Oslo</t>
        </is>
      </c>
      <c r="E189" t="inlineStr">
        <is>
          <t>EUR</t>
        </is>
      </c>
      <c r="F189" t="inlineStr">
        <is>
          <t>NT26081800183</t>
        </is>
      </c>
      <c r="G189" s="6" t="n">
        <v>46252</v>
      </c>
      <c r="H189" s="7" t="n">
        <v>1384615.011</v>
      </c>
      <c r="I189" t="inlineStr">
        <is>
          <t>GBP</t>
        </is>
      </c>
      <c r="J189" s="7" t="n">
        <v>1187999.679</v>
      </c>
      <c r="K189" t="inlineStr">
        <is>
          <t>SYRM</t>
        </is>
      </c>
      <c r="L189" t="inlineStr">
        <is>
          <t>Intraday top-up</t>
        </is>
      </c>
      <c r="M189" s="8" t="n">
        <v>46252.67045138889</v>
      </c>
      <c r="N189" t="inlineStr">
        <is>
          <t>Noor Brookes</t>
        </is>
      </c>
      <c r="O189" s="8" t="n"/>
      <c r="Q189" t="inlineStr">
        <is>
          <t>PENDING_APPROVAL</t>
        </is>
      </c>
      <c r="R189" t="inlineStr">
        <is>
          <t>SYRM_ACKNOWLEDGED</t>
        </is>
      </c>
      <c r="S189" t="inlineStr">
        <is>
          <t>View details</t>
        </is>
      </c>
    </row>
    <row r="190">
      <c r="A190" t="inlineStr">
        <is>
          <t>794226063698</t>
        </is>
      </c>
      <c r="B190" t="inlineStr">
        <is>
          <t>Mallow Settlement Bank Oslo</t>
        </is>
      </c>
      <c r="C190" t="inlineStr">
        <is>
          <t>700726936098</t>
        </is>
      </c>
      <c r="D190" t="inlineStr">
        <is>
          <t>Zephyr Settlement Bank New York</t>
        </is>
      </c>
      <c r="E190" t="inlineStr">
        <is>
          <t>AED</t>
        </is>
      </c>
      <c r="F190" t="inlineStr">
        <is>
          <t>NT26081800184</t>
        </is>
      </c>
      <c r="G190" s="6" t="n">
        <v>46252</v>
      </c>
      <c r="H190" s="7" t="n">
        <v>448215.393</v>
      </c>
      <c r="I190" t="inlineStr">
        <is>
          <t>GBP</t>
        </is>
      </c>
      <c r="J190" s="7" t="n">
        <v>95469.879</v>
      </c>
      <c r="K190" t="inlineStr">
        <is>
          <t>SWIFT</t>
        </is>
      </c>
      <c r="L190" t="inlineStr"/>
      <c r="M190" s="8" t="n">
        <v>46252.49064814814</v>
      </c>
      <c r="N190" t="inlineStr">
        <is>
          <t>Quinn Brookes</t>
        </is>
      </c>
      <c r="O190" s="8" t="n">
        <v>46252.49828703704</v>
      </c>
      <c r="P190" t="inlineStr">
        <is>
          <t>Avery Prentice</t>
        </is>
      </c>
      <c r="Q190" t="inlineStr">
        <is>
          <t>CASHFLOW_RECEIVED</t>
        </is>
      </c>
      <c r="R190" t="inlineStr">
        <is>
          <t>SYRM_ACKNOWLEDGED</t>
        </is>
      </c>
      <c r="S190" t="inlineStr">
        <is>
          <t>View details</t>
        </is>
      </c>
    </row>
    <row r="191">
      <c r="A191" t="inlineStr">
        <is>
          <t>953625291146</t>
        </is>
      </c>
      <c r="B191" t="inlineStr">
        <is>
          <t>Redstart Trust Mexico City</t>
        </is>
      </c>
      <c r="C191" t="inlineStr">
        <is>
          <t>120047354818</t>
        </is>
      </c>
      <c r="D191" t="inlineStr">
        <is>
          <t>Alder Settlement Bank Paris</t>
        </is>
      </c>
      <c r="E191" t="inlineStr">
        <is>
          <t>USD</t>
        </is>
      </c>
      <c r="F191" t="inlineStr">
        <is>
          <t>NT26081800185</t>
        </is>
      </c>
      <c r="G191" s="6" t="n">
        <v>46252</v>
      </c>
      <c r="H191" s="7" t="n">
        <v>13619680.617</v>
      </c>
      <c r="I191" t="inlineStr">
        <is>
          <t>GBP</t>
        </is>
      </c>
      <c r="J191" s="7" t="n">
        <v>10677829.604</v>
      </c>
      <c r="K191" t="inlineStr">
        <is>
          <t>SYRM</t>
        </is>
      </c>
      <c r="L191" t="inlineStr">
        <is>
          <t>Funding move</t>
        </is>
      </c>
      <c r="M191" s="8" t="n">
        <v>46252.60431712963</v>
      </c>
      <c r="N191" t="inlineStr">
        <is>
          <t>Ellis Delaney</t>
        </is>
      </c>
      <c r="O191" s="8" t="n">
        <v>46252.65501157408</v>
      </c>
      <c r="P191" t="inlineStr">
        <is>
          <t>Oakley Prentice</t>
        </is>
      </c>
      <c r="Q191" t="inlineStr">
        <is>
          <t>LEDGER_OR_CASHFLOW_RECEIVED</t>
        </is>
      </c>
      <c r="R191" t="inlineStr">
        <is>
          <t>SYRM_ACKNOWLEDGED</t>
        </is>
      </c>
      <c r="S191" t="inlineStr">
        <is>
          <t>View details</t>
        </is>
      </c>
    </row>
    <row r="192">
      <c r="A192" t="inlineStr">
        <is>
          <t>150316825069</t>
        </is>
      </c>
      <c r="B192" t="inlineStr">
        <is>
          <t>Dunlin Commercial Bank Warsaw</t>
        </is>
      </c>
      <c r="C192" t="inlineStr">
        <is>
          <t>284925023085</t>
        </is>
      </c>
      <c r="D192" t="inlineStr">
        <is>
          <t>Ironbark Clearing Frankfurt</t>
        </is>
      </c>
      <c r="E192" t="inlineStr">
        <is>
          <t>GBP</t>
        </is>
      </c>
      <c r="F192" t="inlineStr">
        <is>
          <t>NT26081800186</t>
        </is>
      </c>
      <c r="G192" s="6" t="n">
        <v>46252</v>
      </c>
      <c r="H192" s="7" t="n">
        <v>19182905.963</v>
      </c>
      <c r="I192" t="inlineStr">
        <is>
          <t>GBP</t>
        </is>
      </c>
      <c r="J192" s="7" t="n">
        <v>19182905.963</v>
      </c>
      <c r="K192" t="inlineStr">
        <is>
          <t>SWIFT</t>
        </is>
      </c>
      <c r="L192" t="inlineStr">
        <is>
          <t>Intraday top-up</t>
        </is>
      </c>
      <c r="M192" s="8" t="n">
        <v>46252.71475694444</v>
      </c>
      <c r="N192" t="inlineStr">
        <is>
          <t>Devon Delaney</t>
        </is>
      </c>
      <c r="O192" s="8" t="n">
        <v>46252.72378472222</v>
      </c>
      <c r="P192" t="inlineStr">
        <is>
          <t>Wren Delaney</t>
        </is>
      </c>
      <c r="Q192" t="inlineStr">
        <is>
          <t>LEDGER_OR_CASHFLOW_RECEIVED</t>
        </is>
      </c>
      <c r="R192" t="inlineStr">
        <is>
          <t>SYRM_ACKNOWLEDGED</t>
        </is>
      </c>
      <c r="S192" t="inlineStr">
        <is>
          <t>View details</t>
        </is>
      </c>
    </row>
    <row r="193">
      <c r="A193" t="inlineStr">
        <is>
          <t>171857983160</t>
        </is>
      </c>
      <c r="B193" t="inlineStr">
        <is>
          <t>Bramble Trust Zurich</t>
        </is>
      </c>
      <c r="C193" t="inlineStr">
        <is>
          <t>150316825069</t>
        </is>
      </c>
      <c r="D193" t="inlineStr">
        <is>
          <t>Umberton Trust Tokyo</t>
        </is>
      </c>
      <c r="E193" t="inlineStr">
        <is>
          <t>AUD</t>
        </is>
      </c>
      <c r="F193" t="inlineStr">
        <is>
          <t>NT26081800187</t>
        </is>
      </c>
      <c r="G193" s="6" t="n">
        <v>46252</v>
      </c>
      <c r="H193" s="7" t="n">
        <v>66257925.605</v>
      </c>
      <c r="I193" t="inlineStr">
        <is>
          <t>GBP</t>
        </is>
      </c>
      <c r="J193" s="7" t="n">
        <v>33990315.835</v>
      </c>
      <c r="K193" t="inlineStr">
        <is>
          <t>SWIFT</t>
        </is>
      </c>
      <c r="L193" t="inlineStr">
        <is>
          <t>Liquidity sweep</t>
        </is>
      </c>
      <c r="M193" s="8" t="n">
        <v>46252.55047453703</v>
      </c>
      <c r="N193" t="inlineStr">
        <is>
          <t>Quinn Brookes</t>
        </is>
      </c>
      <c r="O193" s="8" t="n">
        <v>46252.57130787037</v>
      </c>
      <c r="P193" t="inlineStr">
        <is>
          <t>Devon Jennings</t>
        </is>
      </c>
      <c r="Q193" t="inlineStr">
        <is>
          <t>LEDGER_OR_CASHFLOW_RECEIVED</t>
        </is>
      </c>
      <c r="R193" t="inlineStr">
        <is>
          <t>SYRM_ACKNOWLEDGED</t>
        </is>
      </c>
      <c r="S193" t="inlineStr">
        <is>
          <t>View details</t>
        </is>
      </c>
    </row>
    <row r="194">
      <c r="A194" t="inlineStr">
        <is>
          <t>468341071172</t>
        </is>
      </c>
      <c r="B194" t="inlineStr">
        <is>
          <t>Bramble Settlement Bank Hong Kong</t>
        </is>
      </c>
      <c r="C194" t="inlineStr">
        <is>
          <t>150316825069</t>
        </is>
      </c>
      <c r="D194" t="inlineStr">
        <is>
          <t>Zephyr Settlement Bank New York</t>
        </is>
      </c>
      <c r="E194" t="inlineStr">
        <is>
          <t>EUR</t>
        </is>
      </c>
      <c r="F194" t="inlineStr">
        <is>
          <t>NT26081800188</t>
        </is>
      </c>
      <c r="G194" s="6" t="n">
        <v>46252</v>
      </c>
      <c r="H194" s="7" t="n">
        <v>2.134</v>
      </c>
      <c r="I194" t="inlineStr">
        <is>
          <t>GBP</t>
        </is>
      </c>
      <c r="J194" s="7" t="n">
        <v>1.831</v>
      </c>
      <c r="K194" t="inlineStr">
        <is>
          <t>SWIFT</t>
        </is>
      </c>
      <c r="L194" t="inlineStr">
        <is>
          <t>Balance alignment</t>
        </is>
      </c>
      <c r="M194" s="8" t="n">
        <v>46252.33543981481</v>
      </c>
      <c r="N194" t="inlineStr">
        <is>
          <t>Marlow Thorne</t>
        </is>
      </c>
      <c r="O194" s="8" t="n">
        <v>46252.34307870371</v>
      </c>
      <c r="P194" t="inlineStr">
        <is>
          <t>Oakley Rhodes</t>
        </is>
      </c>
      <c r="Q194" t="inlineStr">
        <is>
          <t>CASHFLOW_RECEIVED</t>
        </is>
      </c>
      <c r="R194" t="inlineStr">
        <is>
          <t>SYRM_REJECTED</t>
        </is>
      </c>
      <c r="S194" t="inlineStr">
        <is>
          <t>View details</t>
        </is>
      </c>
    </row>
    <row r="195">
      <c r="A195" t="inlineStr">
        <is>
          <t>171857983160</t>
        </is>
      </c>
      <c r="B195" t="inlineStr">
        <is>
          <t>Larkspur Trust Hong Kong</t>
        </is>
      </c>
      <c r="C195" t="inlineStr">
        <is>
          <t>898317028833</t>
        </is>
      </c>
      <c r="D195" t="inlineStr">
        <is>
          <t>Cedar Clearing New York</t>
        </is>
      </c>
      <c r="E195" t="inlineStr">
        <is>
          <t>AUD</t>
        </is>
      </c>
      <c r="F195" t="inlineStr">
        <is>
          <t>NT26081800189</t>
        </is>
      </c>
      <c r="G195" s="6" t="n">
        <v>46252</v>
      </c>
      <c r="H195" s="7" t="n">
        <v>1797.777</v>
      </c>
      <c r="I195" t="inlineStr">
        <is>
          <t>GBP</t>
        </is>
      </c>
      <c r="J195" s="7" t="n">
        <v>922.26</v>
      </c>
      <c r="K195" t="inlineStr">
        <is>
          <t>SYRM</t>
        </is>
      </c>
      <c r="L195" t="inlineStr">
        <is>
          <t>Intraday top-up</t>
        </is>
      </c>
      <c r="M195" s="8" t="n">
        <v>46252.81232638889</v>
      </c>
      <c r="N195" t="inlineStr">
        <is>
          <t>Harper Calloway</t>
        </is>
      </c>
      <c r="O195" s="8" t="n">
        <v>46252.84774305556</v>
      </c>
      <c r="P195" t="inlineStr">
        <is>
          <t>Marlow Rhodes</t>
        </is>
      </c>
      <c r="Q195" t="inlineStr">
        <is>
          <t>LEDGER_OR_CASHFLOW_RECEIVED</t>
        </is>
      </c>
      <c r="R195" t="inlineStr">
        <is>
          <t>SYRM_PENDING</t>
        </is>
      </c>
      <c r="S195" t="inlineStr">
        <is>
          <t>View details</t>
        </is>
      </c>
    </row>
    <row r="196">
      <c r="A196" t="inlineStr">
        <is>
          <t>150316825069</t>
        </is>
      </c>
      <c r="B196" t="inlineStr">
        <is>
          <t>Redstart Trust Mexico City</t>
        </is>
      </c>
      <c r="C196" t="inlineStr">
        <is>
          <t>150316825069</t>
        </is>
      </c>
      <c r="D196" t="inlineStr">
        <is>
          <t>Oriel Settlement Bank Madrid</t>
        </is>
      </c>
      <c r="E196" t="inlineStr">
        <is>
          <t>GBP</t>
        </is>
      </c>
      <c r="F196" t="inlineStr">
        <is>
          <t>NT26081800190</t>
        </is>
      </c>
      <c r="G196" s="6" t="n">
        <v>46252</v>
      </c>
      <c r="H196" s="7" t="n">
        <v>224451.642</v>
      </c>
      <c r="I196" t="inlineStr">
        <is>
          <t>GBP</t>
        </is>
      </c>
      <c r="J196" s="7" t="n">
        <v>224451.642</v>
      </c>
      <c r="K196" t="inlineStr">
        <is>
          <t>SYRM</t>
        </is>
      </c>
      <c r="L196" t="inlineStr">
        <is>
          <t>Intraday top-up</t>
        </is>
      </c>
      <c r="M196" s="8" t="n">
        <v>46252.48653935185</v>
      </c>
      <c r="N196" t="inlineStr">
        <is>
          <t>Finley Hollis</t>
        </is>
      </c>
      <c r="O196" s="8" t="n">
        <v>46252.50667824074</v>
      </c>
      <c r="P196" t="inlineStr">
        <is>
          <t>Avery Sinclair</t>
        </is>
      </c>
      <c r="Q196" t="inlineStr">
        <is>
          <t>LEDGER_OR_CASHFLOW_RECEIVED</t>
        </is>
      </c>
      <c r="R196" t="inlineStr">
        <is>
          <t>SYRM_ACKNOWLEDGED</t>
        </is>
      </c>
      <c r="S196" t="inlineStr">
        <is>
          <t>View details</t>
        </is>
      </c>
    </row>
    <row r="197">
      <c r="A197" t="inlineStr">
        <is>
          <t>171857983160</t>
        </is>
      </c>
      <c r="B197" t="inlineStr">
        <is>
          <t>Mallow Settlement Bank Warsaw</t>
        </is>
      </c>
      <c r="C197" t="inlineStr">
        <is>
          <t>359365220160</t>
        </is>
      </c>
      <c r="D197" t="inlineStr">
        <is>
          <t>Mallow Settlement Bank Warsaw</t>
        </is>
      </c>
      <c r="E197" t="inlineStr">
        <is>
          <t>AUD</t>
        </is>
      </c>
      <c r="F197" t="inlineStr">
        <is>
          <t>NT26081800191</t>
        </is>
      </c>
      <c r="G197" s="6" t="n">
        <v>46252</v>
      </c>
      <c r="H197" s="7" t="n">
        <v>1029.761</v>
      </c>
      <c r="I197" t="inlineStr">
        <is>
          <t>GBP</t>
        </is>
      </c>
      <c r="J197" s="7" t="n">
        <v>528.2670000000001</v>
      </c>
      <c r="K197" t="inlineStr">
        <is>
          <t>SYRM</t>
        </is>
      </c>
      <c r="L197" t="inlineStr">
        <is>
          <t>Intraday top-up</t>
        </is>
      </c>
      <c r="M197" s="8" t="n">
        <v>46252.31049768518</v>
      </c>
      <c r="N197" t="inlineStr">
        <is>
          <t>Lennox Ellison</t>
        </is>
      </c>
      <c r="O197" s="8" t="n">
        <v>46252.36327546297</v>
      </c>
      <c r="P197" t="inlineStr">
        <is>
          <t>Oakley Rhodes</t>
        </is>
      </c>
      <c r="Q197" t="inlineStr">
        <is>
          <t>LEDGER_OR_CASHFLOW_RECEIVED</t>
        </is>
      </c>
      <c r="R197" t="inlineStr">
        <is>
          <t>SYRM_ACKNOWLEDGED</t>
        </is>
      </c>
      <c r="S197" t="inlineStr">
        <is>
          <t>View details</t>
        </is>
      </c>
    </row>
    <row r="198">
      <c r="A198" t="inlineStr">
        <is>
          <t>794226063698</t>
        </is>
      </c>
      <c r="B198" t="inlineStr">
        <is>
          <t>Sablewood Settlement Bank Oslo</t>
        </is>
      </c>
      <c r="C198" t="inlineStr">
        <is>
          <t>968942362772</t>
        </is>
      </c>
      <c r="D198" t="inlineStr">
        <is>
          <t>Redstart Trust Mexico City</t>
        </is>
      </c>
      <c r="E198" t="inlineStr">
        <is>
          <t>AED</t>
        </is>
      </c>
      <c r="F198" t="inlineStr">
        <is>
          <t>NT26081800192</t>
        </is>
      </c>
      <c r="G198" s="6" t="n">
        <v>46252</v>
      </c>
      <c r="H198" s="7" t="n">
        <v>92907648.69599999</v>
      </c>
      <c r="I198" t="inlineStr">
        <is>
          <t>GBP</t>
        </is>
      </c>
      <c r="J198" s="7" t="n">
        <v>19789329.172</v>
      </c>
      <c r="K198" t="inlineStr">
        <is>
          <t>SWIFT</t>
        </is>
      </c>
      <c r="L198" t="inlineStr"/>
      <c r="M198" s="8" t="n">
        <v>46252.62782407407</v>
      </c>
      <c r="N198" t="inlineStr">
        <is>
          <t>Devon Delaney</t>
        </is>
      </c>
      <c r="O198" s="8" t="n">
        <v>46252.64240740741</v>
      </c>
      <c r="P198" t="inlineStr">
        <is>
          <t>Wren Delaney</t>
        </is>
      </c>
      <c r="Q198" t="inlineStr">
        <is>
          <t>LEDGER_OR_CASHFLOW_RECEIVED</t>
        </is>
      </c>
      <c r="R198" t="inlineStr">
        <is>
          <t>SYRM_ACKNOWLEDGED</t>
        </is>
      </c>
      <c r="S198" t="inlineStr">
        <is>
          <t>View details</t>
        </is>
      </c>
    </row>
    <row r="199">
      <c r="A199" t="inlineStr">
        <is>
          <t>132544340094</t>
        </is>
      </c>
      <c r="B199" t="inlineStr">
        <is>
          <t>Pinehurst Clearing Oslo</t>
        </is>
      </c>
      <c r="C199" t="inlineStr">
        <is>
          <t>359365220160</t>
        </is>
      </c>
      <c r="D199" t="inlineStr">
        <is>
          <t>Larkspur Clearing New York</t>
        </is>
      </c>
      <c r="E199" t="inlineStr">
        <is>
          <t>CZK</t>
        </is>
      </c>
      <c r="F199" t="inlineStr">
        <is>
          <t>NT26081800193</t>
        </is>
      </c>
      <c r="G199" s="6" t="n">
        <v>46252</v>
      </c>
      <c r="H199" s="7" t="n">
        <v>967009.514</v>
      </c>
      <c r="I199" t="inlineStr">
        <is>
          <t>GBP</t>
        </is>
      </c>
      <c r="J199" s="7" t="n">
        <v>32781.623</v>
      </c>
      <c r="K199" t="inlineStr">
        <is>
          <t>SYRM</t>
        </is>
      </c>
      <c r="L199" t="inlineStr"/>
      <c r="M199" s="8" t="n">
        <v>46252.37885416667</v>
      </c>
      <c r="N199" t="inlineStr">
        <is>
          <t>Kai Calloway</t>
        </is>
      </c>
      <c r="O199" s="8" t="n">
        <v>46252.42260416667</v>
      </c>
      <c r="P199" t="inlineStr">
        <is>
          <t>Marlow Rhodes</t>
        </is>
      </c>
      <c r="Q199" t="inlineStr">
        <is>
          <t>LEDGER_OR_CASHFLOW_RECEIVED</t>
        </is>
      </c>
      <c r="R199" t="inlineStr">
        <is>
          <t>SYRM_ACKNOWLEDGED</t>
        </is>
      </c>
      <c r="S199" t="inlineStr">
        <is>
          <t>View details</t>
        </is>
      </c>
    </row>
    <row r="200">
      <c r="A200" t="inlineStr">
        <is>
          <t>132544340094</t>
        </is>
      </c>
      <c r="B200" t="inlineStr">
        <is>
          <t>Redstart Trust Mexico City</t>
        </is>
      </c>
      <c r="C200" t="inlineStr">
        <is>
          <t>953625291146</t>
        </is>
      </c>
      <c r="D200" t="inlineStr">
        <is>
          <t>Kestrel Clearing Oslo</t>
        </is>
      </c>
      <c r="E200" t="inlineStr">
        <is>
          <t>CZK</t>
        </is>
      </c>
      <c r="F200" t="inlineStr">
        <is>
          <t>NT26081800194</t>
        </is>
      </c>
      <c r="G200" s="6" t="n">
        <v>46252</v>
      </c>
      <c r="H200" s="7" t="n">
        <v>48437949.967</v>
      </c>
      <c r="I200" t="inlineStr">
        <is>
          <t>GBP</t>
        </is>
      </c>
      <c r="J200" s="7" t="n">
        <v>1642046.504</v>
      </c>
      <c r="K200" t="inlineStr">
        <is>
          <t>SYRM</t>
        </is>
      </c>
      <c r="L200" t="inlineStr">
        <is>
          <t>Balance alignment</t>
        </is>
      </c>
      <c r="M200" s="8" t="n">
        <v>46252.42539351852</v>
      </c>
      <c r="N200" t="inlineStr">
        <is>
          <t>Ellis Delaney</t>
        </is>
      </c>
      <c r="O200" s="8" t="n">
        <v>46252.44969907407</v>
      </c>
      <c r="P200" t="inlineStr">
        <is>
          <t>Quinn Kirby</t>
        </is>
      </c>
      <c r="Q200" t="inlineStr">
        <is>
          <t>LEDGER_OR_CASHFLOW_RECEIVED</t>
        </is>
      </c>
      <c r="R200" t="inlineStr">
        <is>
          <t>SYRM_ACKNOWLEDGED</t>
        </is>
      </c>
      <c r="S200" t="inlineStr">
        <is>
          <t>View details</t>
        </is>
      </c>
    </row>
    <row r="201">
      <c r="A201" t="inlineStr">
        <is>
          <t>700726936098</t>
        </is>
      </c>
      <c r="B201" t="inlineStr">
        <is>
          <t>Harrow Bank Milan</t>
        </is>
      </c>
      <c r="C201" t="inlineStr">
        <is>
          <t>171857983160</t>
        </is>
      </c>
      <c r="D201" t="inlineStr">
        <is>
          <t>Zephyr Commercial Bank Oslo</t>
        </is>
      </c>
      <c r="E201" t="inlineStr">
        <is>
          <t>SAR</t>
        </is>
      </c>
      <c r="F201" t="inlineStr">
        <is>
          <t>NT26081800195</t>
        </is>
      </c>
      <c r="G201" s="6" t="n">
        <v>46252</v>
      </c>
      <c r="H201" s="7" t="n">
        <v>1623.043</v>
      </c>
      <c r="I201" t="inlineStr">
        <is>
          <t>GBP</t>
        </is>
      </c>
      <c r="J201" s="7" t="n">
        <v>339.216</v>
      </c>
      <c r="K201" t="inlineStr">
        <is>
          <t>SYRM</t>
        </is>
      </c>
      <c r="L201" t="inlineStr">
        <is>
          <t>Liquidity sweep</t>
        </is>
      </c>
      <c r="M201" s="8" t="n">
        <v>46252.47574074074</v>
      </c>
      <c r="N201" t="inlineStr">
        <is>
          <t>Lennox Ellison</t>
        </is>
      </c>
      <c r="O201" s="8" t="n"/>
      <c r="Q201" t="inlineStr">
        <is>
          <t>PENDING_APPROVAL</t>
        </is>
      </c>
      <c r="R201" t="inlineStr">
        <is>
          <t>SYRM_ACKNOWLEDGED</t>
        </is>
      </c>
      <c r="S201" t="inlineStr">
        <is>
          <t>View details</t>
        </is>
      </c>
    </row>
    <row r="202">
      <c r="A202" t="inlineStr">
        <is>
          <t>910703979141</t>
        </is>
      </c>
      <c r="B202" t="inlineStr">
        <is>
          <t>Juniper Bank Warsaw</t>
        </is>
      </c>
      <c r="C202" t="inlineStr">
        <is>
          <t>700726936098</t>
        </is>
      </c>
      <c r="D202" t="inlineStr">
        <is>
          <t>Pinehurst Clearing Oslo</t>
        </is>
      </c>
      <c r="E202" t="inlineStr">
        <is>
          <t>CHF</t>
        </is>
      </c>
      <c r="F202" t="inlineStr">
        <is>
          <t>NT26081800196</t>
        </is>
      </c>
      <c r="G202" s="6" t="n">
        <v>46252</v>
      </c>
      <c r="H202" s="7" t="n">
        <v>30778319.089</v>
      </c>
      <c r="I202" t="inlineStr">
        <is>
          <t>GBP</t>
        </is>
      </c>
      <c r="J202" s="7" t="n">
        <v>27608152.223</v>
      </c>
      <c r="K202" t="inlineStr">
        <is>
          <t>SYRM</t>
        </is>
      </c>
      <c r="L202" t="inlineStr">
        <is>
          <t>Liquidity sweep</t>
        </is>
      </c>
      <c r="M202" s="8" t="n">
        <v>46252.65347222222</v>
      </c>
      <c r="N202" t="inlineStr">
        <is>
          <t>Greer Prentice</t>
        </is>
      </c>
      <c r="O202" s="8" t="n">
        <v>46252.6875</v>
      </c>
      <c r="P202" t="inlineStr">
        <is>
          <t>Quinn Osgood</t>
        </is>
      </c>
      <c r="Q202" t="inlineStr">
        <is>
          <t>LEDGER_OR_CASHFLOW_RECEIVED</t>
        </is>
      </c>
      <c r="R202" t="inlineStr">
        <is>
          <t>SYRM_ACKNOWLEDGED</t>
        </is>
      </c>
      <c r="S202" t="inlineStr">
        <is>
          <t>View details</t>
        </is>
      </c>
    </row>
    <row r="203">
      <c r="A203" t="inlineStr">
        <is>
          <t>898317028833</t>
        </is>
      </c>
      <c r="B203" t="inlineStr">
        <is>
          <t>Yarrow Bank Stockholm</t>
        </is>
      </c>
      <c r="C203" t="inlineStr">
        <is>
          <t>910703979141</t>
        </is>
      </c>
      <c r="D203" t="inlineStr">
        <is>
          <t>Bramble Bank Milan</t>
        </is>
      </c>
      <c r="E203" t="inlineStr">
        <is>
          <t>GBP</t>
        </is>
      </c>
      <c r="F203" t="inlineStr">
        <is>
          <t>NT26081800197</t>
        </is>
      </c>
      <c r="G203" s="6" t="n">
        <v>46252</v>
      </c>
      <c r="H203" s="7" t="n">
        <v>746591.419</v>
      </c>
      <c r="I203" t="inlineStr">
        <is>
          <t>GBP</t>
        </is>
      </c>
      <c r="J203" s="7" t="n">
        <v>746591.419</v>
      </c>
      <c r="K203" t="inlineStr">
        <is>
          <t>SYRM</t>
        </is>
      </c>
      <c r="L203" t="inlineStr">
        <is>
          <t>Funding move</t>
        </is>
      </c>
      <c r="M203" s="8" t="n">
        <v>46252.38623842593</v>
      </c>
      <c r="N203" t="inlineStr">
        <is>
          <t>Marlow Rhodes</t>
        </is>
      </c>
      <c r="O203" s="8" t="n">
        <v>46252.38762731481</v>
      </c>
      <c r="P203" t="inlineStr">
        <is>
          <t>Kai Calloway</t>
        </is>
      </c>
      <c r="Q203" t="inlineStr">
        <is>
          <t>LEDGER_OR_CASHFLOW_RECEIVED</t>
        </is>
      </c>
      <c r="R203" t="inlineStr">
        <is>
          <t>SYRM_ACKNOWLEDGED</t>
        </is>
      </c>
      <c r="S203" t="inlineStr">
        <is>
          <t>View details</t>
        </is>
      </c>
    </row>
    <row r="204">
      <c r="A204" t="inlineStr">
        <is>
          <t>150316825069</t>
        </is>
      </c>
      <c r="B204" t="inlineStr">
        <is>
          <t>Pinehurst Trust Toronto</t>
        </is>
      </c>
      <c r="C204" t="inlineStr">
        <is>
          <t>794226063698</t>
        </is>
      </c>
      <c r="D204" t="inlineStr">
        <is>
          <t>Nightjar Bank Stockholm</t>
        </is>
      </c>
      <c r="E204" t="inlineStr">
        <is>
          <t>GBP</t>
        </is>
      </c>
      <c r="F204" t="inlineStr">
        <is>
          <t>NT26081800198</t>
        </is>
      </c>
      <c r="G204" s="6" t="n">
        <v>46252</v>
      </c>
      <c r="H204" s="7" t="n">
        <v>237217.183</v>
      </c>
      <c r="I204" t="inlineStr">
        <is>
          <t>GBP</t>
        </is>
      </c>
      <c r="J204" s="7" t="n">
        <v>237217.183</v>
      </c>
      <c r="K204" t="inlineStr">
        <is>
          <t>SYRM</t>
        </is>
      </c>
      <c r="L204" t="inlineStr">
        <is>
          <t>Liquidity sweep</t>
        </is>
      </c>
      <c r="M204" s="8" t="n">
        <v>46252.61194444444</v>
      </c>
      <c r="N204" t="inlineStr">
        <is>
          <t>Oakley Prentice</t>
        </is>
      </c>
      <c r="O204" s="8" t="n">
        <v>46252.65361111111</v>
      </c>
      <c r="P204" t="inlineStr">
        <is>
          <t>Oakley Delaney</t>
        </is>
      </c>
      <c r="Q204" t="inlineStr">
        <is>
          <t>LEDGER_OR_CASHFLOW_RECEIVED</t>
        </is>
      </c>
      <c r="R204" t="inlineStr">
        <is>
          <t>SYRM_ACKNOWLEDGED</t>
        </is>
      </c>
      <c r="S204" t="inlineStr">
        <is>
          <t>View details</t>
        </is>
      </c>
    </row>
    <row r="205">
      <c r="A205" t="inlineStr">
        <is>
          <t>468341071172</t>
        </is>
      </c>
      <c r="B205" t="inlineStr">
        <is>
          <t>Wrenfield Commercial Bank Oslo</t>
        </is>
      </c>
      <c r="C205" t="inlineStr">
        <is>
          <t>120047354818</t>
        </is>
      </c>
      <c r="D205" t="inlineStr">
        <is>
          <t>Fernway Trust Tokyo</t>
        </is>
      </c>
      <c r="E205" t="inlineStr">
        <is>
          <t>EUR</t>
        </is>
      </c>
      <c r="F205" t="inlineStr">
        <is>
          <t>NT26081800199</t>
        </is>
      </c>
      <c r="G205" s="6" t="n">
        <v>46252</v>
      </c>
      <c r="H205" s="7" t="n">
        <v>280964386.631</v>
      </c>
      <c r="I205" t="inlineStr">
        <is>
          <t>GBP</t>
        </is>
      </c>
      <c r="J205" s="7" t="n">
        <v>241067443.729</v>
      </c>
      <c r="K205" t="inlineStr">
        <is>
          <t>SWIFT</t>
        </is>
      </c>
      <c r="L205" t="inlineStr">
        <is>
          <t>Intraday top-up</t>
        </is>
      </c>
      <c r="M205" s="8" t="n">
        <v>46252.60368055556</v>
      </c>
      <c r="N205" t="inlineStr">
        <is>
          <t>Lennox Ellison</t>
        </is>
      </c>
      <c r="O205" s="8" t="n">
        <v>46252.61826388889</v>
      </c>
      <c r="P205" t="inlineStr">
        <is>
          <t>Marlow Rhodes</t>
        </is>
      </c>
      <c r="Q205" t="inlineStr">
        <is>
          <t>LEDGER_OR_CASHFLOW_RECEIVED</t>
        </is>
      </c>
      <c r="R205" t="inlineStr">
        <is>
          <t>SYRM_ACKNOWLEDGED</t>
        </is>
      </c>
      <c r="S205" t="inlineStr">
        <is>
          <t>View details</t>
        </is>
      </c>
    </row>
    <row r="206">
      <c r="A206" t="inlineStr">
        <is>
          <t>150316825069</t>
        </is>
      </c>
      <c r="B206" t="inlineStr">
        <is>
          <t>Juniper Commercial Bank Warsaw</t>
        </is>
      </c>
      <c r="C206" t="inlineStr">
        <is>
          <t>265771593142</t>
        </is>
      </c>
      <c r="D206" t="inlineStr">
        <is>
          <t>Bramble Clearing Milan</t>
        </is>
      </c>
      <c r="E206" t="inlineStr">
        <is>
          <t>GBP</t>
        </is>
      </c>
      <c r="F206" t="inlineStr">
        <is>
          <t>NT26081800200</t>
        </is>
      </c>
      <c r="G206" s="6" t="n">
        <v>46252</v>
      </c>
      <c r="H206" s="7" t="n">
        <v>126028760.848</v>
      </c>
      <c r="I206" t="inlineStr">
        <is>
          <t>GBP</t>
        </is>
      </c>
      <c r="J206" s="7" t="n">
        <v>126028760.848</v>
      </c>
      <c r="K206" t="inlineStr">
        <is>
          <t>SYRM</t>
        </is>
      </c>
      <c r="L206" t="inlineStr">
        <is>
          <t>Liquidity sweep</t>
        </is>
      </c>
      <c r="M206" s="8" t="n">
        <v>46252.37594907408</v>
      </c>
      <c r="N206" t="inlineStr">
        <is>
          <t>Lennox Ellison</t>
        </is>
      </c>
      <c r="O206" s="8" t="n">
        <v>46252.39053240741</v>
      </c>
      <c r="P206" t="inlineStr">
        <is>
          <t>Greer Prentice</t>
        </is>
      </c>
      <c r="Q206" t="inlineStr">
        <is>
          <t>LEDGER_OR_CASHFLOW_RECEIVED</t>
        </is>
      </c>
      <c r="R206" t="inlineStr">
        <is>
          <t>SYRM_ACKNOWLEDGED</t>
        </is>
      </c>
      <c r="S206" t="inlineStr">
        <is>
          <t>View details</t>
        </is>
      </c>
    </row>
    <row r="207">
      <c r="A207" t="inlineStr">
        <is>
          <t>794226063698</t>
        </is>
      </c>
      <c r="B207" t="inlineStr">
        <is>
          <t>Bramble Trust Zurich</t>
        </is>
      </c>
      <c r="C207" t="inlineStr">
        <is>
          <t>910703979141</t>
        </is>
      </c>
      <c r="D207" t="inlineStr">
        <is>
          <t>Sablewood Settlement Bank Oslo</t>
        </is>
      </c>
      <c r="E207" t="inlineStr">
        <is>
          <t>AED</t>
        </is>
      </c>
      <c r="F207" t="inlineStr">
        <is>
          <t>NT26081800201</t>
        </is>
      </c>
      <c r="G207" s="6" t="n">
        <v>46252</v>
      </c>
      <c r="H207" s="7" t="n">
        <v>827764915.5880001</v>
      </c>
      <c r="I207" t="inlineStr">
        <is>
          <t>GBP</t>
        </is>
      </c>
      <c r="J207" s="7" t="n">
        <v>176313927.02</v>
      </c>
      <c r="K207" t="inlineStr">
        <is>
          <t>SYRM</t>
        </is>
      </c>
      <c r="L207" t="inlineStr">
        <is>
          <t>Intraday top-up</t>
        </is>
      </c>
      <c r="M207" s="8" t="n">
        <v>46252.30715277778</v>
      </c>
      <c r="N207" t="inlineStr">
        <is>
          <t>Quinn Hollis</t>
        </is>
      </c>
      <c r="O207" s="8" t="n">
        <v>46252.35576388889</v>
      </c>
      <c r="P207" t="inlineStr">
        <is>
          <t>Noor Thorne</t>
        </is>
      </c>
      <c r="Q207" t="inlineStr">
        <is>
          <t>LEDGER_OR_CASHFLOW_RECEIVED</t>
        </is>
      </c>
      <c r="R207" t="inlineStr">
        <is>
          <t>SYRM_ACKNOWLEDGED</t>
        </is>
      </c>
      <c r="S207" t="inlineStr">
        <is>
          <t>View details</t>
        </is>
      </c>
    </row>
    <row r="208">
      <c r="A208" t="inlineStr">
        <is>
          <t>113829985108</t>
        </is>
      </c>
      <c r="B208" t="inlineStr">
        <is>
          <t>Zephyr Bank Madrid</t>
        </is>
      </c>
      <c r="C208" t="inlineStr">
        <is>
          <t>794226063698</t>
        </is>
      </c>
      <c r="D208" t="inlineStr">
        <is>
          <t>Zephyr Commercial Bank Oslo</t>
        </is>
      </c>
      <c r="E208" t="inlineStr">
        <is>
          <t>EUR</t>
        </is>
      </c>
      <c r="F208" t="inlineStr">
        <is>
          <t>NT26081800202</t>
        </is>
      </c>
      <c r="G208" s="6" t="n">
        <v>46252</v>
      </c>
      <c r="H208" s="7" t="n">
        <v>9875398.039999999</v>
      </c>
      <c r="I208" t="inlineStr">
        <is>
          <t>GBP</t>
        </is>
      </c>
      <c r="J208" s="7" t="n">
        <v>8473091.517999999</v>
      </c>
      <c r="K208" t="inlineStr">
        <is>
          <t>SYRM</t>
        </is>
      </c>
      <c r="L208" t="inlineStr"/>
      <c r="M208" s="8" t="n">
        <v>46252.31532407407</v>
      </c>
      <c r="N208" t="inlineStr">
        <is>
          <t>Quinn Hollis</t>
        </is>
      </c>
      <c r="O208" s="8" t="n">
        <v>46252.34796296297</v>
      </c>
      <c r="P208" t="inlineStr">
        <is>
          <t>Finley Hollis</t>
        </is>
      </c>
      <c r="Q208" t="inlineStr">
        <is>
          <t>LEDGER_OR_CASHFLOW_RECEIVED</t>
        </is>
      </c>
      <c r="R208" t="inlineStr">
        <is>
          <t>SYRM_ACKNOWLEDGED</t>
        </is>
      </c>
      <c r="S208" t="inlineStr">
        <is>
          <t>View details</t>
        </is>
      </c>
    </row>
    <row r="209">
      <c r="A209" t="inlineStr">
        <is>
          <t>150316825069</t>
        </is>
      </c>
      <c r="B209" t="inlineStr">
        <is>
          <t>Bramble Trust Zurich</t>
        </is>
      </c>
      <c r="C209" t="inlineStr">
        <is>
          <t>968942362772</t>
        </is>
      </c>
      <c r="D209" t="inlineStr">
        <is>
          <t>Mallow Commercial Bank Mexico City</t>
        </is>
      </c>
      <c r="E209" t="inlineStr">
        <is>
          <t>GBP</t>
        </is>
      </c>
      <c r="F209" t="inlineStr">
        <is>
          <t>NT26081800203</t>
        </is>
      </c>
      <c r="G209" s="6" t="n">
        <v>46252</v>
      </c>
      <c r="H209" s="7" t="n">
        <v>665625997.541</v>
      </c>
      <c r="I209" t="inlineStr">
        <is>
          <t>GBP</t>
        </is>
      </c>
      <c r="J209" s="7" t="n">
        <v>665625997.541</v>
      </c>
      <c r="K209" t="inlineStr">
        <is>
          <t>SYRM</t>
        </is>
      </c>
      <c r="L209" t="inlineStr">
        <is>
          <t>Balance alignment</t>
        </is>
      </c>
      <c r="M209" s="8" t="n">
        <v>46252.72907407407</v>
      </c>
      <c r="N209" t="inlineStr">
        <is>
          <t>Oakley Fairweather</t>
        </is>
      </c>
      <c r="O209" s="8" t="n">
        <v>46252.75893518519</v>
      </c>
      <c r="P209" t="inlineStr">
        <is>
          <t>Oakley Rhodes</t>
        </is>
      </c>
      <c r="Q209" t="inlineStr">
        <is>
          <t>LEDGER_OR_CASHFLOW_RECEIVED</t>
        </is>
      </c>
      <c r="R209" t="inlineStr">
        <is>
          <t>SYRM_ACKNOWLEDGED</t>
        </is>
      </c>
      <c r="S209" t="inlineStr">
        <is>
          <t>View details</t>
        </is>
      </c>
    </row>
    <row r="210">
      <c r="A210" t="inlineStr">
        <is>
          <t>700726936098</t>
        </is>
      </c>
      <c r="B210" t="inlineStr">
        <is>
          <t>Fernway Trust Tokyo</t>
        </is>
      </c>
      <c r="C210" t="inlineStr">
        <is>
          <t>968942362772</t>
        </is>
      </c>
      <c r="D210" t="inlineStr">
        <is>
          <t>Larkspur Clearing New York</t>
        </is>
      </c>
      <c r="E210" t="inlineStr">
        <is>
          <t>SAR</t>
        </is>
      </c>
      <c r="F210" t="inlineStr">
        <is>
          <t>NT26081800204</t>
        </is>
      </c>
      <c r="G210" s="6" t="n">
        <v>46252</v>
      </c>
      <c r="H210" s="7" t="n">
        <v>602818558.306</v>
      </c>
      <c r="I210" t="inlineStr">
        <is>
          <t>GBP</t>
        </is>
      </c>
      <c r="J210" s="7" t="n">
        <v>125989078.686</v>
      </c>
      <c r="K210" t="inlineStr">
        <is>
          <t>SYRM</t>
        </is>
      </c>
      <c r="L210" t="inlineStr">
        <is>
          <t>Funding move</t>
        </is>
      </c>
      <c r="M210" s="8" t="n">
        <v>46252.51655092592</v>
      </c>
      <c r="N210" t="inlineStr">
        <is>
          <t>Quinn Kirby</t>
        </is>
      </c>
      <c r="O210" s="8" t="n">
        <v>46252.52349537037</v>
      </c>
      <c r="P210" t="inlineStr">
        <is>
          <t>Noor Thorne</t>
        </is>
      </c>
      <c r="Q210" t="inlineStr">
        <is>
          <t>LEDGER_OR_CASHFLOW_RECEIVED</t>
        </is>
      </c>
      <c r="R210" t="inlineStr">
        <is>
          <t>SYRM_ACKNOWLEDGED</t>
        </is>
      </c>
      <c r="S210" t="inlineStr">
        <is>
          <t>View details</t>
        </is>
      </c>
    </row>
    <row r="211">
      <c r="A211" t="inlineStr">
        <is>
          <t>794226063698</t>
        </is>
      </c>
      <c r="B211" t="inlineStr">
        <is>
          <t>Zephyr Settlement Bank Sydney</t>
        </is>
      </c>
      <c r="C211" t="inlineStr">
        <is>
          <t>794226063698</t>
        </is>
      </c>
      <c r="D211" t="inlineStr">
        <is>
          <t>Cedar Settlement Bank Hong Kong</t>
        </is>
      </c>
      <c r="E211" t="inlineStr">
        <is>
          <t>AED</t>
        </is>
      </c>
      <c r="F211" t="inlineStr">
        <is>
          <t>NT26081800205</t>
        </is>
      </c>
      <c r="G211" s="6" t="n">
        <v>46252</v>
      </c>
      <c r="H211" s="7" t="n">
        <v>22445585.652</v>
      </c>
      <c r="I211" t="inlineStr">
        <is>
          <t>GBP</t>
        </is>
      </c>
      <c r="J211" s="7" t="n">
        <v>4780909.744</v>
      </c>
      <c r="K211" t="inlineStr">
        <is>
          <t>SWIFT</t>
        </is>
      </c>
      <c r="L211" t="inlineStr">
        <is>
          <t>Intraday top-up</t>
        </is>
      </c>
      <c r="M211" s="8" t="n">
        <v>46252.38016203704</v>
      </c>
      <c r="N211" t="inlineStr">
        <is>
          <t>Marlow Rhodes</t>
        </is>
      </c>
      <c r="O211" s="8" t="n">
        <v>46252.44335648148</v>
      </c>
      <c r="P211" t="inlineStr">
        <is>
          <t>Noor Brookes</t>
        </is>
      </c>
      <c r="Q211" t="inlineStr">
        <is>
          <t>LEDGER_OR_CASHFLOW_RECEIVED</t>
        </is>
      </c>
      <c r="R211" t="inlineStr">
        <is>
          <t>SYRM_PENDING</t>
        </is>
      </c>
      <c r="S211" t="inlineStr">
        <is>
          <t>View details</t>
        </is>
      </c>
    </row>
    <row r="212">
      <c r="A212" t="inlineStr">
        <is>
          <t>150316825069</t>
        </is>
      </c>
      <c r="B212" t="inlineStr">
        <is>
          <t>Redstart Commercial Bank Stockholm</t>
        </is>
      </c>
      <c r="C212" t="inlineStr">
        <is>
          <t>953625291146</t>
        </is>
      </c>
      <c r="D212" t="inlineStr">
        <is>
          <t>Sablewood Settlement Bank Oslo</t>
        </is>
      </c>
      <c r="E212" t="inlineStr">
        <is>
          <t>GBP</t>
        </is>
      </c>
      <c r="F212" t="inlineStr">
        <is>
          <t>NT26081800206</t>
        </is>
      </c>
      <c r="G212" s="6" t="n">
        <v>46252</v>
      </c>
      <c r="H212" s="7" t="n">
        <v>451635.465</v>
      </c>
      <c r="I212" t="inlineStr">
        <is>
          <t>GBP</t>
        </is>
      </c>
      <c r="J212" s="7" t="n">
        <v>451635.465</v>
      </c>
      <c r="K212" t="inlineStr">
        <is>
          <t>SYRM</t>
        </is>
      </c>
      <c r="L212" t="inlineStr">
        <is>
          <t>Liquidity sweep</t>
        </is>
      </c>
      <c r="M212" s="8" t="n">
        <v>46252.60450231482</v>
      </c>
      <c r="N212" t="inlineStr">
        <is>
          <t>Oakley Prentice</t>
        </is>
      </c>
      <c r="O212" s="8" t="n">
        <v>46252.63922453704</v>
      </c>
      <c r="P212" t="inlineStr">
        <is>
          <t>Noor Brookes</t>
        </is>
      </c>
      <c r="Q212" t="inlineStr">
        <is>
          <t>LEDGER_OR_CASHFLOW_RECEIVED</t>
        </is>
      </c>
      <c r="R212" t="inlineStr">
        <is>
          <t>SYRM_REJECTED</t>
        </is>
      </c>
      <c r="S212" t="inlineStr">
        <is>
          <t>View details</t>
        </is>
      </c>
    </row>
    <row r="213">
      <c r="A213" t="inlineStr">
        <is>
          <t>150316825069</t>
        </is>
      </c>
      <c r="B213" t="inlineStr">
        <is>
          <t>Wrenfield Clearing Frankfurt</t>
        </is>
      </c>
      <c r="C213" t="inlineStr">
        <is>
          <t>150316825069</t>
        </is>
      </c>
      <c r="D213" t="inlineStr">
        <is>
          <t>Bramble Clearing Milan</t>
        </is>
      </c>
      <c r="E213" t="inlineStr">
        <is>
          <t>GBP</t>
        </is>
      </c>
      <c r="F213" t="inlineStr">
        <is>
          <t>NT26081800207</t>
        </is>
      </c>
      <c r="G213" s="6" t="n">
        <v>46252</v>
      </c>
      <c r="H213" s="7" t="n">
        <v>9395.967000000001</v>
      </c>
      <c r="I213" t="inlineStr">
        <is>
          <t>GBP</t>
        </is>
      </c>
      <c r="J213" s="7" t="n">
        <v>9395.967000000001</v>
      </c>
      <c r="K213" t="inlineStr">
        <is>
          <t>SWIFT</t>
        </is>
      </c>
      <c r="L213" t="inlineStr">
        <is>
          <t>Liquidity sweep</t>
        </is>
      </c>
      <c r="M213" s="8" t="n">
        <v>46252.63576388889</v>
      </c>
      <c r="N213" t="inlineStr">
        <is>
          <t>Wren Delaney</t>
        </is>
      </c>
      <c r="O213" s="8" t="n">
        <v>46252.64270833333</v>
      </c>
      <c r="P213" t="inlineStr">
        <is>
          <t>Devon Calloway</t>
        </is>
      </c>
      <c r="Q213" t="inlineStr">
        <is>
          <t>LEDGER_OR_CASHFLOW_RECEIVED</t>
        </is>
      </c>
      <c r="R213" t="inlineStr">
        <is>
          <t>SYRM_REJECTED</t>
        </is>
      </c>
      <c r="S213" t="inlineStr">
        <is>
          <t>View details</t>
        </is>
      </c>
    </row>
    <row r="214">
      <c r="A214" t="inlineStr">
        <is>
          <t>150316825069</t>
        </is>
      </c>
      <c r="B214" t="inlineStr">
        <is>
          <t>Cedar Settlement Bank Hong Kong</t>
        </is>
      </c>
      <c r="C214" t="inlineStr">
        <is>
          <t>499062838623</t>
        </is>
      </c>
      <c r="D214" t="inlineStr">
        <is>
          <t>Zephyr Commercial Bank Oslo</t>
        </is>
      </c>
      <c r="E214" t="inlineStr">
        <is>
          <t>GBP</t>
        </is>
      </c>
      <c r="F214" t="inlineStr">
        <is>
          <t>NT26081800208</t>
        </is>
      </c>
      <c r="G214" s="6" t="n">
        <v>46252</v>
      </c>
      <c r="H214" s="7" t="n">
        <v>302710632.194</v>
      </c>
      <c r="I214" t="inlineStr">
        <is>
          <t>GBP</t>
        </is>
      </c>
      <c r="J214" s="7" t="n">
        <v>302710632.194</v>
      </c>
      <c r="K214" t="inlineStr">
        <is>
          <t>SYRM</t>
        </is>
      </c>
      <c r="L214" t="inlineStr"/>
      <c r="M214" s="8" t="n">
        <v>46252.35127314815</v>
      </c>
      <c r="N214" t="inlineStr">
        <is>
          <t>Oakley Fairweather</t>
        </is>
      </c>
      <c r="O214" s="8" t="n">
        <v>46252.40127314815</v>
      </c>
      <c r="P214" t="inlineStr">
        <is>
          <t>Lennox Ellison</t>
        </is>
      </c>
      <c r="Q214" t="inlineStr">
        <is>
          <t>LEDGER_OR_CASHFLOW_RECEIVED</t>
        </is>
      </c>
      <c r="R214" t="inlineStr">
        <is>
          <t>SYRM_REJECTED</t>
        </is>
      </c>
      <c r="S214" t="inlineStr">
        <is>
          <t>View details</t>
        </is>
      </c>
    </row>
    <row r="215">
      <c r="A215" t="inlineStr">
        <is>
          <t>794226063698</t>
        </is>
      </c>
      <c r="B215" t="inlineStr">
        <is>
          <t>Bramble Bank Milan</t>
        </is>
      </c>
      <c r="C215" t="inlineStr">
        <is>
          <t>953625291146</t>
        </is>
      </c>
      <c r="D215" t="inlineStr">
        <is>
          <t>Pinehurst Commercial Bank Stockholm</t>
        </is>
      </c>
      <c r="E215" t="inlineStr">
        <is>
          <t>AED</t>
        </is>
      </c>
      <c r="F215" t="inlineStr">
        <is>
          <t>NT26081800209</t>
        </is>
      </c>
      <c r="G215" s="6" t="n">
        <v>46252</v>
      </c>
      <c r="H215" s="7" t="n">
        <v>7486305.891</v>
      </c>
      <c r="I215" t="inlineStr">
        <is>
          <t>GBP</t>
        </is>
      </c>
      <c r="J215" s="7" t="n">
        <v>1594583.155</v>
      </c>
      <c r="K215" t="inlineStr">
        <is>
          <t>SYRM</t>
        </is>
      </c>
      <c r="L215" t="inlineStr">
        <is>
          <t>Liquidity sweep</t>
        </is>
      </c>
      <c r="M215" s="8" t="n">
        <v>46252.45461805556</v>
      </c>
      <c r="N215" t="inlineStr">
        <is>
          <t>Tatum Ashford</t>
        </is>
      </c>
      <c r="O215" s="8" t="n">
        <v>46252.49420138889</v>
      </c>
      <c r="P215" t="inlineStr">
        <is>
          <t>Harper Calloway</t>
        </is>
      </c>
      <c r="Q215" t="inlineStr">
        <is>
          <t>LEDGER_OR_CASHFLOW_RECEIVED</t>
        </is>
      </c>
      <c r="R215" t="inlineStr">
        <is>
          <t>SYRM_ACKNOWLEDGED</t>
        </is>
      </c>
      <c r="S215" t="inlineStr">
        <is>
          <t>View details</t>
        </is>
      </c>
    </row>
    <row r="216">
      <c r="A216" t="inlineStr">
        <is>
          <t>284925023085</t>
        </is>
      </c>
      <c r="B216" t="inlineStr">
        <is>
          <t>Wrenfield Trust Tokyo</t>
        </is>
      </c>
      <c r="C216" t="inlineStr">
        <is>
          <t>953625291146</t>
        </is>
      </c>
      <c r="D216" t="inlineStr">
        <is>
          <t>Larkspur Clearing New York</t>
        </is>
      </c>
      <c r="E216" t="inlineStr">
        <is>
          <t>MXN</t>
        </is>
      </c>
      <c r="F216" t="inlineStr">
        <is>
          <t>NT26081800210</t>
        </is>
      </c>
      <c r="G216" s="6" t="n">
        <v>46252</v>
      </c>
      <c r="H216" s="7" t="n">
        <v>692433377.623</v>
      </c>
      <c r="I216" t="inlineStr">
        <is>
          <t>GBP</t>
        </is>
      </c>
      <c r="J216" s="7" t="n">
        <v>29636148.562</v>
      </c>
      <c r="K216" t="inlineStr">
        <is>
          <t>SWIFT</t>
        </is>
      </c>
      <c r="L216" t="inlineStr">
        <is>
          <t>Funding move</t>
        </is>
      </c>
      <c r="M216" s="8" t="n">
        <v>46252.42608796297</v>
      </c>
      <c r="N216" t="inlineStr">
        <is>
          <t>Ellis Delaney</t>
        </is>
      </c>
      <c r="O216" s="8" t="n">
        <v>46252.48789351852</v>
      </c>
      <c r="P216" t="inlineStr">
        <is>
          <t>Marlow Sinclair</t>
        </is>
      </c>
      <c r="Q216" t="inlineStr">
        <is>
          <t>LEDGER_OR_CASHFLOW_RECEIVED</t>
        </is>
      </c>
      <c r="R216" t="inlineStr">
        <is>
          <t>SYRM_ACKNOWLEDGED</t>
        </is>
      </c>
      <c r="S216" t="inlineStr">
        <is>
          <t>View details</t>
        </is>
      </c>
    </row>
    <row r="217">
      <c r="A217" t="inlineStr">
        <is>
          <t>150316825069</t>
        </is>
      </c>
      <c r="B217" t="inlineStr">
        <is>
          <t>Juniper Clearing Hong Kong</t>
        </is>
      </c>
      <c r="C217" t="inlineStr">
        <is>
          <t>726928343448</t>
        </is>
      </c>
      <c r="D217" t="inlineStr">
        <is>
          <t>Bramble Settlement Bank Hong Kong</t>
        </is>
      </c>
      <c r="E217" t="inlineStr">
        <is>
          <t>GBP</t>
        </is>
      </c>
      <c r="F217" t="inlineStr">
        <is>
          <t>NT26081800211</t>
        </is>
      </c>
      <c r="G217" s="6" t="n">
        <v>46252</v>
      </c>
      <c r="H217" s="7" t="n">
        <v>1947891751.496</v>
      </c>
      <c r="I217" t="inlineStr">
        <is>
          <t>GBP</t>
        </is>
      </c>
      <c r="J217" s="7" t="n">
        <v>1947891751.496</v>
      </c>
      <c r="K217" t="inlineStr">
        <is>
          <t>SYRM</t>
        </is>
      </c>
      <c r="L217" t="inlineStr">
        <is>
          <t>Balance alignment</t>
        </is>
      </c>
      <c r="M217" s="8" t="n">
        <v>46252.41907407407</v>
      </c>
      <c r="N217" t="inlineStr">
        <is>
          <t>Oakley Delaney</t>
        </is>
      </c>
      <c r="O217" s="8" t="n">
        <v>46252.43157407407</v>
      </c>
      <c r="P217" t="inlineStr">
        <is>
          <t>Marlow Thorne</t>
        </is>
      </c>
      <c r="Q217" t="inlineStr">
        <is>
          <t>LEDGER_RECEIVED</t>
        </is>
      </c>
      <c r="R217" t="inlineStr">
        <is>
          <t>SYRM_ACKNOWLEDGED</t>
        </is>
      </c>
      <c r="S217" t="inlineStr">
        <is>
          <t>View details</t>
        </is>
      </c>
    </row>
    <row r="218">
      <c r="A218" t="inlineStr">
        <is>
          <t>150316825069</t>
        </is>
      </c>
      <c r="B218" t="inlineStr">
        <is>
          <t>Umberton Commercial Bank Mexico City</t>
        </is>
      </c>
      <c r="C218" t="inlineStr">
        <is>
          <t>150316825069</t>
        </is>
      </c>
      <c r="D218" t="inlineStr">
        <is>
          <t>Redstart Commercial Bank Dublin</t>
        </is>
      </c>
      <c r="E218" t="inlineStr">
        <is>
          <t>GBP</t>
        </is>
      </c>
      <c r="F218" t="inlineStr">
        <is>
          <t>NT26081800212</t>
        </is>
      </c>
      <c r="G218" s="6" t="n">
        <v>46252</v>
      </c>
      <c r="H218" s="7" t="n">
        <v>91460743.242</v>
      </c>
      <c r="I218" t="inlineStr">
        <is>
          <t>GBP</t>
        </is>
      </c>
      <c r="J218" s="7" t="n">
        <v>91460743.242</v>
      </c>
      <c r="K218" t="inlineStr">
        <is>
          <t>SYRM</t>
        </is>
      </c>
      <c r="L218" t="inlineStr">
        <is>
          <t>Balance alignment</t>
        </is>
      </c>
      <c r="M218" s="8" t="n">
        <v>46252.37314814814</v>
      </c>
      <c r="N218" t="inlineStr">
        <is>
          <t>Noor Thorne</t>
        </is>
      </c>
      <c r="O218" s="8" t="n">
        <v>46252.38148148148</v>
      </c>
      <c r="P218" t="inlineStr">
        <is>
          <t>Oakley Novak</t>
        </is>
      </c>
      <c r="Q218" t="inlineStr">
        <is>
          <t>LEDGER_OR_CASHFLOW_RECEIVED</t>
        </is>
      </c>
      <c r="R218" t="inlineStr">
        <is>
          <t>SYRM_ACKNOWLEDGED</t>
        </is>
      </c>
      <c r="S218" t="inlineStr">
        <is>
          <t>View details</t>
        </is>
      </c>
    </row>
    <row r="219">
      <c r="A219" t="inlineStr">
        <is>
          <t>910703979141</t>
        </is>
      </c>
      <c r="B219" t="inlineStr">
        <is>
          <t>Zephyr Bank Madrid</t>
        </is>
      </c>
      <c r="C219" t="inlineStr">
        <is>
          <t>898317028833</t>
        </is>
      </c>
      <c r="D219" t="inlineStr">
        <is>
          <t>Larkspur Trust Hong Kong</t>
        </is>
      </c>
      <c r="E219" t="inlineStr">
        <is>
          <t>CHF</t>
        </is>
      </c>
      <c r="F219" t="inlineStr">
        <is>
          <t>NT26081800213</t>
        </is>
      </c>
      <c r="G219" s="6" t="n">
        <v>46252</v>
      </c>
      <c r="H219" s="7" t="n">
        <v>4715382830.215</v>
      </c>
      <c r="I219" t="inlineStr">
        <is>
          <t>GBP</t>
        </is>
      </c>
      <c r="J219" s="7" t="n">
        <v>4229698398.703</v>
      </c>
      <c r="K219" t="inlineStr">
        <is>
          <t>SYRM</t>
        </is>
      </c>
      <c r="L219" t="inlineStr">
        <is>
          <t>Liquidity sweep</t>
        </is>
      </c>
      <c r="M219" s="8" t="n">
        <v>46252.59788194444</v>
      </c>
      <c r="N219" t="inlineStr">
        <is>
          <t>Quinn Brookes</t>
        </is>
      </c>
      <c r="O219" s="8" t="n">
        <v>46252.6159375</v>
      </c>
      <c r="P219" t="inlineStr">
        <is>
          <t>Avery Prentice</t>
        </is>
      </c>
      <c r="Q219" t="inlineStr">
        <is>
          <t>LEDGER_OR_CASHFLOW_RECEIVED</t>
        </is>
      </c>
      <c r="R219" t="inlineStr">
        <is>
          <t>SYRM_PENDING</t>
        </is>
      </c>
      <c r="S219" t="inlineStr">
        <is>
          <t>View details</t>
        </is>
      </c>
    </row>
    <row r="220">
      <c r="A220" t="inlineStr">
        <is>
          <t>910703979141</t>
        </is>
      </c>
      <c r="B220" t="inlineStr">
        <is>
          <t>Wrenfield Bank Paris</t>
        </is>
      </c>
      <c r="C220" t="inlineStr">
        <is>
          <t>499062838623</t>
        </is>
      </c>
      <c r="D220" t="inlineStr">
        <is>
          <t>Zephyr Bank Madrid</t>
        </is>
      </c>
      <c r="E220" t="inlineStr">
        <is>
          <t>CHF</t>
        </is>
      </c>
      <c r="F220" t="inlineStr">
        <is>
          <t>NT26081800214</t>
        </is>
      </c>
      <c r="G220" s="6" t="n">
        <v>46252</v>
      </c>
      <c r="H220" s="7" t="n">
        <v>78237727.403</v>
      </c>
      <c r="I220" t="inlineStr">
        <is>
          <t>GBP</t>
        </is>
      </c>
      <c r="J220" s="7" t="n">
        <v>70179241.48</v>
      </c>
      <c r="K220" t="inlineStr">
        <is>
          <t>SYRM</t>
        </is>
      </c>
      <c r="L220" t="inlineStr">
        <is>
          <t>Funding move</t>
        </is>
      </c>
      <c r="M220" s="8" t="n">
        <v>46252.38263888889</v>
      </c>
      <c r="N220" t="inlineStr">
        <is>
          <t>Sawyer Calloway</t>
        </is>
      </c>
      <c r="O220" s="8" t="n">
        <v>46252.43333333333</v>
      </c>
      <c r="P220" t="inlineStr">
        <is>
          <t>Oakley Prentice</t>
        </is>
      </c>
      <c r="Q220" t="inlineStr">
        <is>
          <t>LEDGER_OR_CASHFLOW_RECEIVED</t>
        </is>
      </c>
      <c r="R220" t="inlineStr">
        <is>
          <t>SYRM_ACKNOWLEDGED</t>
        </is>
      </c>
      <c r="S220" t="inlineStr">
        <is>
          <t>View details</t>
        </is>
      </c>
    </row>
    <row r="221">
      <c r="A221" t="inlineStr">
        <is>
          <t>968942362772</t>
        </is>
      </c>
      <c r="B221" t="inlineStr">
        <is>
          <t>Bramble Bank Milan</t>
        </is>
      </c>
      <c r="C221" t="inlineStr">
        <is>
          <t>171857983160</t>
        </is>
      </c>
      <c r="D221" t="inlineStr">
        <is>
          <t>Oriel Commercial Bank Toronto</t>
        </is>
      </c>
      <c r="E221" t="inlineStr">
        <is>
          <t>EUR</t>
        </is>
      </c>
      <c r="F221" t="inlineStr">
        <is>
          <t>NT26081800215</t>
        </is>
      </c>
      <c r="G221" s="6" t="n">
        <v>46252</v>
      </c>
      <c r="H221" s="7" t="n">
        <v>32094980.014</v>
      </c>
      <c r="I221" t="inlineStr">
        <is>
          <t>GBP</t>
        </is>
      </c>
      <c r="J221" s="7" t="n">
        <v>27537492.852</v>
      </c>
      <c r="K221" t="inlineStr">
        <is>
          <t>INTERNAL</t>
        </is>
      </c>
      <c r="L221" t="inlineStr">
        <is>
          <t>Liquidity sweep</t>
        </is>
      </c>
      <c r="M221" s="8" t="n">
        <v>46252.20560185185</v>
      </c>
      <c r="N221" t="inlineStr">
        <is>
          <t>Devon Calloway</t>
        </is>
      </c>
      <c r="O221" s="8" t="n">
        <v>46252.25768518518</v>
      </c>
      <c r="P221" t="inlineStr">
        <is>
          <t>Tatum Ashford</t>
        </is>
      </c>
      <c r="Q221" t="inlineStr">
        <is>
          <t>LEDGER_OR_CASHFLOW_RECEIVED</t>
        </is>
      </c>
      <c r="R221" t="inlineStr">
        <is>
          <t>SYRM_ACKNOWLEDGED</t>
        </is>
      </c>
      <c r="S221" t="inlineStr">
        <is>
          <t>View details</t>
        </is>
      </c>
    </row>
    <row r="222">
      <c r="A222" t="inlineStr">
        <is>
          <t>621381112674</t>
        </is>
      </c>
      <c r="B222" t="inlineStr">
        <is>
          <t>Zephyr Commercial Bank Oslo</t>
        </is>
      </c>
      <c r="C222" t="inlineStr">
        <is>
          <t>265771593142</t>
        </is>
      </c>
      <c r="D222" t="inlineStr">
        <is>
          <t>Nightjar Clearing Dublin</t>
        </is>
      </c>
      <c r="E222" t="inlineStr">
        <is>
          <t>PLN</t>
        </is>
      </c>
      <c r="F222" t="inlineStr">
        <is>
          <t>NT26081800216</t>
        </is>
      </c>
      <c r="G222" s="6" t="n">
        <v>46252</v>
      </c>
      <c r="H222" s="7" t="n">
        <v>20835.629</v>
      </c>
      <c r="I222" t="inlineStr">
        <is>
          <t>GBP</t>
        </is>
      </c>
      <c r="J222" s="7" t="n">
        <v>4125.455</v>
      </c>
      <c r="K222" t="inlineStr">
        <is>
          <t>SYRM</t>
        </is>
      </c>
      <c r="L222" t="inlineStr">
        <is>
          <t>Liquidity sweep</t>
        </is>
      </c>
      <c r="M222" s="8" t="n">
        <v>46252.31570601852</v>
      </c>
      <c r="N222" t="inlineStr">
        <is>
          <t>Blake Fairweather</t>
        </is>
      </c>
      <c r="O222" s="8" t="n">
        <v>46252.35737268518</v>
      </c>
      <c r="P222" t="inlineStr">
        <is>
          <t>Quinn Brookes</t>
        </is>
      </c>
      <c r="Q222" t="inlineStr">
        <is>
          <t>CASHFLOW_RECEIVED</t>
        </is>
      </c>
      <c r="R222" t="inlineStr">
        <is>
          <t>SYRM_ACKNOWLEDGED</t>
        </is>
      </c>
      <c r="S222" t="inlineStr">
        <is>
          <t>View details</t>
        </is>
      </c>
    </row>
    <row r="223">
      <c r="A223" t="inlineStr">
        <is>
          <t>700726936098</t>
        </is>
      </c>
      <c r="B223" t="inlineStr">
        <is>
          <t>Juniper Clearing New York</t>
        </is>
      </c>
      <c r="C223" t="inlineStr">
        <is>
          <t>700726936098</t>
        </is>
      </c>
      <c r="D223" t="inlineStr">
        <is>
          <t>Yarrow Bank Stockholm</t>
        </is>
      </c>
      <c r="E223" t="inlineStr">
        <is>
          <t>SAR</t>
        </is>
      </c>
      <c r="F223" t="inlineStr">
        <is>
          <t>NT26081800217</t>
        </is>
      </c>
      <c r="G223" s="6" t="n">
        <v>46252</v>
      </c>
      <c r="H223" s="7" t="n">
        <v>2296634.989</v>
      </c>
      <c r="I223" t="inlineStr">
        <is>
          <t>GBP</t>
        </is>
      </c>
      <c r="J223" s="7" t="n">
        <v>479996.713</v>
      </c>
      <c r="K223" t="inlineStr">
        <is>
          <t>INTERNAL</t>
        </is>
      </c>
      <c r="L223" t="inlineStr">
        <is>
          <t>Liquidity sweep</t>
        </is>
      </c>
      <c r="M223" s="8" t="n">
        <v>46252.65063657407</v>
      </c>
      <c r="N223" t="inlineStr">
        <is>
          <t>Quinn Lindqvist</t>
        </is>
      </c>
      <c r="O223" s="8" t="n">
        <v>46252.67702546297</v>
      </c>
      <c r="P223" t="inlineStr">
        <is>
          <t>Oakley Delaney</t>
        </is>
      </c>
      <c r="Q223" t="inlineStr">
        <is>
          <t>LEDGER_OR_CASHFLOW_RECEIVED</t>
        </is>
      </c>
      <c r="R223" t="inlineStr">
        <is>
          <t>SYRM_ACKNOWLEDGED</t>
        </is>
      </c>
      <c r="S223" t="inlineStr">
        <is>
          <t>View details</t>
        </is>
      </c>
    </row>
    <row r="224">
      <c r="A224" t="inlineStr">
        <is>
          <t>150316825069</t>
        </is>
      </c>
      <c r="B224" t="inlineStr">
        <is>
          <t>Yarrow Settlement Bank Oslo</t>
        </is>
      </c>
      <c r="C224" t="inlineStr">
        <is>
          <t>120047354818</t>
        </is>
      </c>
      <c r="D224" t="inlineStr">
        <is>
          <t>Pinehurst Commercial Bank Stockholm</t>
        </is>
      </c>
      <c r="E224" t="inlineStr">
        <is>
          <t>GBP</t>
        </is>
      </c>
      <c r="F224" t="inlineStr">
        <is>
          <t>NT26081800218</t>
        </is>
      </c>
      <c r="G224" s="6" t="n">
        <v>46252</v>
      </c>
      <c r="H224" s="7" t="n">
        <v>534799631.385</v>
      </c>
      <c r="I224" t="inlineStr">
        <is>
          <t>GBP</t>
        </is>
      </c>
      <c r="J224" s="7" t="n">
        <v>534799631.385</v>
      </c>
      <c r="K224" t="inlineStr">
        <is>
          <t>SWIFT</t>
        </is>
      </c>
      <c r="L224" t="inlineStr">
        <is>
          <t>Intraday top-up</t>
        </is>
      </c>
      <c r="M224" s="8" t="n">
        <v>46252.62135416667</v>
      </c>
      <c r="N224" t="inlineStr">
        <is>
          <t>Devon Calloway</t>
        </is>
      </c>
      <c r="O224" s="8" t="n">
        <v>46252.65538194445</v>
      </c>
      <c r="P224" t="inlineStr">
        <is>
          <t>Wren Delaney</t>
        </is>
      </c>
      <c r="Q224" t="inlineStr">
        <is>
          <t>LEDGER_OR_CASHFLOW_RECEIVED</t>
        </is>
      </c>
      <c r="R224" t="inlineStr">
        <is>
          <t>SYRM_ACKNOWLEDGED</t>
        </is>
      </c>
      <c r="S224" t="inlineStr">
        <is>
          <t>View details</t>
        </is>
      </c>
    </row>
    <row r="225">
      <c r="A225" t="inlineStr">
        <is>
          <t>150316825069</t>
        </is>
      </c>
      <c r="B225" t="inlineStr">
        <is>
          <t>Juniper Commercial Bank Warsaw</t>
        </is>
      </c>
      <c r="C225" t="inlineStr">
        <is>
          <t>794226063698</t>
        </is>
      </c>
      <c r="D225" t="inlineStr">
        <is>
          <t>Zephyr Bank Madrid</t>
        </is>
      </c>
      <c r="E225" t="inlineStr">
        <is>
          <t>GBP</t>
        </is>
      </c>
      <c r="F225" t="inlineStr">
        <is>
          <t>NT26081800219</t>
        </is>
      </c>
      <c r="G225" s="6" t="n">
        <v>46252</v>
      </c>
      <c r="H225" s="7" t="n">
        <v>126021.533</v>
      </c>
      <c r="I225" t="inlineStr">
        <is>
          <t>GBP</t>
        </is>
      </c>
      <c r="J225" s="7" t="n">
        <v>126021.533</v>
      </c>
      <c r="K225" t="inlineStr">
        <is>
          <t>SYRM</t>
        </is>
      </c>
      <c r="L225" t="inlineStr">
        <is>
          <t>Funding move</t>
        </is>
      </c>
      <c r="M225" s="8" t="n">
        <v>46252.33401620371</v>
      </c>
      <c r="N225" t="inlineStr">
        <is>
          <t>Wren Hollis</t>
        </is>
      </c>
      <c r="O225" s="8" t="n">
        <v>46252.37568287037</v>
      </c>
      <c r="P225" t="inlineStr">
        <is>
          <t>Devon Delaney</t>
        </is>
      </c>
      <c r="Q225" t="inlineStr">
        <is>
          <t>LEDGER_OR_CASHFLOW_RECEIVED</t>
        </is>
      </c>
      <c r="R225" t="inlineStr">
        <is>
          <t>SYRM_ACKNOWLEDGED</t>
        </is>
      </c>
      <c r="S225" t="inlineStr">
        <is>
          <t>View details</t>
        </is>
      </c>
    </row>
    <row r="226">
      <c r="A226" t="inlineStr">
        <is>
          <t>468341071172</t>
        </is>
      </c>
      <c r="B226" t="inlineStr">
        <is>
          <t>Kestrel Clearing Oslo</t>
        </is>
      </c>
      <c r="C226" t="inlineStr">
        <is>
          <t>150316825069</t>
        </is>
      </c>
      <c r="D226" t="inlineStr">
        <is>
          <t>Mallow Settlement Bank Oslo</t>
        </is>
      </c>
      <c r="E226" t="inlineStr">
        <is>
          <t>EUR</t>
        </is>
      </c>
      <c r="F226" t="inlineStr">
        <is>
          <t>NT26081800220</t>
        </is>
      </c>
      <c r="G226" s="6" t="n">
        <v>46252</v>
      </c>
      <c r="H226" s="7" t="n">
        <v>120983016.665</v>
      </c>
      <c r="I226" t="inlineStr">
        <is>
          <t>GBP</t>
        </is>
      </c>
      <c r="J226" s="7" t="n">
        <v>103803428.299</v>
      </c>
      <c r="K226" t="inlineStr">
        <is>
          <t>SYRM</t>
        </is>
      </c>
      <c r="L226" t="inlineStr">
        <is>
          <t>Balance alignment</t>
        </is>
      </c>
      <c r="M226" s="8" t="n">
        <v>46252.41216435185</v>
      </c>
      <c r="N226" t="inlineStr">
        <is>
          <t>Harper Hollis</t>
        </is>
      </c>
      <c r="O226" s="8" t="n">
        <v>46252.44063657407</v>
      </c>
      <c r="P226" t="inlineStr">
        <is>
          <t>Noor Thorne</t>
        </is>
      </c>
      <c r="Q226" t="inlineStr">
        <is>
          <t>LEDGER_OR_CASHFLOW_RECEIVED</t>
        </is>
      </c>
      <c r="R226" t="inlineStr">
        <is>
          <t>SYRM_ACKNOWLEDGED</t>
        </is>
      </c>
      <c r="S226" t="inlineStr">
        <is>
          <t>View details</t>
        </is>
      </c>
    </row>
    <row r="227">
      <c r="A227" t="inlineStr">
        <is>
          <t>150316825069</t>
        </is>
      </c>
      <c r="B227" t="inlineStr">
        <is>
          <t>Pinehurst Clearing Oslo</t>
        </is>
      </c>
      <c r="C227" t="inlineStr">
        <is>
          <t>171857983160</t>
        </is>
      </c>
      <c r="D227" t="inlineStr">
        <is>
          <t>Dunlin Commercial Bank Paris</t>
        </is>
      </c>
      <c r="E227" t="inlineStr">
        <is>
          <t>GBP</t>
        </is>
      </c>
      <c r="F227" t="inlineStr">
        <is>
          <t>NT26081800221</t>
        </is>
      </c>
      <c r="G227" s="6" t="n">
        <v>46252</v>
      </c>
      <c r="H227" s="7" t="n">
        <v>123365283.962</v>
      </c>
      <c r="I227" t="inlineStr">
        <is>
          <t>GBP</t>
        </is>
      </c>
      <c r="J227" s="7" t="n">
        <v>123365283.962</v>
      </c>
      <c r="K227" t="inlineStr">
        <is>
          <t>SYRM</t>
        </is>
      </c>
      <c r="L227" t="inlineStr">
        <is>
          <t>Funding move</t>
        </is>
      </c>
      <c r="M227" s="8" t="n">
        <v>46252.42839120371</v>
      </c>
      <c r="N227" t="inlineStr">
        <is>
          <t>Noor Brookes</t>
        </is>
      </c>
      <c r="O227" s="8" t="n">
        <v>46252.4485300926</v>
      </c>
      <c r="P227" t="inlineStr">
        <is>
          <t>Finley Hollis</t>
        </is>
      </c>
      <c r="Q227" t="inlineStr">
        <is>
          <t>LEDGER_OR_CASHFLOW_RECEIVED</t>
        </is>
      </c>
      <c r="R227" t="inlineStr">
        <is>
          <t>SYRM_ACKNOWLEDGED</t>
        </is>
      </c>
      <c r="S227" t="inlineStr">
        <is>
          <t>View details</t>
        </is>
      </c>
    </row>
    <row r="228">
      <c r="A228" t="inlineStr">
        <is>
          <t>927538182434</t>
        </is>
      </c>
      <c r="B228" t="inlineStr">
        <is>
          <t>Nightjar Bank Stockholm</t>
        </is>
      </c>
      <c r="C228" t="inlineStr">
        <is>
          <t>499062838623</t>
        </is>
      </c>
      <c r="D228" t="inlineStr">
        <is>
          <t>Larkspur Clearing New York</t>
        </is>
      </c>
      <c r="E228" t="inlineStr">
        <is>
          <t>CNY</t>
        </is>
      </c>
      <c r="F228" t="inlineStr">
        <is>
          <t>NT26081800222</t>
        </is>
      </c>
      <c r="G228" s="6" t="n">
        <v>46252</v>
      </c>
      <c r="H228" s="7" t="n">
        <v>63341126.778</v>
      </c>
      <c r="I228" t="inlineStr">
        <is>
          <t>GBP</t>
        </is>
      </c>
      <c r="J228" s="7" t="n">
        <v>6904182.819</v>
      </c>
      <c r="K228" t="inlineStr">
        <is>
          <t>SYRM</t>
        </is>
      </c>
      <c r="L228" t="inlineStr">
        <is>
          <t>Liquidity sweep</t>
        </is>
      </c>
      <c r="M228" s="8" t="n">
        <v>46252.43929398148</v>
      </c>
      <c r="N228" t="inlineStr">
        <is>
          <t>Quinn Lindqvist</t>
        </is>
      </c>
      <c r="O228" s="8" t="n">
        <v>46252.4927662037</v>
      </c>
      <c r="P228" t="inlineStr">
        <is>
          <t>Quinn Kirby</t>
        </is>
      </c>
      <c r="Q228" t="inlineStr">
        <is>
          <t>LEDGER_OR_CASHFLOW_RECEIVED</t>
        </is>
      </c>
      <c r="R228" t="inlineStr">
        <is>
          <t>SYRM_ACKNOWLEDGED</t>
        </is>
      </c>
      <c r="S228" t="inlineStr">
        <is>
          <t>View details</t>
        </is>
      </c>
    </row>
    <row r="229">
      <c r="A229" t="inlineStr">
        <is>
          <t>927538182434</t>
        </is>
      </c>
      <c r="B229" t="inlineStr">
        <is>
          <t>Mallow Settlement Bank Oslo</t>
        </is>
      </c>
      <c r="C229" t="inlineStr">
        <is>
          <t>726928343448</t>
        </is>
      </c>
      <c r="D229" t="inlineStr">
        <is>
          <t>Sablewood Settlement Bank Oslo</t>
        </is>
      </c>
      <c r="E229" t="inlineStr">
        <is>
          <t>CNY</t>
        </is>
      </c>
      <c r="F229" t="inlineStr">
        <is>
          <t>NT26081800223</t>
        </is>
      </c>
      <c r="G229" s="6" t="n">
        <v>46252</v>
      </c>
      <c r="H229" s="7" t="n">
        <v>28080.5</v>
      </c>
      <c r="I229" t="inlineStr">
        <is>
          <t>GBP</t>
        </is>
      </c>
      <c r="J229" s="7" t="n">
        <v>3060.774</v>
      </c>
      <c r="K229" t="inlineStr">
        <is>
          <t>SYRM</t>
        </is>
      </c>
      <c r="L229" t="inlineStr"/>
      <c r="M229" s="8" t="n">
        <v>46252.31561342593</v>
      </c>
      <c r="N229" t="inlineStr">
        <is>
          <t>Greer Osgood</t>
        </is>
      </c>
      <c r="O229" s="8" t="n"/>
      <c r="Q229" t="inlineStr">
        <is>
          <t>PENDING_APPROVAL</t>
        </is>
      </c>
      <c r="R229" t="inlineStr">
        <is>
          <t>SYRM_ACKNOWLEDGED</t>
        </is>
      </c>
      <c r="S229" t="inlineStr">
        <is>
          <t>View details</t>
        </is>
      </c>
    </row>
    <row r="230">
      <c r="A230" t="inlineStr">
        <is>
          <t>284925023085</t>
        </is>
      </c>
      <c r="B230" t="inlineStr">
        <is>
          <t>Mallow Commercial Bank Mexico City</t>
        </is>
      </c>
      <c r="C230" t="inlineStr">
        <is>
          <t>150316825069</t>
        </is>
      </c>
      <c r="D230" t="inlineStr">
        <is>
          <t>Bramble Bank Milan</t>
        </is>
      </c>
      <c r="E230" t="inlineStr">
        <is>
          <t>MXN</t>
        </is>
      </c>
      <c r="F230" t="inlineStr">
        <is>
          <t>NT26081800224</t>
        </is>
      </c>
      <c r="G230" s="6" t="n">
        <v>46252</v>
      </c>
      <c r="H230" s="7" t="n">
        <v>238783454.043</v>
      </c>
      <c r="I230" t="inlineStr">
        <is>
          <t>GBP</t>
        </is>
      </c>
      <c r="J230" s="7" t="n">
        <v>10219931.833</v>
      </c>
      <c r="K230" t="inlineStr">
        <is>
          <t>SYRM</t>
        </is>
      </c>
      <c r="L230" t="inlineStr">
        <is>
          <t>Liquidity sweep</t>
        </is>
      </c>
      <c r="M230" s="8" t="n">
        <v>46252.86917824074</v>
      </c>
      <c r="N230" t="inlineStr">
        <is>
          <t>Quinn Brookes</t>
        </is>
      </c>
      <c r="O230" s="8" t="n">
        <v>46252.91501157408</v>
      </c>
      <c r="P230" t="inlineStr">
        <is>
          <t>Avery Prentice</t>
        </is>
      </c>
      <c r="Q230" t="inlineStr">
        <is>
          <t>LEDGER_OR_CASHFLOW_RECEIVED</t>
        </is>
      </c>
      <c r="R230" t="inlineStr">
        <is>
          <t>SYRM_ACKNOWLEDGED</t>
        </is>
      </c>
      <c r="S230" t="inlineStr">
        <is>
          <t>View details</t>
        </is>
      </c>
    </row>
    <row r="231">
      <c r="A231" t="inlineStr">
        <is>
          <t>171857983160</t>
        </is>
      </c>
      <c r="B231" t="inlineStr">
        <is>
          <t>Dunlin Commercial Bank Warsaw</t>
        </is>
      </c>
      <c r="C231" t="inlineStr">
        <is>
          <t>468341071172</t>
        </is>
      </c>
      <c r="D231" t="inlineStr">
        <is>
          <t>Ironbark Trust Dublin</t>
        </is>
      </c>
      <c r="E231" t="inlineStr">
        <is>
          <t>AUD</t>
        </is>
      </c>
      <c r="F231" t="inlineStr">
        <is>
          <t>NT26081800225</t>
        </is>
      </c>
      <c r="G231" s="6" t="n">
        <v>46252</v>
      </c>
      <c r="H231" s="7" t="n">
        <v>20956781.552</v>
      </c>
      <c r="I231" t="inlineStr">
        <is>
          <t>GBP</t>
        </is>
      </c>
      <c r="J231" s="7" t="n">
        <v>10750828.936</v>
      </c>
      <c r="K231" t="inlineStr">
        <is>
          <t>SYRM</t>
        </is>
      </c>
      <c r="L231" t="inlineStr"/>
      <c r="M231" s="8" t="n">
        <v>46252.58449074074</v>
      </c>
      <c r="N231" t="inlineStr">
        <is>
          <t>Wren Fairweather</t>
        </is>
      </c>
      <c r="O231" s="8" t="n">
        <v>46252.63032407407</v>
      </c>
      <c r="P231" t="inlineStr">
        <is>
          <t>Oakley Novak</t>
        </is>
      </c>
      <c r="Q231" t="inlineStr">
        <is>
          <t>LEDGER_OR_CASHFLOW_RECEIVED</t>
        </is>
      </c>
      <c r="R231" t="inlineStr">
        <is>
          <t>SYRM_ACKNOWLEDGED</t>
        </is>
      </c>
      <c r="S231" t="inlineStr">
        <is>
          <t>View details</t>
        </is>
      </c>
    </row>
    <row r="232">
      <c r="A232" t="inlineStr">
        <is>
          <t>910703979141</t>
        </is>
      </c>
      <c r="B232" t="inlineStr">
        <is>
          <t>Zephyr Commercial Bank Oslo</t>
        </is>
      </c>
      <c r="C232" t="inlineStr">
        <is>
          <t>968942362772</t>
        </is>
      </c>
      <c r="D232" t="inlineStr">
        <is>
          <t>Mallow Trust Frankfurt</t>
        </is>
      </c>
      <c r="E232" t="inlineStr">
        <is>
          <t>CHF</t>
        </is>
      </c>
      <c r="F232" t="inlineStr">
        <is>
          <t>NT26081800226</t>
        </is>
      </c>
      <c r="G232" s="6" t="n">
        <v>46252</v>
      </c>
      <c r="H232" s="7" t="n">
        <v>868505574.4529999</v>
      </c>
      <c r="I232" t="inlineStr">
        <is>
          <t>GBP</t>
        </is>
      </c>
      <c r="J232" s="7" t="n">
        <v>779049500.284</v>
      </c>
      <c r="K232" t="inlineStr">
        <is>
          <t>SWIFT</t>
        </is>
      </c>
      <c r="L232" t="inlineStr">
        <is>
          <t>Intraday top-up</t>
        </is>
      </c>
      <c r="M232" s="8" t="n">
        <v>46252.60152777778</v>
      </c>
      <c r="N232" t="inlineStr">
        <is>
          <t>Finley Jennings</t>
        </is>
      </c>
      <c r="O232" s="8" t="n">
        <v>46252.63138888889</v>
      </c>
      <c r="P232" t="inlineStr">
        <is>
          <t>Noor Brookes</t>
        </is>
      </c>
      <c r="Q232" t="inlineStr">
        <is>
          <t>LEDGER_OR_CASHFLOW_RECEIVED</t>
        </is>
      </c>
      <c r="R232" t="inlineStr">
        <is>
          <t>SYRM_ACKNOWLEDGED</t>
        </is>
      </c>
      <c r="S232" t="inlineStr">
        <is>
          <t>View details</t>
        </is>
      </c>
    </row>
    <row r="233">
      <c r="A233" t="inlineStr">
        <is>
          <t>898317028833</t>
        </is>
      </c>
      <c r="B233" t="inlineStr">
        <is>
          <t>Nightjar Bank Stockholm</t>
        </is>
      </c>
      <c r="C233" t="inlineStr">
        <is>
          <t>120047354818</t>
        </is>
      </c>
      <c r="D233" t="inlineStr">
        <is>
          <t>Wrenfield Commercial Bank Oslo</t>
        </is>
      </c>
      <c r="E233" t="inlineStr">
        <is>
          <t>GBP</t>
        </is>
      </c>
      <c r="F233" t="inlineStr">
        <is>
          <t>NT26081800227</t>
        </is>
      </c>
      <c r="G233" s="6" t="n">
        <v>46252</v>
      </c>
      <c r="H233" s="7" t="n">
        <v>3613921.202</v>
      </c>
      <c r="I233" t="inlineStr">
        <is>
          <t>GBP</t>
        </is>
      </c>
      <c r="J233" s="7" t="n">
        <v>3613921.202</v>
      </c>
      <c r="K233" t="inlineStr">
        <is>
          <t>SYRM</t>
        </is>
      </c>
      <c r="L233" t="inlineStr"/>
      <c r="M233" s="8" t="n">
        <v>46252.29959490741</v>
      </c>
      <c r="N233" t="inlineStr">
        <is>
          <t>Kai Novak</t>
        </is>
      </c>
      <c r="O233" s="8" t="n">
        <v>46252.34403935185</v>
      </c>
      <c r="P233" t="inlineStr">
        <is>
          <t>Quinn Lindqvist</t>
        </is>
      </c>
      <c r="Q233" t="inlineStr">
        <is>
          <t>LEDGER_OR_CASHFLOW_RECEIVED</t>
        </is>
      </c>
      <c r="R233" t="inlineStr">
        <is>
          <t>SYRM_PENDING</t>
        </is>
      </c>
      <c r="S233" t="inlineStr">
        <is>
          <t>View details</t>
        </is>
      </c>
    </row>
    <row r="234">
      <c r="A234" t="inlineStr">
        <is>
          <t>468341071172</t>
        </is>
      </c>
      <c r="B234" t="inlineStr">
        <is>
          <t>Mallow Settlement Bank Oslo</t>
        </is>
      </c>
      <c r="C234" t="inlineStr">
        <is>
          <t>794226063698</t>
        </is>
      </c>
      <c r="D234" t="inlineStr">
        <is>
          <t>Umberton Trust Tokyo</t>
        </is>
      </c>
      <c r="E234" t="inlineStr">
        <is>
          <t>EUR</t>
        </is>
      </c>
      <c r="F234" t="inlineStr">
        <is>
          <t>NT26081800228</t>
        </is>
      </c>
      <c r="G234" s="6" t="n">
        <v>46252</v>
      </c>
      <c r="H234" s="7" t="n">
        <v>672760852.475</v>
      </c>
      <c r="I234" t="inlineStr">
        <is>
          <t>GBP</t>
        </is>
      </c>
      <c r="J234" s="7" t="n">
        <v>577228811.424</v>
      </c>
      <c r="K234" t="inlineStr">
        <is>
          <t>SYRM</t>
        </is>
      </c>
      <c r="L234" t="inlineStr">
        <is>
          <t>Balance alignment</t>
        </is>
      </c>
      <c r="M234" s="8" t="n">
        <v>46252.42125</v>
      </c>
      <c r="N234" t="inlineStr">
        <is>
          <t>Harper Hollis</t>
        </is>
      </c>
      <c r="O234" s="8" t="n">
        <v>46252.46986111111</v>
      </c>
      <c r="P234" t="inlineStr">
        <is>
          <t>Wren Fairweather</t>
        </is>
      </c>
      <c r="Q234" t="inlineStr">
        <is>
          <t>LEDGER_OR_CASHFLOW_RECEIVED</t>
        </is>
      </c>
      <c r="R234" t="inlineStr">
        <is>
          <t>SYRM_ACKNOWLEDGED</t>
        </is>
      </c>
      <c r="S234" t="inlineStr">
        <is>
          <t>View details</t>
        </is>
      </c>
    </row>
    <row r="235">
      <c r="A235" t="inlineStr">
        <is>
          <t>968942362772</t>
        </is>
      </c>
      <c r="B235" t="inlineStr">
        <is>
          <t>Zephyr Settlement Bank Sydney</t>
        </is>
      </c>
      <c r="C235" t="inlineStr">
        <is>
          <t>499062838623</t>
        </is>
      </c>
      <c r="D235" t="inlineStr">
        <is>
          <t>Mallow Settlement Bank Oslo</t>
        </is>
      </c>
      <c r="E235" t="inlineStr">
        <is>
          <t>EUR</t>
        </is>
      </c>
      <c r="F235" t="inlineStr">
        <is>
          <t>NT26081800229</t>
        </is>
      </c>
      <c r="G235" s="6" t="n">
        <v>46252</v>
      </c>
      <c r="H235" s="7" t="n">
        <v>89200002.161</v>
      </c>
      <c r="I235" t="inlineStr">
        <is>
          <t>GBP</t>
        </is>
      </c>
      <c r="J235" s="7" t="n">
        <v>76533601.854</v>
      </c>
      <c r="K235" t="inlineStr">
        <is>
          <t>INTERNAL</t>
        </is>
      </c>
      <c r="L235" t="inlineStr">
        <is>
          <t>Liquidity sweep</t>
        </is>
      </c>
      <c r="M235" s="8" t="n">
        <v>46252.47125</v>
      </c>
      <c r="N235" t="inlineStr">
        <is>
          <t>Harper Calloway</t>
        </is>
      </c>
      <c r="O235" s="8" t="n">
        <v>46252.52680555556</v>
      </c>
      <c r="P235" t="inlineStr">
        <is>
          <t>Greer Prentice</t>
        </is>
      </c>
      <c r="Q235" t="inlineStr">
        <is>
          <t>LEDGER_OR_CASHFLOW_RECEIVED</t>
        </is>
      </c>
      <c r="R235" t="inlineStr">
        <is>
          <t>SYRM_ACKNOWLEDGED</t>
        </is>
      </c>
      <c r="S235" t="inlineStr">
        <is>
          <t>View details</t>
        </is>
      </c>
    </row>
    <row r="236">
      <c r="A236" t="inlineStr">
        <is>
          <t>700726936098</t>
        </is>
      </c>
      <c r="B236" t="inlineStr">
        <is>
          <t>Umberton Commercial Bank Mexico City</t>
        </is>
      </c>
      <c r="C236" t="inlineStr">
        <is>
          <t>468341071172</t>
        </is>
      </c>
      <c r="D236" t="inlineStr">
        <is>
          <t>Juniper Commercial Bank Warsaw</t>
        </is>
      </c>
      <c r="E236" t="inlineStr">
        <is>
          <t>SAR</t>
        </is>
      </c>
      <c r="F236" t="inlineStr">
        <is>
          <t>NT26081800230</t>
        </is>
      </c>
      <c r="G236" s="6" t="n">
        <v>46252</v>
      </c>
      <c r="H236" s="7" t="n">
        <v>130740.042</v>
      </c>
      <c r="I236" t="inlineStr">
        <is>
          <t>GBP</t>
        </is>
      </c>
      <c r="J236" s="7" t="n">
        <v>27324.669</v>
      </c>
      <c r="K236" t="inlineStr">
        <is>
          <t>SYRM</t>
        </is>
      </c>
      <c r="L236" t="inlineStr">
        <is>
          <t>Funding move</t>
        </is>
      </c>
      <c r="M236" s="8" t="n">
        <v>46252.47295138889</v>
      </c>
      <c r="N236" t="inlineStr">
        <is>
          <t>Quinn Brookes</t>
        </is>
      </c>
      <c r="O236" s="8" t="n">
        <v>46252.53892361111</v>
      </c>
      <c r="P236" t="inlineStr">
        <is>
          <t>Harper Calloway</t>
        </is>
      </c>
      <c r="Q236" t="inlineStr">
        <is>
          <t>LEDGER_OR_CASHFLOW_RECEIVED</t>
        </is>
      </c>
      <c r="R236" t="inlineStr">
        <is>
          <t>SYRM_ACKNOWLEDGED</t>
        </is>
      </c>
      <c r="S236" t="inlineStr">
        <is>
          <t>View details</t>
        </is>
      </c>
    </row>
    <row r="237">
      <c r="A237" t="inlineStr">
        <is>
          <t>968942362772</t>
        </is>
      </c>
      <c r="B237" t="inlineStr">
        <is>
          <t>Oriel Settlement Bank Madrid</t>
        </is>
      </c>
      <c r="C237" t="inlineStr">
        <is>
          <t>171857983160</t>
        </is>
      </c>
      <c r="D237" t="inlineStr">
        <is>
          <t>Wrenfield Clearing Frankfurt</t>
        </is>
      </c>
      <c r="E237" t="inlineStr">
        <is>
          <t>EUR</t>
        </is>
      </c>
      <c r="F237" t="inlineStr">
        <is>
          <t>NT26081800231</t>
        </is>
      </c>
      <c r="G237" s="6" t="n">
        <v>46252</v>
      </c>
      <c r="H237" s="7" t="n">
        <v>1899553.891</v>
      </c>
      <c r="I237" t="inlineStr">
        <is>
          <t>GBP</t>
        </is>
      </c>
      <c r="J237" s="7" t="n">
        <v>1629817.238</v>
      </c>
      <c r="K237" t="inlineStr">
        <is>
          <t>SWIFT</t>
        </is>
      </c>
      <c r="L237" t="inlineStr"/>
      <c r="M237" s="8" t="n">
        <v>46252.89005787037</v>
      </c>
      <c r="N237" t="inlineStr">
        <is>
          <t>Quinn Brookes</t>
        </is>
      </c>
      <c r="O237" s="8" t="n"/>
      <c r="Q237" t="inlineStr">
        <is>
          <t>PENDING_APPROVAL</t>
        </is>
      </c>
      <c r="R237" t="inlineStr">
        <is>
          <t>SYRM_ACKNOWLEDGED</t>
        </is>
      </c>
      <c r="S237" t="inlineStr">
        <is>
          <t>View details</t>
        </is>
      </c>
    </row>
    <row r="238">
      <c r="A238" t="inlineStr">
        <is>
          <t>468341071172</t>
        </is>
      </c>
      <c r="B238" t="inlineStr">
        <is>
          <t>Mallow Commercial Bank Mexico City</t>
        </is>
      </c>
      <c r="C238" t="inlineStr">
        <is>
          <t>132544340094</t>
        </is>
      </c>
      <c r="D238" t="inlineStr">
        <is>
          <t>Nightjar Bank Stockholm</t>
        </is>
      </c>
      <c r="E238" t="inlineStr">
        <is>
          <t>EUR</t>
        </is>
      </c>
      <c r="F238" t="inlineStr">
        <is>
          <t>NT26081800232</t>
        </is>
      </c>
      <c r="G238" s="6" t="n">
        <v>46252</v>
      </c>
      <c r="H238" s="7" t="n">
        <v>20142.617</v>
      </c>
      <c r="I238" t="inlineStr">
        <is>
          <t>GBP</t>
        </is>
      </c>
      <c r="J238" s="7" t="n">
        <v>17282.365</v>
      </c>
      <c r="K238" t="inlineStr">
        <is>
          <t>SYRM</t>
        </is>
      </c>
      <c r="L238" t="inlineStr">
        <is>
          <t>Funding move</t>
        </is>
      </c>
      <c r="M238" s="8" t="n">
        <v>46252.38767361111</v>
      </c>
      <c r="N238" t="inlineStr">
        <is>
          <t>Oakley Novak</t>
        </is>
      </c>
      <c r="O238" s="8" t="n">
        <v>46252.44322916667</v>
      </c>
      <c r="P238" t="inlineStr">
        <is>
          <t>Marlow Rhodes</t>
        </is>
      </c>
      <c r="Q238" t="inlineStr">
        <is>
          <t>LEDGER_OR_CASHFLOW_RECEIVED</t>
        </is>
      </c>
      <c r="R238" t="inlineStr">
        <is>
          <t>SYRM_ACKNOWLEDGED</t>
        </is>
      </c>
      <c r="S238" t="inlineStr">
        <is>
          <t>View details</t>
        </is>
      </c>
    </row>
    <row r="239">
      <c r="A239" t="inlineStr">
        <is>
          <t>150316825069</t>
        </is>
      </c>
      <c r="B239" t="inlineStr">
        <is>
          <t>Oriel Commercial Bank Toronto</t>
        </is>
      </c>
      <c r="C239" t="inlineStr">
        <is>
          <t>968942362772</t>
        </is>
      </c>
      <c r="D239" t="inlineStr">
        <is>
          <t>Nightjar Clearing Dublin</t>
        </is>
      </c>
      <c r="E239" t="inlineStr">
        <is>
          <t>GBP</t>
        </is>
      </c>
      <c r="F239" t="inlineStr">
        <is>
          <t>NT26081800233</t>
        </is>
      </c>
      <c r="G239" s="6" t="n">
        <v>46252</v>
      </c>
      <c r="H239" s="7" t="n">
        <v>410781883.015</v>
      </c>
      <c r="I239" t="inlineStr">
        <is>
          <t>GBP</t>
        </is>
      </c>
      <c r="J239" s="7" t="n">
        <v>410781883.015</v>
      </c>
      <c r="K239" t="inlineStr">
        <is>
          <t>SYRM</t>
        </is>
      </c>
      <c r="L239" t="inlineStr">
        <is>
          <t>Funding move</t>
        </is>
      </c>
      <c r="M239" s="8" t="n">
        <v>46252.6524074074</v>
      </c>
      <c r="N239" t="inlineStr">
        <is>
          <t>Oakley Rhodes</t>
        </is>
      </c>
      <c r="O239" s="8" t="n">
        <v>46252.67254629629</v>
      </c>
      <c r="P239" t="inlineStr">
        <is>
          <t>Ellis Gallagher</t>
        </is>
      </c>
      <c r="Q239" t="inlineStr">
        <is>
          <t>LEDGER_OR_CASHFLOW_RECEIVED</t>
        </is>
      </c>
      <c r="R239" t="inlineStr">
        <is>
          <t>SYRM_ACKNOWLEDGED</t>
        </is>
      </c>
      <c r="S239" t="inlineStr">
        <is>
          <t>View details</t>
        </is>
      </c>
    </row>
    <row r="240">
      <c r="A240" t="inlineStr">
        <is>
          <t>898317028833</t>
        </is>
      </c>
      <c r="B240" t="inlineStr">
        <is>
          <t>Harrow Bank Milan</t>
        </is>
      </c>
      <c r="C240" t="inlineStr">
        <is>
          <t>171857983160</t>
        </is>
      </c>
      <c r="D240" t="inlineStr">
        <is>
          <t>Zephyr Commercial Bank Oslo</t>
        </is>
      </c>
      <c r="E240" t="inlineStr">
        <is>
          <t>GBP</t>
        </is>
      </c>
      <c r="F240" t="inlineStr">
        <is>
          <t>NT26081800234</t>
        </is>
      </c>
      <c r="G240" s="6" t="n">
        <v>46252</v>
      </c>
      <c r="H240" s="7" t="n">
        <v>7.004</v>
      </c>
      <c r="I240" t="inlineStr">
        <is>
          <t>GBP</t>
        </is>
      </c>
      <c r="J240" s="7" t="n">
        <v>7.004</v>
      </c>
      <c r="K240" t="inlineStr">
        <is>
          <t>SYRM</t>
        </is>
      </c>
      <c r="L240" t="inlineStr">
        <is>
          <t>Liquidity sweep</t>
        </is>
      </c>
      <c r="M240" s="8" t="n">
        <v>46252.65265046297</v>
      </c>
      <c r="N240" t="inlineStr">
        <is>
          <t>Tatum Ashford</t>
        </is>
      </c>
      <c r="O240" s="8" t="n">
        <v>46252.67348379629</v>
      </c>
      <c r="P240" t="inlineStr">
        <is>
          <t>Quinn Lindqvist</t>
        </is>
      </c>
      <c r="Q240" t="inlineStr">
        <is>
          <t>LEDGER_OR_CASHFLOW_RECEIVED</t>
        </is>
      </c>
      <c r="R240" t="inlineStr">
        <is>
          <t>SYRM_ACKNOWLEDGED</t>
        </is>
      </c>
      <c r="S240" t="inlineStr">
        <is>
          <t>View details</t>
        </is>
      </c>
    </row>
    <row r="241">
      <c r="A241" t="inlineStr">
        <is>
          <t>953625291146</t>
        </is>
      </c>
      <c r="B241" t="inlineStr">
        <is>
          <t>Wrenfield Trust Tokyo</t>
        </is>
      </c>
      <c r="C241" t="inlineStr">
        <is>
          <t>700726936098</t>
        </is>
      </c>
      <c r="D241" t="inlineStr">
        <is>
          <t>Yarrow Settlement Bank Oslo</t>
        </is>
      </c>
      <c r="E241" t="inlineStr">
        <is>
          <t>USD</t>
        </is>
      </c>
      <c r="F241" t="inlineStr">
        <is>
          <t>NT26081800235</t>
        </is>
      </c>
      <c r="G241" s="6" t="n">
        <v>46252</v>
      </c>
      <c r="H241" s="7" t="n">
        <v>117184.071</v>
      </c>
      <c r="I241" t="inlineStr">
        <is>
          <t>GBP</t>
        </is>
      </c>
      <c r="J241" s="7" t="n">
        <v>91872.31200000001</v>
      </c>
      <c r="K241" t="inlineStr">
        <is>
          <t>INTERNAL</t>
        </is>
      </c>
      <c r="L241" t="inlineStr">
        <is>
          <t>Intraday top-up</t>
        </is>
      </c>
      <c r="M241" s="8" t="n">
        <v>46252.50466435185</v>
      </c>
      <c r="N241" t="inlineStr">
        <is>
          <t>Marlow Thorne</t>
        </is>
      </c>
      <c r="O241" s="8" t="n">
        <v>46252.52202546296</v>
      </c>
      <c r="P241" t="inlineStr">
        <is>
          <t>Finley Sinclair</t>
        </is>
      </c>
      <c r="Q241" t="inlineStr">
        <is>
          <t>LEDGER_OR_CASHFLOW_RECEIVED</t>
        </is>
      </c>
      <c r="R241" t="inlineStr">
        <is>
          <t>SYRM_ACKNOWLEDGED</t>
        </is>
      </c>
      <c r="S241" t="inlineStr">
        <is>
          <t>View details</t>
        </is>
      </c>
    </row>
    <row r="242">
      <c r="A242" t="inlineStr">
        <is>
          <t>265771593142</t>
        </is>
      </c>
      <c r="B242" t="inlineStr">
        <is>
          <t>Juniper Commercial Bank Warsaw</t>
        </is>
      </c>
      <c r="C242" t="inlineStr">
        <is>
          <t>794226063698</t>
        </is>
      </c>
      <c r="D242" t="inlineStr">
        <is>
          <t>Nightjar Clearing Dublin</t>
        </is>
      </c>
      <c r="E242" t="inlineStr">
        <is>
          <t>EUR</t>
        </is>
      </c>
      <c r="F242" t="inlineStr">
        <is>
          <t>NT26081800236</t>
        </is>
      </c>
      <c r="G242" s="6" t="n">
        <v>46252</v>
      </c>
      <c r="H242" s="7" t="n">
        <v>26486903.487</v>
      </c>
      <c r="I242" t="inlineStr">
        <is>
          <t>GBP</t>
        </is>
      </c>
      <c r="J242" s="7" t="n">
        <v>22725763.192</v>
      </c>
      <c r="K242" t="inlineStr">
        <is>
          <t>SWIFT</t>
        </is>
      </c>
      <c r="L242" t="inlineStr">
        <is>
          <t>Balance alignment</t>
        </is>
      </c>
      <c r="M242" s="8" t="n">
        <v>46252.65436342593</v>
      </c>
      <c r="N242" t="inlineStr">
        <is>
          <t>Wren Fairweather</t>
        </is>
      </c>
      <c r="O242" s="8" t="n">
        <v>46252.68422453704</v>
      </c>
      <c r="P242" t="inlineStr">
        <is>
          <t>Oakley Prentice</t>
        </is>
      </c>
      <c r="Q242" t="inlineStr">
        <is>
          <t>LEDGER_OR_CASHFLOW_RECEIVED</t>
        </is>
      </c>
      <c r="R242" t="inlineStr">
        <is>
          <t>SYRM_ACKNOWLEDGED</t>
        </is>
      </c>
      <c r="S242" t="inlineStr">
        <is>
          <t>View details</t>
        </is>
      </c>
    </row>
    <row r="243">
      <c r="A243" t="inlineStr">
        <is>
          <t>284925023085</t>
        </is>
      </c>
      <c r="B243" t="inlineStr">
        <is>
          <t>Pinehurst Commercial Bank Stockholm</t>
        </is>
      </c>
      <c r="C243" t="inlineStr">
        <is>
          <t>621381112674</t>
        </is>
      </c>
      <c r="D243" t="inlineStr">
        <is>
          <t>Mallow Settlement Bank Oslo</t>
        </is>
      </c>
      <c r="E243" t="inlineStr">
        <is>
          <t>MXN</t>
        </is>
      </c>
      <c r="F243" t="inlineStr">
        <is>
          <t>NT26081800237</t>
        </is>
      </c>
      <c r="G243" s="6" t="n">
        <v>46252</v>
      </c>
      <c r="H243" s="7" t="n">
        <v>688541.079</v>
      </c>
      <c r="I243" t="inlineStr">
        <is>
          <t>GBP</t>
        </is>
      </c>
      <c r="J243" s="7" t="n">
        <v>29469.558</v>
      </c>
      <c r="K243" t="inlineStr">
        <is>
          <t>SYRM</t>
        </is>
      </c>
      <c r="L243" t="inlineStr">
        <is>
          <t>Balance alignment</t>
        </is>
      </c>
      <c r="M243" s="8" t="n">
        <v>46252.37706018519</v>
      </c>
      <c r="N243" t="inlineStr">
        <is>
          <t>Marlow Rhodes</t>
        </is>
      </c>
      <c r="O243" s="8" t="n">
        <v>46252.40344907407</v>
      </c>
      <c r="P243" t="inlineStr">
        <is>
          <t>Marlow Thorne</t>
        </is>
      </c>
      <c r="Q243" t="inlineStr">
        <is>
          <t>LEDGER_OR_CASHFLOW_RECEIVED</t>
        </is>
      </c>
      <c r="R243" t="inlineStr">
        <is>
          <t>SYRM_ACKNOWLEDGED</t>
        </is>
      </c>
      <c r="S243" t="inlineStr">
        <is>
          <t>View details</t>
        </is>
      </c>
    </row>
    <row r="244">
      <c r="A244" t="inlineStr">
        <is>
          <t>910703979141</t>
        </is>
      </c>
      <c r="B244" t="inlineStr">
        <is>
          <t>Zephyr Commercial Bank Oslo</t>
        </is>
      </c>
      <c r="C244" t="inlineStr">
        <is>
          <t>794226063698</t>
        </is>
      </c>
      <c r="D244" t="inlineStr">
        <is>
          <t>Wrenfield Trust Tokyo</t>
        </is>
      </c>
      <c r="E244" t="inlineStr">
        <is>
          <t>CHF</t>
        </is>
      </c>
      <c r="F244" t="inlineStr">
        <is>
          <t>NT26081800238</t>
        </is>
      </c>
      <c r="G244" s="6" t="n">
        <v>46252</v>
      </c>
      <c r="H244" s="7" t="n">
        <v>7795905.881</v>
      </c>
      <c r="I244" t="inlineStr">
        <is>
          <t>GBP</t>
        </is>
      </c>
      <c r="J244" s="7" t="n">
        <v>6992927.575</v>
      </c>
      <c r="K244" t="inlineStr">
        <is>
          <t>SYRM</t>
        </is>
      </c>
      <c r="L244" t="inlineStr">
        <is>
          <t>Intraday top-up</t>
        </is>
      </c>
      <c r="M244" s="8" t="n">
        <v>46252.70944444444</v>
      </c>
      <c r="N244" t="inlineStr">
        <is>
          <t>Tatum Ashford</t>
        </is>
      </c>
      <c r="O244" s="8" t="n">
        <v>46252.74694444444</v>
      </c>
      <c r="P244" t="inlineStr">
        <is>
          <t>Marlow Thorne</t>
        </is>
      </c>
      <c r="Q244" t="inlineStr">
        <is>
          <t>LEDGER_OR_CASHFLOW_RECEIVED</t>
        </is>
      </c>
      <c r="R244" t="inlineStr">
        <is>
          <t>SYRM_ACKNOWLEDGED</t>
        </is>
      </c>
      <c r="S244" t="inlineStr">
        <is>
          <t>View details</t>
        </is>
      </c>
    </row>
    <row r="245">
      <c r="A245" t="inlineStr">
        <is>
          <t>910703979141</t>
        </is>
      </c>
      <c r="B245" t="inlineStr">
        <is>
          <t>Juniper Commercial Bank Warsaw</t>
        </is>
      </c>
      <c r="C245" t="inlineStr">
        <is>
          <t>824840705580</t>
        </is>
      </c>
      <c r="D245" t="inlineStr">
        <is>
          <t>Fernway Clearing Frankfurt</t>
        </is>
      </c>
      <c r="E245" t="inlineStr">
        <is>
          <t>CHF</t>
        </is>
      </c>
      <c r="F245" t="inlineStr">
        <is>
          <t>NT26081800239</t>
        </is>
      </c>
      <c r="G245" s="6" t="n">
        <v>46252</v>
      </c>
      <c r="H245" s="7" t="n">
        <v>19261.554</v>
      </c>
      <c r="I245" t="inlineStr">
        <is>
          <t>GBP</t>
        </is>
      </c>
      <c r="J245" s="7" t="n">
        <v>17277.614</v>
      </c>
      <c r="K245" t="inlineStr">
        <is>
          <t>SWIFT</t>
        </is>
      </c>
      <c r="L245" t="inlineStr">
        <is>
          <t>Funding move</t>
        </is>
      </c>
      <c r="M245" s="8" t="n">
        <v>46252.60974537037</v>
      </c>
      <c r="N245" t="inlineStr">
        <is>
          <t>Quinn Hollis</t>
        </is>
      </c>
      <c r="O245" s="8" t="n">
        <v>46252.67155092592</v>
      </c>
      <c r="P245" t="inlineStr">
        <is>
          <t>Sawyer Calloway</t>
        </is>
      </c>
      <c r="Q245" t="inlineStr">
        <is>
          <t>LEDGER_OR_CASHFLOW_RECEIVED</t>
        </is>
      </c>
      <c r="R245" t="inlineStr">
        <is>
          <t>SYRM_ACKNOWLEDGED</t>
        </is>
      </c>
      <c r="S245" t="inlineStr">
        <is>
          <t>View details</t>
        </is>
      </c>
    </row>
    <row r="246">
      <c r="A246" t="inlineStr">
        <is>
          <t>150316825069</t>
        </is>
      </c>
      <c r="B246" t="inlineStr">
        <is>
          <t>Dunlin Commercial Bank Warsaw</t>
        </is>
      </c>
      <c r="C246" t="inlineStr">
        <is>
          <t>284925023085</t>
        </is>
      </c>
      <c r="D246" t="inlineStr">
        <is>
          <t>Redstart Commercial Bank Stockholm</t>
        </is>
      </c>
      <c r="E246" t="inlineStr">
        <is>
          <t>GBP</t>
        </is>
      </c>
      <c r="F246" t="inlineStr">
        <is>
          <t>NT26081800240</t>
        </is>
      </c>
      <c r="G246" s="6" t="n">
        <v>46252</v>
      </c>
      <c r="H246" s="7" t="n">
        <v>405988744.053</v>
      </c>
      <c r="I246" t="inlineStr">
        <is>
          <t>GBP</t>
        </is>
      </c>
      <c r="J246" s="7" t="n">
        <v>405988744.053</v>
      </c>
      <c r="K246" t="inlineStr">
        <is>
          <t>SYRM</t>
        </is>
      </c>
      <c r="L246" t="inlineStr">
        <is>
          <t>Intraday top-up</t>
        </is>
      </c>
      <c r="M246" s="8" t="n">
        <v>46252.67283564815</v>
      </c>
      <c r="N246" t="inlineStr">
        <is>
          <t>Kai Merrick</t>
        </is>
      </c>
      <c r="O246" s="8" t="n">
        <v>46252.73811342593</v>
      </c>
      <c r="P246" t="inlineStr">
        <is>
          <t>Oakley Prentice</t>
        </is>
      </c>
      <c r="Q246" t="inlineStr">
        <is>
          <t>LEDGER_OR_CASHFLOW_RECEIVED</t>
        </is>
      </c>
      <c r="R246" t="inlineStr">
        <is>
          <t>SYRM_ACKNOWLEDGED</t>
        </is>
      </c>
      <c r="S246" t="inlineStr">
        <is>
          <t>View details</t>
        </is>
      </c>
    </row>
    <row r="247">
      <c r="A247" t="inlineStr">
        <is>
          <t>150316825069</t>
        </is>
      </c>
      <c r="B247" t="inlineStr">
        <is>
          <t>Pinehurst Clearing Oslo</t>
        </is>
      </c>
      <c r="C247" t="inlineStr">
        <is>
          <t>499062838623</t>
        </is>
      </c>
      <c r="D247" t="inlineStr">
        <is>
          <t>Pinehurst Commercial Bank Sydney</t>
        </is>
      </c>
      <c r="E247" t="inlineStr">
        <is>
          <t>GBP</t>
        </is>
      </c>
      <c r="F247" t="inlineStr">
        <is>
          <t>NT26081800241</t>
        </is>
      </c>
      <c r="G247" s="6" t="n">
        <v>46252</v>
      </c>
      <c r="H247" s="7" t="n">
        <v>106030.077</v>
      </c>
      <c r="I247" t="inlineStr">
        <is>
          <t>GBP</t>
        </is>
      </c>
      <c r="J247" s="7" t="n">
        <v>106030.077</v>
      </c>
      <c r="K247" t="inlineStr">
        <is>
          <t>SYRM</t>
        </is>
      </c>
      <c r="L247" t="inlineStr">
        <is>
          <t>Liquidity sweep</t>
        </is>
      </c>
      <c r="M247" s="8" t="n">
        <v>46252.37533564815</v>
      </c>
      <c r="N247" t="inlineStr">
        <is>
          <t>Harper Hollis</t>
        </is>
      </c>
      <c r="O247" s="8" t="n">
        <v>46252.38297453704</v>
      </c>
      <c r="P247" t="inlineStr">
        <is>
          <t>Kai Novak</t>
        </is>
      </c>
      <c r="Q247" t="inlineStr">
        <is>
          <t>LEDGER_OR_CASHFLOW_RECEIVED</t>
        </is>
      </c>
      <c r="R247" t="inlineStr">
        <is>
          <t>SYRM_ACKNOWLEDGED</t>
        </is>
      </c>
      <c r="S247" t="inlineStr">
        <is>
          <t>View details</t>
        </is>
      </c>
    </row>
    <row r="248">
      <c r="A248" t="inlineStr">
        <is>
          <t>265771593142</t>
        </is>
      </c>
      <c r="B248" t="inlineStr">
        <is>
          <t>Fernway Clearing Frankfurt</t>
        </is>
      </c>
      <c r="C248" t="inlineStr">
        <is>
          <t>171857983160</t>
        </is>
      </c>
      <c r="D248" t="inlineStr">
        <is>
          <t>Ironbark Trust Dublin</t>
        </is>
      </c>
      <c r="E248" t="inlineStr">
        <is>
          <t>EUR</t>
        </is>
      </c>
      <c r="F248" t="inlineStr">
        <is>
          <t>NT26081800242</t>
        </is>
      </c>
      <c r="G248" s="6" t="n">
        <v>46252</v>
      </c>
      <c r="H248" s="7" t="n">
        <v>26175844679.096</v>
      </c>
      <c r="I248" t="inlineStr">
        <is>
          <t>GBP</t>
        </is>
      </c>
      <c r="J248" s="7" t="n">
        <v>22458874734.664</v>
      </c>
      <c r="K248" t="inlineStr">
        <is>
          <t>SYRM</t>
        </is>
      </c>
      <c r="L248" t="inlineStr">
        <is>
          <t>Balance alignment</t>
        </is>
      </c>
      <c r="M248" s="8" t="n">
        <v>46252.58414351852</v>
      </c>
      <c r="N248" t="inlineStr">
        <is>
          <t>Ellis Gallagher</t>
        </is>
      </c>
      <c r="O248" s="8" t="n">
        <v>46252.64664351852</v>
      </c>
      <c r="P248" t="inlineStr">
        <is>
          <t>Oakley Prentice</t>
        </is>
      </c>
      <c r="Q248" t="inlineStr">
        <is>
          <t>LEDGER_OR_CASHFLOW_RECEIVED</t>
        </is>
      </c>
      <c r="R248" t="inlineStr">
        <is>
          <t>SYRM_ACKNOWLEDGED</t>
        </is>
      </c>
      <c r="S248" t="inlineStr">
        <is>
          <t>View details</t>
        </is>
      </c>
    </row>
    <row r="249">
      <c r="A249" t="inlineStr">
        <is>
          <t>150316825069</t>
        </is>
      </c>
      <c r="B249" t="inlineStr">
        <is>
          <t>Ironbark Trust Dublin</t>
        </is>
      </c>
      <c r="C249" t="inlineStr">
        <is>
          <t>150316825069</t>
        </is>
      </c>
      <c r="D249" t="inlineStr">
        <is>
          <t>Fernway Clearing Frankfurt</t>
        </is>
      </c>
      <c r="E249" t="inlineStr">
        <is>
          <t>GBP</t>
        </is>
      </c>
      <c r="F249" t="inlineStr">
        <is>
          <t>NT26081800243</t>
        </is>
      </c>
      <c r="G249" s="6" t="n">
        <v>46252</v>
      </c>
      <c r="H249" s="7" t="n">
        <v>24561221.007</v>
      </c>
      <c r="I249" t="inlineStr">
        <is>
          <t>GBP</t>
        </is>
      </c>
      <c r="J249" s="7" t="n">
        <v>24561221.007</v>
      </c>
      <c r="K249" t="inlineStr">
        <is>
          <t>SYRM</t>
        </is>
      </c>
      <c r="L249" t="inlineStr">
        <is>
          <t>Balance alignment</t>
        </is>
      </c>
      <c r="M249" s="8" t="n">
        <v>46252.3181712963</v>
      </c>
      <c r="N249" t="inlineStr">
        <is>
          <t>Kai Merrick</t>
        </is>
      </c>
      <c r="O249" s="8" t="n"/>
      <c r="Q249" t="inlineStr">
        <is>
          <t>PENDING_APPROVAL</t>
        </is>
      </c>
      <c r="R249" t="inlineStr">
        <is>
          <t>SYRM_ACKNOWLEDGED</t>
        </is>
      </c>
      <c r="S249" t="inlineStr">
        <is>
          <t>View details</t>
        </is>
      </c>
    </row>
    <row r="250">
      <c r="A250" t="inlineStr">
        <is>
          <t>499062838623</t>
        </is>
      </c>
      <c r="B250" t="inlineStr">
        <is>
          <t>Wrenfield Bank Paris</t>
        </is>
      </c>
      <c r="C250" t="inlineStr">
        <is>
          <t>910703979141</t>
        </is>
      </c>
      <c r="D250" t="inlineStr">
        <is>
          <t>Wrenfield Clearing Frankfurt</t>
        </is>
      </c>
      <c r="E250" t="inlineStr">
        <is>
          <t>USD</t>
        </is>
      </c>
      <c r="F250" t="inlineStr">
        <is>
          <t>NT26081800244</t>
        </is>
      </c>
      <c r="G250" s="6" t="n">
        <v>46252</v>
      </c>
      <c r="H250" s="7" t="n">
        <v>202900.288</v>
      </c>
      <c r="I250" t="inlineStr">
        <is>
          <t>GBP</t>
        </is>
      </c>
      <c r="J250" s="7" t="n">
        <v>159073.826</v>
      </c>
      <c r="K250" t="inlineStr">
        <is>
          <t>INTERNAL</t>
        </is>
      </c>
      <c r="L250" t="inlineStr">
        <is>
          <t>Funding move</t>
        </is>
      </c>
      <c r="M250" s="8" t="n">
        <v>46252.64329861111</v>
      </c>
      <c r="N250" t="inlineStr">
        <is>
          <t>Noor Brookes</t>
        </is>
      </c>
      <c r="O250" s="8" t="n">
        <v>46252.69885416667</v>
      </c>
      <c r="P250" t="inlineStr">
        <is>
          <t>Avery Prentice</t>
        </is>
      </c>
      <c r="Q250" t="inlineStr">
        <is>
          <t>LEDGER_OR_CASHFLOW_RECEIVED</t>
        </is>
      </c>
      <c r="R250" t="inlineStr">
        <is>
          <t>SYRM_ACKNOWLEDGED</t>
        </is>
      </c>
      <c r="S250" t="inlineStr">
        <is>
          <t>View details</t>
        </is>
      </c>
    </row>
    <row r="251">
      <c r="A251" t="inlineStr">
        <is>
          <t>150316825069</t>
        </is>
      </c>
      <c r="B251" t="inlineStr">
        <is>
          <t>Sablewood Settlement Bank Oslo</t>
        </is>
      </c>
      <c r="C251" t="inlineStr">
        <is>
          <t>794226063698</t>
        </is>
      </c>
      <c r="D251" t="inlineStr">
        <is>
          <t>Mallow Settlement Bank Oslo</t>
        </is>
      </c>
      <c r="E251" t="inlineStr">
        <is>
          <t>GBP</t>
        </is>
      </c>
      <c r="F251" t="inlineStr">
        <is>
          <t>NT26081800245</t>
        </is>
      </c>
      <c r="G251" s="6" t="n">
        <v>46252</v>
      </c>
      <c r="H251" s="7" t="n">
        <v>82275560.39</v>
      </c>
      <c r="I251" t="inlineStr">
        <is>
          <t>GBP</t>
        </is>
      </c>
      <c r="J251" s="7" t="n">
        <v>82275560.39</v>
      </c>
      <c r="K251" t="inlineStr">
        <is>
          <t>SWIFT</t>
        </is>
      </c>
      <c r="L251" t="inlineStr"/>
      <c r="M251" s="8" t="n">
        <v>46252.40503472222</v>
      </c>
      <c r="N251" t="inlineStr">
        <is>
          <t>Marlow Sinclair</t>
        </is>
      </c>
      <c r="O251" s="8" t="n">
        <v>46252.44253472222</v>
      </c>
      <c r="P251" t="inlineStr">
        <is>
          <t>Sawyer Calloway</t>
        </is>
      </c>
      <c r="Q251" t="inlineStr">
        <is>
          <t>LEDGER_RECEIVED</t>
        </is>
      </c>
      <c r="R251" t="inlineStr">
        <is>
          <t>SYRM_ACKNOWLEDGED</t>
        </is>
      </c>
      <c r="S251" t="inlineStr">
        <is>
          <t>View details</t>
        </is>
      </c>
    </row>
    <row r="252">
      <c r="A252" t="inlineStr">
        <is>
          <t>150316825069</t>
        </is>
      </c>
      <c r="B252" t="inlineStr">
        <is>
          <t>Oriel Commercial Bank Toronto</t>
        </is>
      </c>
      <c r="C252" t="inlineStr">
        <is>
          <t>927538182434</t>
        </is>
      </c>
      <c r="D252" t="inlineStr">
        <is>
          <t>Harrow Bank Milan</t>
        </is>
      </c>
      <c r="E252" t="inlineStr">
        <is>
          <t>GBP</t>
        </is>
      </c>
      <c r="F252" t="inlineStr">
        <is>
          <t>NT26081800246</t>
        </is>
      </c>
      <c r="G252" s="6" t="n">
        <v>46252</v>
      </c>
      <c r="H252" s="7" t="n">
        <v>6036268.733</v>
      </c>
      <c r="I252" t="inlineStr">
        <is>
          <t>GBP</t>
        </is>
      </c>
      <c r="J252" s="7" t="n">
        <v>6036268.733</v>
      </c>
      <c r="K252" t="inlineStr">
        <is>
          <t>SYRM</t>
        </is>
      </c>
      <c r="L252" t="inlineStr">
        <is>
          <t>Liquidity sweep</t>
        </is>
      </c>
      <c r="M252" s="8" t="n">
        <v>46252.38141203704</v>
      </c>
      <c r="N252" t="inlineStr">
        <is>
          <t>Harper Hollis</t>
        </is>
      </c>
      <c r="O252" s="8" t="n">
        <v>46252.38488425926</v>
      </c>
      <c r="P252" t="inlineStr">
        <is>
          <t>Finley Sinclair</t>
        </is>
      </c>
      <c r="Q252" t="inlineStr">
        <is>
          <t>LEDGER_OR_CASHFLOW_RECEIVED</t>
        </is>
      </c>
      <c r="R252" t="inlineStr">
        <is>
          <t>SYRM_ACKNOWLEDGED</t>
        </is>
      </c>
      <c r="S252" t="inlineStr">
        <is>
          <t>View details</t>
        </is>
      </c>
    </row>
    <row r="253">
      <c r="A253" t="inlineStr">
        <is>
          <t>468341071172</t>
        </is>
      </c>
      <c r="B253" t="inlineStr">
        <is>
          <t>Redstart Trust Mexico City</t>
        </is>
      </c>
      <c r="C253" t="inlineStr">
        <is>
          <t>726928343448</t>
        </is>
      </c>
      <c r="D253" t="inlineStr">
        <is>
          <t>Wrenfield Trust Tokyo</t>
        </is>
      </c>
      <c r="E253" t="inlineStr">
        <is>
          <t>EUR</t>
        </is>
      </c>
      <c r="F253" t="inlineStr">
        <is>
          <t>NT26081800247</t>
        </is>
      </c>
      <c r="G253" s="6" t="n">
        <v>46252</v>
      </c>
      <c r="H253" s="7" t="n">
        <v>96974242.34199999</v>
      </c>
      <c r="I253" t="inlineStr">
        <is>
          <t>GBP</t>
        </is>
      </c>
      <c r="J253" s="7" t="n">
        <v>83203899.92900001</v>
      </c>
      <c r="K253" t="inlineStr">
        <is>
          <t>SWIFT</t>
        </is>
      </c>
      <c r="L253" t="inlineStr">
        <is>
          <t>Liquidity sweep</t>
        </is>
      </c>
      <c r="M253" s="8" t="n">
        <v>46252.69962962963</v>
      </c>
      <c r="N253" t="inlineStr">
        <is>
          <t>Oakley Rhodes</t>
        </is>
      </c>
      <c r="O253" s="8" t="n">
        <v>46252.72949074074</v>
      </c>
      <c r="P253" t="inlineStr">
        <is>
          <t>Devon Delaney</t>
        </is>
      </c>
      <c r="Q253" t="inlineStr">
        <is>
          <t>LEDGER_OR_CASHFLOW_RECEIVED</t>
        </is>
      </c>
      <c r="R253" t="inlineStr">
        <is>
          <t>SYRM_ACKNOWLEDGED</t>
        </is>
      </c>
      <c r="S253" t="inlineStr">
        <is>
          <t>View details</t>
        </is>
      </c>
    </row>
    <row r="254">
      <c r="A254" t="inlineStr">
        <is>
          <t>953625291146</t>
        </is>
      </c>
      <c r="B254" t="inlineStr">
        <is>
          <t>Zephyr Settlement Bank New York</t>
        </is>
      </c>
      <c r="C254" t="inlineStr">
        <is>
          <t>120047354818</t>
        </is>
      </c>
      <c r="D254" t="inlineStr">
        <is>
          <t>Yarrow Settlement Bank Oslo</t>
        </is>
      </c>
      <c r="E254" t="inlineStr">
        <is>
          <t>USD</t>
        </is>
      </c>
      <c r="F254" t="inlineStr">
        <is>
          <t>NT26081800248</t>
        </is>
      </c>
      <c r="G254" s="6" t="n">
        <v>46252</v>
      </c>
      <c r="H254" s="7" t="n">
        <v>16109015.336</v>
      </c>
      <c r="I254" t="inlineStr">
        <is>
          <t>GBP</t>
        </is>
      </c>
      <c r="J254" s="7" t="n">
        <v>12629468.023</v>
      </c>
      <c r="K254" t="inlineStr">
        <is>
          <t>SYRM</t>
        </is>
      </c>
      <c r="L254" t="inlineStr"/>
      <c r="M254" s="8" t="n">
        <v>46252.49253472222</v>
      </c>
      <c r="N254" t="inlineStr">
        <is>
          <t>Wren Fairweather</t>
        </is>
      </c>
      <c r="O254" s="8" t="n">
        <v>46252.49670138889</v>
      </c>
      <c r="P254" t="inlineStr">
        <is>
          <t>Wren Hollis</t>
        </is>
      </c>
      <c r="Q254" t="inlineStr">
        <is>
          <t>LEDGER_OR_CASHFLOW_RECEIVED</t>
        </is>
      </c>
      <c r="R254" t="inlineStr">
        <is>
          <t>SYRM_ACKNOWLEDGED</t>
        </is>
      </c>
      <c r="S254" t="inlineStr">
        <is>
          <t>View details</t>
        </is>
      </c>
    </row>
    <row r="255">
      <c r="A255" t="inlineStr">
        <is>
          <t>468341071172</t>
        </is>
      </c>
      <c r="B255" t="inlineStr">
        <is>
          <t>Redstart Commercial Bank Stockholm</t>
        </is>
      </c>
      <c r="C255" t="inlineStr">
        <is>
          <t>150316825069</t>
        </is>
      </c>
      <c r="D255" t="inlineStr">
        <is>
          <t>Zephyr Settlement Bank New York</t>
        </is>
      </c>
      <c r="E255" t="inlineStr">
        <is>
          <t>EUR</t>
        </is>
      </c>
      <c r="F255" t="inlineStr">
        <is>
          <t>NT26081800249</t>
        </is>
      </c>
      <c r="G255" s="6" t="n">
        <v>46252</v>
      </c>
      <c r="H255" s="7" t="n">
        <v>304395396.769</v>
      </c>
      <c r="I255" t="inlineStr">
        <is>
          <t>GBP</t>
        </is>
      </c>
      <c r="J255" s="7" t="n">
        <v>261171250.428</v>
      </c>
      <c r="K255" t="inlineStr">
        <is>
          <t>SYRM</t>
        </is>
      </c>
      <c r="L255" t="inlineStr">
        <is>
          <t>Funding move</t>
        </is>
      </c>
      <c r="M255" s="8" t="n">
        <v>46252.68099537037</v>
      </c>
      <c r="N255" t="inlineStr">
        <is>
          <t>Avery Sinclair</t>
        </is>
      </c>
      <c r="O255" s="8" t="n">
        <v>46252.70530092593</v>
      </c>
      <c r="P255" t="inlineStr">
        <is>
          <t>Marlow Sinclair</t>
        </is>
      </c>
      <c r="Q255" t="inlineStr">
        <is>
          <t>LEDGER_OR_CASHFLOW_RECEIVED</t>
        </is>
      </c>
      <c r="R255" t="inlineStr">
        <is>
          <t>SYRM_ACKNOWLEDGED</t>
        </is>
      </c>
      <c r="S255" t="inlineStr">
        <is>
          <t>View details</t>
        </is>
      </c>
    </row>
    <row r="256">
      <c r="A256" t="inlineStr">
        <is>
          <t>468341071172</t>
        </is>
      </c>
      <c r="B256" t="inlineStr">
        <is>
          <t>Yarrow Trust Oslo</t>
        </is>
      </c>
      <c r="C256" t="inlineStr">
        <is>
          <t>132544340094</t>
        </is>
      </c>
      <c r="D256" t="inlineStr">
        <is>
          <t>Wrenfield Commercial Bank Oslo</t>
        </is>
      </c>
      <c r="E256" t="inlineStr">
        <is>
          <t>EUR</t>
        </is>
      </c>
      <c r="F256" t="inlineStr">
        <is>
          <t>NT26081800250</t>
        </is>
      </c>
      <c r="G256" s="6" t="n">
        <v>46252</v>
      </c>
      <c r="H256" s="7" t="n">
        <v>165630750.762</v>
      </c>
      <c r="I256" t="inlineStr">
        <is>
          <t>GBP</t>
        </is>
      </c>
      <c r="J256" s="7" t="n">
        <v>142111184.154</v>
      </c>
      <c r="K256" t="inlineStr">
        <is>
          <t>SYRM</t>
        </is>
      </c>
      <c r="L256" t="inlineStr"/>
      <c r="M256" s="8" t="n">
        <v>46252.42096064815</v>
      </c>
      <c r="N256" t="inlineStr">
        <is>
          <t>Marlow Thorne</t>
        </is>
      </c>
      <c r="O256" s="8" t="n">
        <v>46252.44248842593</v>
      </c>
      <c r="P256" t="inlineStr">
        <is>
          <t>Marlow Sinclair</t>
        </is>
      </c>
      <c r="Q256" t="inlineStr">
        <is>
          <t>LEDGER_OR_CASHFLOW_RECEIVED</t>
        </is>
      </c>
      <c r="R256" t="inlineStr">
        <is>
          <t>SYRM_ACKNOWLEDGED</t>
        </is>
      </c>
      <c r="S256" t="inlineStr">
        <is>
          <t>View details</t>
        </is>
      </c>
    </row>
    <row r="257">
      <c r="A257" t="inlineStr">
        <is>
          <t>359365220160</t>
        </is>
      </c>
      <c r="B257" t="inlineStr">
        <is>
          <t>Oriel Commercial Bank Toronto</t>
        </is>
      </c>
      <c r="C257" t="inlineStr">
        <is>
          <t>499062838623</t>
        </is>
      </c>
      <c r="D257" t="inlineStr">
        <is>
          <t>Pinehurst Trust Toronto</t>
        </is>
      </c>
      <c r="E257" t="inlineStr">
        <is>
          <t>EUR</t>
        </is>
      </c>
      <c r="F257" t="inlineStr">
        <is>
          <t>NT26081800251</t>
        </is>
      </c>
      <c r="G257" s="6" t="n">
        <v>46252</v>
      </c>
      <c r="H257" s="7" t="n">
        <v>15424220.509</v>
      </c>
      <c r="I257" t="inlineStr">
        <is>
          <t>GBP</t>
        </is>
      </c>
      <c r="J257" s="7" t="n">
        <v>13233981.197</v>
      </c>
      <c r="K257" t="inlineStr">
        <is>
          <t>SYRM</t>
        </is>
      </c>
      <c r="L257" t="inlineStr">
        <is>
          <t>Funding move</t>
        </is>
      </c>
      <c r="M257" s="8" t="n">
        <v>46252.37422453704</v>
      </c>
      <c r="N257" t="inlineStr">
        <is>
          <t>Kai Calloway</t>
        </is>
      </c>
      <c r="O257" s="8" t="n">
        <v>46252.42908564815</v>
      </c>
      <c r="P257" t="inlineStr">
        <is>
          <t>Devon Jennings</t>
        </is>
      </c>
      <c r="Q257" t="inlineStr">
        <is>
          <t>LEDGER_OR_CASHFLOW_RECEIVED</t>
        </is>
      </c>
      <c r="R257" t="inlineStr">
        <is>
          <t>SYRM_ACKNOWLEDGED</t>
        </is>
      </c>
      <c r="S257" t="inlineStr">
        <is>
          <t>View details</t>
        </is>
      </c>
    </row>
    <row r="258">
      <c r="A258" t="inlineStr">
        <is>
          <t>132544340094</t>
        </is>
      </c>
      <c r="B258" t="inlineStr">
        <is>
          <t>Granite Trust Frankfurt</t>
        </is>
      </c>
      <c r="C258" t="inlineStr">
        <is>
          <t>910703979141</t>
        </is>
      </c>
      <c r="D258" t="inlineStr">
        <is>
          <t>Dunlin Commercial Bank Paris</t>
        </is>
      </c>
      <c r="E258" t="inlineStr">
        <is>
          <t>CZK</t>
        </is>
      </c>
      <c r="F258" t="inlineStr">
        <is>
          <t>NT26081800252</t>
        </is>
      </c>
      <c r="G258" s="6" t="n">
        <v>46252</v>
      </c>
      <c r="H258" s="7" t="n">
        <v>754395149.2539999</v>
      </c>
      <c r="I258" t="inlineStr">
        <is>
          <t>GBP</t>
        </is>
      </c>
      <c r="J258" s="7" t="n">
        <v>25573995.56</v>
      </c>
      <c r="K258" t="inlineStr">
        <is>
          <t>SYRM</t>
        </is>
      </c>
      <c r="L258" t="inlineStr">
        <is>
          <t>Liquidity sweep</t>
        </is>
      </c>
      <c r="M258" s="8" t="n">
        <v>46252.44225694444</v>
      </c>
      <c r="N258" t="inlineStr">
        <is>
          <t>Marlow Rhodes</t>
        </is>
      </c>
      <c r="O258" s="8" t="n">
        <v>46252.46864583333</v>
      </c>
      <c r="P258" t="inlineStr">
        <is>
          <t>Marlow Rhodes</t>
        </is>
      </c>
      <c r="Q258" t="inlineStr">
        <is>
          <t>LEDGER_OR_CASHFLOW_RECEIVED</t>
        </is>
      </c>
      <c r="R258" t="inlineStr">
        <is>
          <t>SYRM_ACKNOWLEDGED</t>
        </is>
      </c>
      <c r="S258" t="inlineStr">
        <is>
          <t>View details</t>
        </is>
      </c>
    </row>
    <row r="259">
      <c r="A259" t="inlineStr">
        <is>
          <t>700726936098</t>
        </is>
      </c>
      <c r="B259" t="inlineStr">
        <is>
          <t>Zephyr Commercial Bank Oslo</t>
        </is>
      </c>
      <c r="C259" t="inlineStr">
        <is>
          <t>621381112674</t>
        </is>
      </c>
      <c r="D259" t="inlineStr">
        <is>
          <t>Mallow Settlement Bank Warsaw</t>
        </is>
      </c>
      <c r="E259" t="inlineStr">
        <is>
          <t>SAR</t>
        </is>
      </c>
      <c r="F259" t="inlineStr">
        <is>
          <t>NT26081800253</t>
        </is>
      </c>
      <c r="G259" s="6" t="n">
        <v>46252</v>
      </c>
      <c r="H259" s="7" t="n">
        <v>1301113.461</v>
      </c>
      <c r="I259" t="inlineStr">
        <is>
          <t>GBP</t>
        </is>
      </c>
      <c r="J259" s="7" t="n">
        <v>271932.713</v>
      </c>
      <c r="K259" t="inlineStr">
        <is>
          <t>SYRM</t>
        </is>
      </c>
      <c r="L259" t="inlineStr">
        <is>
          <t>Balance alignment</t>
        </is>
      </c>
      <c r="M259" s="8" t="n">
        <v>46252.51819444444</v>
      </c>
      <c r="N259" t="inlineStr">
        <is>
          <t>Marlow Thorne</t>
        </is>
      </c>
      <c r="O259" s="8" t="n">
        <v>46252.54666666667</v>
      </c>
      <c r="P259" t="inlineStr">
        <is>
          <t>Quinn Osgood</t>
        </is>
      </c>
      <c r="Q259" t="inlineStr">
        <is>
          <t>CASHFLOW_RECEIVED</t>
        </is>
      </c>
      <c r="R259" t="inlineStr">
        <is>
          <t>SYRM_ACKNOWLEDGED</t>
        </is>
      </c>
      <c r="S259" t="inlineStr">
        <is>
          <t>View details</t>
        </is>
      </c>
    </row>
    <row r="260">
      <c r="A260" t="inlineStr">
        <is>
          <t>621381112674</t>
        </is>
      </c>
      <c r="B260" t="inlineStr">
        <is>
          <t>Redstart Commercial Bank Dublin</t>
        </is>
      </c>
      <c r="C260" t="inlineStr">
        <is>
          <t>150316825069</t>
        </is>
      </c>
      <c r="D260" t="inlineStr">
        <is>
          <t>Larkspur Clearing New York</t>
        </is>
      </c>
      <c r="E260" t="inlineStr">
        <is>
          <t>PLN</t>
        </is>
      </c>
      <c r="F260" t="inlineStr">
        <is>
          <t>NT26081800254</t>
        </is>
      </c>
      <c r="G260" s="6" t="n">
        <v>46252</v>
      </c>
      <c r="H260" s="7" t="n">
        <v>145054258.023</v>
      </c>
      <c r="I260" t="inlineStr">
        <is>
          <t>GBP</t>
        </is>
      </c>
      <c r="J260" s="7" t="n">
        <v>28720743.089</v>
      </c>
      <c r="K260" t="inlineStr">
        <is>
          <t>SYRM</t>
        </is>
      </c>
      <c r="L260" t="inlineStr">
        <is>
          <t>Funding move</t>
        </is>
      </c>
      <c r="M260" s="8" t="n">
        <v>46252.38956018518</v>
      </c>
      <c r="N260" t="inlineStr">
        <is>
          <t>Oakley Fairweather</t>
        </is>
      </c>
      <c r="O260" s="8" t="n">
        <v>46252.4256712963</v>
      </c>
      <c r="P260" t="inlineStr">
        <is>
          <t>Marlow Rhodes</t>
        </is>
      </c>
      <c r="Q260" t="inlineStr">
        <is>
          <t>CASHFLOW_RECEIVED</t>
        </is>
      </c>
      <c r="R260" t="inlineStr">
        <is>
          <t>SYRM_ACKNOWLEDGED</t>
        </is>
      </c>
      <c r="S260" t="inlineStr">
        <is>
          <t>View details</t>
        </is>
      </c>
    </row>
    <row r="261">
      <c r="A261" t="inlineStr">
        <is>
          <t>794226063698</t>
        </is>
      </c>
      <c r="B261" t="inlineStr">
        <is>
          <t>Redstart Commercial Bank Stockholm</t>
        </is>
      </c>
      <c r="C261" t="inlineStr">
        <is>
          <t>898317028833</t>
        </is>
      </c>
      <c r="D261" t="inlineStr">
        <is>
          <t>Redstart Trust Mexico City</t>
        </is>
      </c>
      <c r="E261" t="inlineStr">
        <is>
          <t>AED</t>
        </is>
      </c>
      <c r="F261" t="inlineStr">
        <is>
          <t>NT26081800255</t>
        </is>
      </c>
      <c r="G261" s="6" t="n">
        <v>46252</v>
      </c>
      <c r="H261" s="7" t="n">
        <v>796885918.354</v>
      </c>
      <c r="I261" t="inlineStr">
        <is>
          <t>GBP</t>
        </is>
      </c>
      <c r="J261" s="7" t="n">
        <v>169736700.609</v>
      </c>
      <c r="K261" t="inlineStr">
        <is>
          <t>SWIFT</t>
        </is>
      </c>
      <c r="L261" t="inlineStr"/>
      <c r="M261" s="8" t="n">
        <v>46252.57552083334</v>
      </c>
      <c r="N261" t="inlineStr">
        <is>
          <t>Marlow Sinclair</t>
        </is>
      </c>
      <c r="O261" s="8" t="n">
        <v>46252.61024305555</v>
      </c>
      <c r="P261" t="inlineStr">
        <is>
          <t>Kai Calloway</t>
        </is>
      </c>
      <c r="Q261" t="inlineStr">
        <is>
          <t>LEDGER_OR_CASHFLOW_RECEIVED</t>
        </is>
      </c>
      <c r="R261" t="inlineStr">
        <is>
          <t>SYRM_ACKNOWLEDGED</t>
        </is>
      </c>
      <c r="S261" t="inlineStr">
        <is>
          <t>View details</t>
        </is>
      </c>
    </row>
    <row r="262">
      <c r="A262" t="inlineStr">
        <is>
          <t>171857983160</t>
        </is>
      </c>
      <c r="B262" t="inlineStr">
        <is>
          <t>Dunlin Commercial Bank Warsaw</t>
        </is>
      </c>
      <c r="C262" t="inlineStr">
        <is>
          <t>499062838623</t>
        </is>
      </c>
      <c r="D262" t="inlineStr">
        <is>
          <t>Harrow Bank Milan</t>
        </is>
      </c>
      <c r="E262" t="inlineStr">
        <is>
          <t>AUD</t>
        </is>
      </c>
      <c r="F262" t="inlineStr">
        <is>
          <t>NT26081800256</t>
        </is>
      </c>
      <c r="G262" s="6" t="n">
        <v>46252</v>
      </c>
      <c r="H262" s="7" t="n">
        <v>954000187.605</v>
      </c>
      <c r="I262" t="inlineStr">
        <is>
          <t>GBP</t>
        </is>
      </c>
      <c r="J262" s="7" t="n">
        <v>489402096.241</v>
      </c>
      <c r="K262" t="inlineStr">
        <is>
          <t>SYRM</t>
        </is>
      </c>
      <c r="L262" t="inlineStr">
        <is>
          <t>Balance alignment</t>
        </is>
      </c>
      <c r="M262" s="8" t="n">
        <v>46252.95541666666</v>
      </c>
      <c r="N262" t="inlineStr">
        <is>
          <t>Quinn Kirby</t>
        </is>
      </c>
      <c r="O262" s="8" t="n">
        <v>46253.00055555555</v>
      </c>
      <c r="P262" t="inlineStr">
        <is>
          <t>Kai Novak</t>
        </is>
      </c>
      <c r="Q262" t="inlineStr">
        <is>
          <t>LEDGER_OR_CASHFLOW_RECEIVED</t>
        </is>
      </c>
      <c r="R262" t="inlineStr">
        <is>
          <t>SYRM_ACKNOWLEDGED</t>
        </is>
      </c>
      <c r="S262" t="inlineStr">
        <is>
          <t>View details</t>
        </is>
      </c>
    </row>
    <row r="263">
      <c r="A263" t="inlineStr">
        <is>
          <t>700726936098</t>
        </is>
      </c>
      <c r="B263" t="inlineStr">
        <is>
          <t>Pinehurst Settlement Bank Frankfurt</t>
        </is>
      </c>
      <c r="C263" t="inlineStr">
        <is>
          <t>284925023085</t>
        </is>
      </c>
      <c r="D263" t="inlineStr">
        <is>
          <t>Cedar Clearing New York</t>
        </is>
      </c>
      <c r="E263" t="inlineStr">
        <is>
          <t>SAR</t>
        </is>
      </c>
      <c r="F263" t="inlineStr">
        <is>
          <t>NT26081800257</t>
        </is>
      </c>
      <c r="G263" s="6" t="n">
        <v>46252</v>
      </c>
      <c r="H263" s="7" t="n">
        <v>14109871.196</v>
      </c>
      <c r="I263" t="inlineStr">
        <is>
          <t>GBP</t>
        </is>
      </c>
      <c r="J263" s="7" t="n">
        <v>2948963.08</v>
      </c>
      <c r="K263" t="inlineStr">
        <is>
          <t>SYRM</t>
        </is>
      </c>
      <c r="L263" t="inlineStr">
        <is>
          <t>Balance alignment</t>
        </is>
      </c>
      <c r="M263" s="8" t="n">
        <v>46252.39959490741</v>
      </c>
      <c r="N263" t="inlineStr">
        <is>
          <t>Devon Jennings</t>
        </is>
      </c>
      <c r="O263" s="8" t="n">
        <v>46252.41556712963</v>
      </c>
      <c r="P263" t="inlineStr">
        <is>
          <t>Kai Merrick</t>
        </is>
      </c>
      <c r="Q263" t="inlineStr">
        <is>
          <t>CASHFLOW_RECEIVED</t>
        </is>
      </c>
      <c r="R263" t="inlineStr">
        <is>
          <t>SYRM_ACKNOWLEDGED</t>
        </is>
      </c>
      <c r="S263" t="inlineStr">
        <is>
          <t>View details</t>
        </is>
      </c>
    </row>
    <row r="264">
      <c r="A264" t="inlineStr">
        <is>
          <t>910703979141</t>
        </is>
      </c>
      <c r="B264" t="inlineStr">
        <is>
          <t>Fernway Trust Tokyo</t>
        </is>
      </c>
      <c r="C264" t="inlineStr">
        <is>
          <t>927538182434</t>
        </is>
      </c>
      <c r="D264" t="inlineStr">
        <is>
          <t>Fernway Clearing Frankfurt</t>
        </is>
      </c>
      <c r="E264" t="inlineStr">
        <is>
          <t>CHF</t>
        </is>
      </c>
      <c r="F264" t="inlineStr">
        <is>
          <t>NT26081800258</t>
        </is>
      </c>
      <c r="G264" s="6" t="n">
        <v>46252</v>
      </c>
      <c r="H264" s="7" t="n">
        <v>23892741.458</v>
      </c>
      <c r="I264" t="inlineStr">
        <is>
          <t>GBP</t>
        </is>
      </c>
      <c r="J264" s="7" t="n">
        <v>21431789.088</v>
      </c>
      <c r="K264" t="inlineStr">
        <is>
          <t>SYRM</t>
        </is>
      </c>
      <c r="L264" t="inlineStr">
        <is>
          <t>Funding move</t>
        </is>
      </c>
      <c r="M264" s="8" t="n">
        <v>46252.36908564815</v>
      </c>
      <c r="N264" t="inlineStr">
        <is>
          <t>Quinn Hollis</t>
        </is>
      </c>
      <c r="O264" s="8" t="n">
        <v>46252.43228009259</v>
      </c>
      <c r="P264" t="inlineStr">
        <is>
          <t>Marlow Thorne</t>
        </is>
      </c>
      <c r="Q264" t="inlineStr">
        <is>
          <t>LEDGER_OR_CASHFLOW_RECEIVED</t>
        </is>
      </c>
      <c r="R264" t="inlineStr">
        <is>
          <t>SYRM_REJECTED</t>
        </is>
      </c>
      <c r="S264" t="inlineStr">
        <is>
          <t>View details</t>
        </is>
      </c>
    </row>
    <row r="265">
      <c r="A265" t="inlineStr">
        <is>
          <t>726928343448</t>
        </is>
      </c>
      <c r="B265" t="inlineStr">
        <is>
          <t>Bramble Settlement Bank Hong Kong</t>
        </is>
      </c>
      <c r="C265" t="inlineStr">
        <is>
          <t>953625291146</t>
        </is>
      </c>
      <c r="D265" t="inlineStr">
        <is>
          <t>Wrenfield Commercial Bank Oslo</t>
        </is>
      </c>
      <c r="E265" t="inlineStr">
        <is>
          <t>EUR</t>
        </is>
      </c>
      <c r="F265" t="inlineStr">
        <is>
          <t>NT26081800259</t>
        </is>
      </c>
      <c r="G265" s="6" t="n">
        <v>46252</v>
      </c>
      <c r="H265" s="7" t="n">
        <v>535820206.989</v>
      </c>
      <c r="I265" t="inlineStr">
        <is>
          <t>GBP</t>
        </is>
      </c>
      <c r="J265" s="7" t="n">
        <v>459733737.597</v>
      </c>
      <c r="K265" t="inlineStr">
        <is>
          <t>SYRM</t>
        </is>
      </c>
      <c r="L265" t="inlineStr">
        <is>
          <t>Funding move</t>
        </is>
      </c>
      <c r="M265" s="8" t="n">
        <v>46252.61474537037</v>
      </c>
      <c r="N265" t="inlineStr">
        <is>
          <t>Greer Osgood</t>
        </is>
      </c>
      <c r="O265" s="8" t="n">
        <v>46252.65849537037</v>
      </c>
      <c r="P265" t="inlineStr">
        <is>
          <t>Oakley Novak</t>
        </is>
      </c>
      <c r="Q265" t="inlineStr">
        <is>
          <t>LEDGER_OR_CASHFLOW_RECEIVED</t>
        </is>
      </c>
      <c r="R265" t="inlineStr">
        <is>
          <t>SYRM_ACKNOWLEDGED</t>
        </is>
      </c>
      <c r="S265" t="inlineStr">
        <is>
          <t>View details</t>
        </is>
      </c>
    </row>
    <row r="266">
      <c r="A266" t="inlineStr">
        <is>
          <t>794226063698</t>
        </is>
      </c>
      <c r="B266" t="inlineStr">
        <is>
          <t>Harrow Bank Milan</t>
        </is>
      </c>
      <c r="C266" t="inlineStr">
        <is>
          <t>150316825069</t>
        </is>
      </c>
      <c r="D266" t="inlineStr">
        <is>
          <t>Zephyr Settlement Bank Sydney</t>
        </is>
      </c>
      <c r="E266" t="inlineStr">
        <is>
          <t>AED</t>
        </is>
      </c>
      <c r="F266" t="inlineStr">
        <is>
          <t>NT26081800260</t>
        </is>
      </c>
      <c r="G266" s="6" t="n">
        <v>46252</v>
      </c>
      <c r="H266" s="7" t="n">
        <v>358.366</v>
      </c>
      <c r="I266" t="inlineStr">
        <is>
          <t>GBP</t>
        </is>
      </c>
      <c r="J266" s="7" t="n">
        <v>76.33199999999999</v>
      </c>
      <c r="K266" t="inlineStr">
        <is>
          <t>SYRM</t>
        </is>
      </c>
      <c r="L266" t="inlineStr">
        <is>
          <t>Balance alignment</t>
        </is>
      </c>
      <c r="M266" s="8" t="n">
        <v>46252.39777777778</v>
      </c>
      <c r="N266" t="inlineStr">
        <is>
          <t>Devon Delaney</t>
        </is>
      </c>
      <c r="O266" s="8" t="n">
        <v>46252.43458333334</v>
      </c>
      <c r="P266" t="inlineStr">
        <is>
          <t>Quinn Osgood</t>
        </is>
      </c>
      <c r="Q266" t="inlineStr">
        <is>
          <t>LEDGER_OR_CASHFLOW_RECEIVED</t>
        </is>
      </c>
      <c r="R266" t="inlineStr">
        <is>
          <t>SYRM_ACKNOWLEDGED</t>
        </is>
      </c>
      <c r="S266" t="inlineStr">
        <is>
          <t>View details</t>
        </is>
      </c>
    </row>
    <row r="267">
      <c r="A267" t="inlineStr">
        <is>
          <t>621381112674</t>
        </is>
      </c>
      <c r="B267" t="inlineStr">
        <is>
          <t>Juniper Clearing Hong Kong</t>
        </is>
      </c>
      <c r="C267" t="inlineStr">
        <is>
          <t>150316825069</t>
        </is>
      </c>
      <c r="D267" t="inlineStr">
        <is>
          <t>Redstart Commercial Bank Stockholm</t>
        </is>
      </c>
      <c r="E267" t="inlineStr">
        <is>
          <t>PLN</t>
        </is>
      </c>
      <c r="F267" t="inlineStr">
        <is>
          <t>NT26081800261</t>
        </is>
      </c>
      <c r="G267" s="6" t="n">
        <v>46252</v>
      </c>
      <c r="H267" s="7" t="n">
        <v>46911.259</v>
      </c>
      <c r="I267" t="inlineStr">
        <is>
          <t>GBP</t>
        </is>
      </c>
      <c r="J267" s="7" t="n">
        <v>9288.429</v>
      </c>
      <c r="K267" t="inlineStr">
        <is>
          <t>SYRM</t>
        </is>
      </c>
      <c r="L267" t="inlineStr">
        <is>
          <t>Liquidity sweep</t>
        </is>
      </c>
      <c r="M267" s="8" t="n">
        <v>46252.3747337963</v>
      </c>
      <c r="N267" t="inlineStr">
        <is>
          <t>Greer Osgood</t>
        </is>
      </c>
      <c r="O267" s="8" t="n">
        <v>46252.39417824074</v>
      </c>
      <c r="P267" t="inlineStr">
        <is>
          <t>Wren Fairweather</t>
        </is>
      </c>
      <c r="Q267" t="inlineStr">
        <is>
          <t>LEDGER_OR_CASHFLOW_RECEIVED</t>
        </is>
      </c>
      <c r="R267" t="inlineStr">
        <is>
          <t>SYRM_PENDING</t>
        </is>
      </c>
      <c r="S267" t="inlineStr">
        <is>
          <t>View details</t>
        </is>
      </c>
    </row>
    <row r="268">
      <c r="A268" t="inlineStr">
        <is>
          <t>150316825069</t>
        </is>
      </c>
      <c r="B268" t="inlineStr">
        <is>
          <t>Harrow Bank Milan</t>
        </is>
      </c>
      <c r="C268" t="inlineStr">
        <is>
          <t>726928343448</t>
        </is>
      </c>
      <c r="D268" t="inlineStr">
        <is>
          <t>Redstart Commercial Bank Stockholm</t>
        </is>
      </c>
      <c r="E268" t="inlineStr">
        <is>
          <t>GBP</t>
        </is>
      </c>
      <c r="F268" t="inlineStr">
        <is>
          <t>NT26081800262</t>
        </is>
      </c>
      <c r="G268" s="6" t="n">
        <v>46252</v>
      </c>
      <c r="H268" s="7" t="n">
        <v>105.023</v>
      </c>
      <c r="I268" t="inlineStr">
        <is>
          <t>GBP</t>
        </is>
      </c>
      <c r="J268" s="7" t="n">
        <v>105.023</v>
      </c>
      <c r="K268" t="inlineStr">
        <is>
          <t>SYRM</t>
        </is>
      </c>
      <c r="L268" t="inlineStr"/>
      <c r="M268" s="8" t="n">
        <v>46252.61866898148</v>
      </c>
      <c r="N268" t="inlineStr">
        <is>
          <t>Ellis Gallagher</t>
        </is>
      </c>
      <c r="O268" s="8" t="n">
        <v>46252.66866898148</v>
      </c>
      <c r="P268" t="inlineStr">
        <is>
          <t>Oakley Novak</t>
        </is>
      </c>
      <c r="Q268" t="inlineStr">
        <is>
          <t>CASHFLOW_RECEIVED</t>
        </is>
      </c>
      <c r="R268" t="inlineStr">
        <is>
          <t>SYRM_ACKNOWLEDGED</t>
        </is>
      </c>
      <c r="S268" t="inlineStr">
        <is>
          <t>View details</t>
        </is>
      </c>
    </row>
    <row r="269">
      <c r="A269" t="inlineStr">
        <is>
          <t>499062838623</t>
        </is>
      </c>
      <c r="B269" t="inlineStr">
        <is>
          <t>Oriel Commercial Bank Toronto</t>
        </is>
      </c>
      <c r="C269" t="inlineStr">
        <is>
          <t>171857983160</t>
        </is>
      </c>
      <c r="D269" t="inlineStr">
        <is>
          <t>Yarrow Bank Stockholm</t>
        </is>
      </c>
      <c r="E269" t="inlineStr">
        <is>
          <t>USD</t>
        </is>
      </c>
      <c r="F269" t="inlineStr">
        <is>
          <t>NT26081800263</t>
        </is>
      </c>
      <c r="G269" s="6" t="n">
        <v>46252</v>
      </c>
      <c r="H269" s="7" t="n">
        <v>401518.863</v>
      </c>
      <c r="I269" t="inlineStr">
        <is>
          <t>GBP</t>
        </is>
      </c>
      <c r="J269" s="7" t="n">
        <v>314790.789</v>
      </c>
      <c r="K269" t="inlineStr">
        <is>
          <t>SYRM</t>
        </is>
      </c>
      <c r="L269" t="inlineStr">
        <is>
          <t>Intraday top-up</t>
        </is>
      </c>
      <c r="M269" s="8" t="n">
        <v>46252.65741898148</v>
      </c>
      <c r="N269" t="inlineStr">
        <is>
          <t>Kai Merrick</t>
        </is>
      </c>
      <c r="O269" s="8" t="n"/>
      <c r="Q269" t="inlineStr">
        <is>
          <t>PENDING_APPROVAL</t>
        </is>
      </c>
      <c r="R269" t="inlineStr">
        <is>
          <t>SYRM_ACKNOWLEDGED</t>
        </is>
      </c>
      <c r="S269" t="inlineStr">
        <is>
          <t>View details</t>
        </is>
      </c>
    </row>
    <row r="270">
      <c r="A270" t="inlineStr">
        <is>
          <t>468341071172</t>
        </is>
      </c>
      <c r="B270" t="inlineStr">
        <is>
          <t>Dunlin Commercial Bank Paris</t>
        </is>
      </c>
      <c r="C270" t="inlineStr">
        <is>
          <t>171857983160</t>
        </is>
      </c>
      <c r="D270" t="inlineStr">
        <is>
          <t>Bramble Trust Zurich</t>
        </is>
      </c>
      <c r="E270" t="inlineStr">
        <is>
          <t>EUR</t>
        </is>
      </c>
      <c r="F270" t="inlineStr">
        <is>
          <t>NT26081800264</t>
        </is>
      </c>
      <c r="G270" s="6" t="n">
        <v>46252</v>
      </c>
      <c r="H270" s="7" t="n">
        <v>18994304.172</v>
      </c>
      <c r="I270" t="inlineStr">
        <is>
          <t>GBP</t>
        </is>
      </c>
      <c r="J270" s="7" t="n">
        <v>16297112.98</v>
      </c>
      <c r="K270" t="inlineStr">
        <is>
          <t>SYRM</t>
        </is>
      </c>
      <c r="L270" t="inlineStr">
        <is>
          <t>Liquidity sweep</t>
        </is>
      </c>
      <c r="M270" s="8" t="n">
        <v>46252.67335648148</v>
      </c>
      <c r="N270" t="inlineStr">
        <is>
          <t>Kai Calloway</t>
        </is>
      </c>
      <c r="O270" s="8" t="n">
        <v>46252.73655092593</v>
      </c>
      <c r="P270" t="inlineStr">
        <is>
          <t>Blake Fairweather</t>
        </is>
      </c>
      <c r="Q270" t="inlineStr">
        <is>
          <t>LEDGER_OR_CASHFLOW_RECEIVED</t>
        </is>
      </c>
      <c r="R270" t="inlineStr">
        <is>
          <t>SYRM_ACKNOWLEDGED</t>
        </is>
      </c>
      <c r="S270" t="inlineStr">
        <is>
          <t>View details</t>
        </is>
      </c>
    </row>
    <row r="271">
      <c r="A271" t="inlineStr">
        <is>
          <t>910703979141</t>
        </is>
      </c>
      <c r="B271" t="inlineStr">
        <is>
          <t>Juniper Bank Warsaw</t>
        </is>
      </c>
      <c r="C271" t="inlineStr">
        <is>
          <t>120047354818</t>
        </is>
      </c>
      <c r="D271" t="inlineStr">
        <is>
          <t>Yarrow Bank Stockholm</t>
        </is>
      </c>
      <c r="E271" t="inlineStr">
        <is>
          <t>CHF</t>
        </is>
      </c>
      <c r="F271" t="inlineStr">
        <is>
          <t>NT26081800265</t>
        </is>
      </c>
      <c r="G271" s="6" t="n">
        <v>46252</v>
      </c>
      <c r="H271" s="7" t="n">
        <v>1214764.495</v>
      </c>
      <c r="I271" t="inlineStr">
        <is>
          <t>GBP</t>
        </is>
      </c>
      <c r="J271" s="7" t="n">
        <v>1089643.752</v>
      </c>
      <c r="K271" t="inlineStr">
        <is>
          <t>SYRM</t>
        </is>
      </c>
      <c r="L271" t="inlineStr"/>
      <c r="M271" s="8" t="n">
        <v>46252.24356481482</v>
      </c>
      <c r="N271" t="inlineStr">
        <is>
          <t>Wren Delaney</t>
        </is>
      </c>
      <c r="O271" s="8" t="n">
        <v>46252.25259259259</v>
      </c>
      <c r="P271" t="inlineStr">
        <is>
          <t>Sawyer Calloway</t>
        </is>
      </c>
      <c r="Q271" t="inlineStr">
        <is>
          <t>LEDGER_OR_CASHFLOW_RECEIVED</t>
        </is>
      </c>
      <c r="R271" t="inlineStr">
        <is>
          <t>SYRM_ACKNOWLEDGED</t>
        </is>
      </c>
      <c r="S271" t="inlineStr">
        <is>
          <t>View details</t>
        </is>
      </c>
    </row>
    <row r="272">
      <c r="A272" t="inlineStr">
        <is>
          <t>113829985108</t>
        </is>
      </c>
      <c r="B272" t="inlineStr">
        <is>
          <t>Redstart Commercial Bank Stockholm</t>
        </is>
      </c>
      <c r="C272" t="inlineStr">
        <is>
          <t>953625291146</t>
        </is>
      </c>
      <c r="D272" t="inlineStr">
        <is>
          <t>Pinehurst Clearing Oslo</t>
        </is>
      </c>
      <c r="E272" t="inlineStr">
        <is>
          <t>EUR</t>
        </is>
      </c>
      <c r="F272" t="inlineStr">
        <is>
          <t>NT26081800266</t>
        </is>
      </c>
      <c r="G272" s="6" t="n">
        <v>46252</v>
      </c>
      <c r="H272" s="7" t="n">
        <v>3329639.305</v>
      </c>
      <c r="I272" t="inlineStr">
        <is>
          <t>GBP</t>
        </is>
      </c>
      <c r="J272" s="7" t="n">
        <v>2856830.524</v>
      </c>
      <c r="K272" t="inlineStr">
        <is>
          <t>SYRM</t>
        </is>
      </c>
      <c r="L272" t="inlineStr">
        <is>
          <t>Funding move</t>
        </is>
      </c>
      <c r="M272" s="8" t="n">
        <v>46252.32240740741</v>
      </c>
      <c r="N272" t="inlineStr">
        <is>
          <t>Avery Prentice</t>
        </is>
      </c>
      <c r="O272" s="8" t="n">
        <v>46252.38212962963</v>
      </c>
      <c r="P272" t="inlineStr">
        <is>
          <t>Blake Fairweather</t>
        </is>
      </c>
      <c r="Q272" t="inlineStr">
        <is>
          <t>LEDGER_OR_CASHFLOW_RECEIVED</t>
        </is>
      </c>
      <c r="R272" t="inlineStr">
        <is>
          <t>SYRM_ACKNOWLEDGED</t>
        </is>
      </c>
      <c r="S272" t="inlineStr">
        <is>
          <t>View details</t>
        </is>
      </c>
    </row>
    <row r="273">
      <c r="A273" t="inlineStr">
        <is>
          <t>150316825069</t>
        </is>
      </c>
      <c r="B273" t="inlineStr">
        <is>
          <t>Juniper Bank Warsaw</t>
        </is>
      </c>
      <c r="C273" t="inlineStr">
        <is>
          <t>132544340094</t>
        </is>
      </c>
      <c r="D273" t="inlineStr">
        <is>
          <t>Bramble Commercial Bank Toronto</t>
        </is>
      </c>
      <c r="E273" t="inlineStr">
        <is>
          <t>GBP</t>
        </is>
      </c>
      <c r="F273" t="inlineStr">
        <is>
          <t>NT26081800267</t>
        </is>
      </c>
      <c r="G273" s="6" t="n">
        <v>46252</v>
      </c>
      <c r="H273" s="7" t="n">
        <v>26835969.287</v>
      </c>
      <c r="I273" t="inlineStr">
        <is>
          <t>GBP</t>
        </is>
      </c>
      <c r="J273" s="7" t="n">
        <v>26835969.287</v>
      </c>
      <c r="K273" t="inlineStr">
        <is>
          <t>SWIFT</t>
        </is>
      </c>
      <c r="L273" t="inlineStr">
        <is>
          <t>Liquidity sweep</t>
        </is>
      </c>
      <c r="M273" s="8" t="n">
        <v>46252.44391203704</v>
      </c>
      <c r="N273" t="inlineStr">
        <is>
          <t>Kai Novak</t>
        </is>
      </c>
      <c r="O273" s="8" t="n">
        <v>46252.46057870371</v>
      </c>
      <c r="P273" t="inlineStr">
        <is>
          <t>Quinn Osgood</t>
        </is>
      </c>
      <c r="Q273" t="inlineStr">
        <is>
          <t>LEDGER_OR_CASHFLOW_RECEIVED</t>
        </is>
      </c>
      <c r="R273" t="inlineStr">
        <is>
          <t>SYRM_ACKNOWLEDGED</t>
        </is>
      </c>
      <c r="S273" t="inlineStr">
        <is>
          <t>View details</t>
        </is>
      </c>
    </row>
    <row r="274">
      <c r="A274" t="inlineStr">
        <is>
          <t>150316825069</t>
        </is>
      </c>
      <c r="B274" t="inlineStr">
        <is>
          <t>Mallow Commercial Bank Mexico City</t>
        </is>
      </c>
      <c r="C274" t="inlineStr">
        <is>
          <t>171857983160</t>
        </is>
      </c>
      <c r="D274" t="inlineStr">
        <is>
          <t>Wrenfield Trust Tokyo</t>
        </is>
      </c>
      <c r="E274" t="inlineStr">
        <is>
          <t>GBP</t>
        </is>
      </c>
      <c r="F274" t="inlineStr">
        <is>
          <t>NT26081800268</t>
        </is>
      </c>
      <c r="G274" s="6" t="n">
        <v>46252</v>
      </c>
      <c r="H274" s="7" t="n">
        <v>186.551</v>
      </c>
      <c r="I274" t="inlineStr">
        <is>
          <t>GBP</t>
        </is>
      </c>
      <c r="J274" s="7" t="n">
        <v>186.551</v>
      </c>
      <c r="K274" t="inlineStr">
        <is>
          <t>SYRM</t>
        </is>
      </c>
      <c r="L274" t="inlineStr">
        <is>
          <t>Funding move</t>
        </is>
      </c>
      <c r="M274" s="8" t="n">
        <v>46252.4446875</v>
      </c>
      <c r="N274" t="inlineStr">
        <is>
          <t>Wren Fairweather</t>
        </is>
      </c>
      <c r="O274" s="8" t="n">
        <v>46252.48704861111</v>
      </c>
      <c r="P274" t="inlineStr">
        <is>
          <t>Quinn Kirby</t>
        </is>
      </c>
      <c r="Q274" t="inlineStr">
        <is>
          <t>LEDGER_OR_CASHFLOW_RECEIVED</t>
        </is>
      </c>
      <c r="R274" t="inlineStr">
        <is>
          <t>SYRM_ACKNOWLEDGED</t>
        </is>
      </c>
      <c r="S274" t="inlineStr">
        <is>
          <t>View details</t>
        </is>
      </c>
    </row>
    <row r="275">
      <c r="A275" t="inlineStr">
        <is>
          <t>284925023085</t>
        </is>
      </c>
      <c r="B275" t="inlineStr">
        <is>
          <t>Pinehurst Clearing Oslo</t>
        </is>
      </c>
      <c r="C275" t="inlineStr">
        <is>
          <t>824840705580</t>
        </is>
      </c>
      <c r="D275" t="inlineStr">
        <is>
          <t>Zephyr Bank Madrid</t>
        </is>
      </c>
      <c r="E275" t="inlineStr">
        <is>
          <t>MXN</t>
        </is>
      </c>
      <c r="F275" t="inlineStr">
        <is>
          <t>NT26081800269</t>
        </is>
      </c>
      <c r="G275" s="6" t="n">
        <v>46252</v>
      </c>
      <c r="H275" s="7" t="n">
        <v>504682617.805</v>
      </c>
      <c r="I275" t="inlineStr">
        <is>
          <t>GBP</t>
        </is>
      </c>
      <c r="J275" s="7" t="n">
        <v>21600416.042</v>
      </c>
      <c r="K275" t="inlineStr">
        <is>
          <t>SYRM</t>
        </is>
      </c>
      <c r="L275" t="inlineStr">
        <is>
          <t>Liquidity sweep</t>
        </is>
      </c>
      <c r="M275" s="8" t="n">
        <v>46252.61439814815</v>
      </c>
      <c r="N275" t="inlineStr">
        <is>
          <t>Quinn Lindqvist</t>
        </is>
      </c>
      <c r="O275" s="8" t="n">
        <v>46252.66578703704</v>
      </c>
      <c r="P275" t="inlineStr">
        <is>
          <t>Lennox Ellison</t>
        </is>
      </c>
      <c r="Q275" t="inlineStr">
        <is>
          <t>LEDGER_OR_CASHFLOW_RECEIVED</t>
        </is>
      </c>
      <c r="R275" t="inlineStr">
        <is>
          <t>SYRM_ACKNOWLEDGED</t>
        </is>
      </c>
      <c r="S275" t="inlineStr">
        <is>
          <t>View details</t>
        </is>
      </c>
    </row>
    <row r="276">
      <c r="A276" t="inlineStr">
        <is>
          <t>499062838623</t>
        </is>
      </c>
      <c r="B276" t="inlineStr">
        <is>
          <t>Yarrow Bank Stockholm</t>
        </is>
      </c>
      <c r="C276" t="inlineStr">
        <is>
          <t>968942362772</t>
        </is>
      </c>
      <c r="D276" t="inlineStr">
        <is>
          <t>Juniper Clearing Hong Kong</t>
        </is>
      </c>
      <c r="E276" t="inlineStr">
        <is>
          <t>USD</t>
        </is>
      </c>
      <c r="F276" t="inlineStr">
        <is>
          <t>NT26081800270</t>
        </is>
      </c>
      <c r="G276" s="6" t="n">
        <v>46252</v>
      </c>
      <c r="H276" s="7" t="n">
        <v>49785242.342</v>
      </c>
      <c r="I276" t="inlineStr">
        <is>
          <t>GBP</t>
        </is>
      </c>
      <c r="J276" s="7" t="n">
        <v>39031629.996</v>
      </c>
      <c r="K276" t="inlineStr">
        <is>
          <t>SYRM</t>
        </is>
      </c>
      <c r="L276" t="inlineStr">
        <is>
          <t>Intraday top-up</t>
        </is>
      </c>
      <c r="M276" s="8" t="n">
        <v>46252.41357638889</v>
      </c>
      <c r="N276" t="inlineStr">
        <is>
          <t>Oakley Rhodes</t>
        </is>
      </c>
      <c r="O276" s="8" t="n">
        <v>46252.46357638889</v>
      </c>
      <c r="P276" t="inlineStr">
        <is>
          <t>Quinn Lindqvist</t>
        </is>
      </c>
      <c r="Q276" t="inlineStr">
        <is>
          <t>LEDGER_OR_CASHFLOW_RECEIVED</t>
        </is>
      </c>
      <c r="R276" t="inlineStr">
        <is>
          <t>SYRM_ACKNOWLEDGED</t>
        </is>
      </c>
      <c r="S276" t="inlineStr">
        <is>
          <t>View details</t>
        </is>
      </c>
    </row>
    <row r="277">
      <c r="A277" t="inlineStr">
        <is>
          <t>113829985108</t>
        </is>
      </c>
      <c r="B277" t="inlineStr">
        <is>
          <t>Fernway Trust Tokyo</t>
        </is>
      </c>
      <c r="C277" t="inlineStr">
        <is>
          <t>968942362772</t>
        </is>
      </c>
      <c r="D277" t="inlineStr">
        <is>
          <t>Umberton Commercial Bank Mexico City</t>
        </is>
      </c>
      <c r="E277" t="inlineStr">
        <is>
          <t>EUR</t>
        </is>
      </c>
      <c r="F277" t="inlineStr">
        <is>
          <t>NT26081800271</t>
        </is>
      </c>
      <c r="G277" s="6" t="n">
        <v>46252</v>
      </c>
      <c r="H277" s="7" t="n">
        <v>10458539.683</v>
      </c>
      <c r="I277" t="inlineStr">
        <is>
          <t>GBP</t>
        </is>
      </c>
      <c r="J277" s="7" t="n">
        <v>8973427.048</v>
      </c>
      <c r="K277" t="inlineStr">
        <is>
          <t>SYRM</t>
        </is>
      </c>
      <c r="L277" t="inlineStr">
        <is>
          <t>Balance alignment</t>
        </is>
      </c>
      <c r="M277" s="8" t="n">
        <v>46252.50299768519</v>
      </c>
      <c r="N277" t="inlineStr">
        <is>
          <t>Lennox Ellison</t>
        </is>
      </c>
      <c r="O277" s="8" t="n">
        <v>46252.55230324074</v>
      </c>
      <c r="P277" t="inlineStr">
        <is>
          <t>Avery Sinclair</t>
        </is>
      </c>
      <c r="Q277" t="inlineStr">
        <is>
          <t>LEDGER_OR_CASHFLOW_RECEIVED</t>
        </is>
      </c>
      <c r="R277" t="inlineStr">
        <is>
          <t>SYRM_ACKNOWLEDGED</t>
        </is>
      </c>
      <c r="S277" t="inlineStr">
        <is>
          <t>View details</t>
        </is>
      </c>
    </row>
    <row r="278">
      <c r="A278" t="inlineStr">
        <is>
          <t>359365220160</t>
        </is>
      </c>
      <c r="B278" t="inlineStr">
        <is>
          <t>Dunlin Commercial Bank Paris</t>
        </is>
      </c>
      <c r="C278" t="inlineStr">
        <is>
          <t>794226063698</t>
        </is>
      </c>
      <c r="D278" t="inlineStr">
        <is>
          <t>Larkspur Clearing New York</t>
        </is>
      </c>
      <c r="E278" t="inlineStr">
        <is>
          <t>EUR</t>
        </is>
      </c>
      <c r="F278" t="inlineStr">
        <is>
          <t>NT26081800272</t>
        </is>
      </c>
      <c r="G278" s="6" t="n">
        <v>46252</v>
      </c>
      <c r="H278" s="7" t="n">
        <v>11548377.109</v>
      </c>
      <c r="I278" t="inlineStr">
        <is>
          <t>GBP</t>
        </is>
      </c>
      <c r="J278" s="7" t="n">
        <v>9908507.560000001</v>
      </c>
      <c r="K278" t="inlineStr">
        <is>
          <t>SYRM</t>
        </is>
      </c>
      <c r="L278" t="inlineStr">
        <is>
          <t>Funding move</t>
        </is>
      </c>
      <c r="M278" s="8" t="n">
        <v>46252.65030092592</v>
      </c>
      <c r="N278" t="inlineStr">
        <is>
          <t>Finley Sinclair</t>
        </is>
      </c>
      <c r="O278" s="8" t="n">
        <v>46252.67460648148</v>
      </c>
      <c r="P278" t="inlineStr">
        <is>
          <t>Oakley Fairweather</t>
        </is>
      </c>
      <c r="Q278" t="inlineStr">
        <is>
          <t>LEDGER_OR_CASHFLOW_RECEIVED</t>
        </is>
      </c>
      <c r="R278" t="inlineStr">
        <is>
          <t>SYRM_ACKNOWLEDGED</t>
        </is>
      </c>
      <c r="S278" t="inlineStr">
        <is>
          <t>View details</t>
        </is>
      </c>
    </row>
    <row r="279">
      <c r="A279" t="inlineStr">
        <is>
          <t>468341071172</t>
        </is>
      </c>
      <c r="B279" t="inlineStr">
        <is>
          <t>Oriel Settlement Bank Madrid</t>
        </is>
      </c>
      <c r="C279" t="inlineStr">
        <is>
          <t>794226063698</t>
        </is>
      </c>
      <c r="D279" t="inlineStr">
        <is>
          <t>Larkspur Clearing New York</t>
        </is>
      </c>
      <c r="E279" t="inlineStr">
        <is>
          <t>EUR</t>
        </is>
      </c>
      <c r="F279" t="inlineStr">
        <is>
          <t>NT26081800273</t>
        </is>
      </c>
      <c r="G279" s="6" t="n">
        <v>46252</v>
      </c>
      <c r="H279" s="7" t="n">
        <v>878471707.223</v>
      </c>
      <c r="I279" t="inlineStr">
        <is>
          <t>GBP</t>
        </is>
      </c>
      <c r="J279" s="7" t="n">
        <v>753728724.7970001</v>
      </c>
      <c r="K279" t="inlineStr">
        <is>
          <t>SWIFT</t>
        </is>
      </c>
      <c r="L279" t="inlineStr">
        <is>
          <t>Balance alignment</t>
        </is>
      </c>
      <c r="M279" s="8" t="n">
        <v>46252.61192129629</v>
      </c>
      <c r="N279" t="inlineStr">
        <is>
          <t>Greer Osgood</t>
        </is>
      </c>
      <c r="O279" s="8" t="n">
        <v>46252.65636574074</v>
      </c>
      <c r="P279" t="inlineStr">
        <is>
          <t>Devon Jennings</t>
        </is>
      </c>
      <c r="Q279" t="inlineStr">
        <is>
          <t>LEDGER_OR_CASHFLOW_RECEIVED</t>
        </is>
      </c>
      <c r="R279" t="inlineStr">
        <is>
          <t>SYRM_ACKNOWLEDGED</t>
        </is>
      </c>
      <c r="S279" t="inlineStr">
        <is>
          <t>View details</t>
        </is>
      </c>
    </row>
    <row r="280">
      <c r="A280" t="inlineStr">
        <is>
          <t>132544340094</t>
        </is>
      </c>
      <c r="B280" t="inlineStr">
        <is>
          <t>Granite Commercial Bank Milan</t>
        </is>
      </c>
      <c r="C280" t="inlineStr">
        <is>
          <t>794226063698</t>
        </is>
      </c>
      <c r="D280" t="inlineStr">
        <is>
          <t>Wrenfield Clearing Mexico City</t>
        </is>
      </c>
      <c r="E280" t="inlineStr">
        <is>
          <t>CZK</t>
        </is>
      </c>
      <c r="F280" t="inlineStr">
        <is>
          <t>NT26081800274</t>
        </is>
      </c>
      <c r="G280" s="6" t="n">
        <v>46252</v>
      </c>
      <c r="H280" s="7" t="n">
        <v>23192064.031</v>
      </c>
      <c r="I280" t="inlineStr">
        <is>
          <t>GBP</t>
        </is>
      </c>
      <c r="J280" s="7" t="n">
        <v>786210.971</v>
      </c>
      <c r="K280" t="inlineStr">
        <is>
          <t>SYRM</t>
        </is>
      </c>
      <c r="L280" t="inlineStr"/>
      <c r="M280" s="8" t="n">
        <v>46252.31990740741</v>
      </c>
      <c r="N280" t="inlineStr">
        <is>
          <t>Sawyer Calloway</t>
        </is>
      </c>
      <c r="O280" s="8" t="n">
        <v>46252.36712962963</v>
      </c>
      <c r="P280" t="inlineStr">
        <is>
          <t>Quinn Osgood</t>
        </is>
      </c>
      <c r="Q280" t="inlineStr">
        <is>
          <t>LEDGER_OR_CASHFLOW_RECEIVED</t>
        </is>
      </c>
      <c r="R280" t="inlineStr">
        <is>
          <t>SYRM_ACKNOWLEDGED</t>
        </is>
      </c>
      <c r="S280" t="inlineStr">
        <is>
          <t>View details</t>
        </is>
      </c>
    </row>
    <row r="281">
      <c r="A281" t="inlineStr">
        <is>
          <t>700726936098</t>
        </is>
      </c>
      <c r="B281" t="inlineStr">
        <is>
          <t>Bramble Settlement Bank Hong Kong</t>
        </is>
      </c>
      <c r="C281" t="inlineStr">
        <is>
          <t>910703979141</t>
        </is>
      </c>
      <c r="D281" t="inlineStr">
        <is>
          <t>Pinehurst Commercial Bank Stockholm</t>
        </is>
      </c>
      <c r="E281" t="inlineStr">
        <is>
          <t>SAR</t>
        </is>
      </c>
      <c r="F281" t="inlineStr">
        <is>
          <t>NT26081800275</t>
        </is>
      </c>
      <c r="G281" s="6" t="n">
        <v>46252</v>
      </c>
      <c r="H281" s="7" t="n">
        <v>4360518.82</v>
      </c>
      <c r="I281" t="inlineStr">
        <is>
          <t>GBP</t>
        </is>
      </c>
      <c r="J281" s="7" t="n">
        <v>911348.433</v>
      </c>
      <c r="K281" t="inlineStr">
        <is>
          <t>SYRM</t>
        </is>
      </c>
      <c r="L281" t="inlineStr">
        <is>
          <t>Balance alignment</t>
        </is>
      </c>
      <c r="M281" s="8" t="n">
        <v>46252.68907407407</v>
      </c>
      <c r="N281" t="inlineStr">
        <is>
          <t>Greer Prentice</t>
        </is>
      </c>
      <c r="O281" s="8" t="n">
        <v>46252.70782407407</v>
      </c>
      <c r="P281" t="inlineStr">
        <is>
          <t>Devon Calloway</t>
        </is>
      </c>
      <c r="Q281" t="inlineStr">
        <is>
          <t>LEDGER_OR_CASHFLOW_RECEIVED</t>
        </is>
      </c>
      <c r="R281" t="inlineStr">
        <is>
          <t>SYRM_ACKNOWLEDGED</t>
        </is>
      </c>
      <c r="S281" t="inlineStr">
        <is>
          <t>View details</t>
        </is>
      </c>
    </row>
    <row r="282">
      <c r="A282" t="inlineStr">
        <is>
          <t>132544340094</t>
        </is>
      </c>
      <c r="B282" t="inlineStr">
        <is>
          <t>Bramble Clearing Milan</t>
        </is>
      </c>
      <c r="C282" t="inlineStr">
        <is>
          <t>150316825069</t>
        </is>
      </c>
      <c r="D282" t="inlineStr">
        <is>
          <t>Wrenfield Commercial Bank Oslo</t>
        </is>
      </c>
      <c r="E282" t="inlineStr">
        <is>
          <t>CZK</t>
        </is>
      </c>
      <c r="F282" t="inlineStr">
        <is>
          <t>NT26081800276</t>
        </is>
      </c>
      <c r="G282" s="6" t="n">
        <v>46252</v>
      </c>
      <c r="H282" s="7" t="n">
        <v>30573187.703</v>
      </c>
      <c r="I282" t="inlineStr">
        <is>
          <t>GBP</t>
        </is>
      </c>
      <c r="J282" s="7" t="n">
        <v>1036431.063</v>
      </c>
      <c r="K282" t="inlineStr">
        <is>
          <t>INTERNAL</t>
        </is>
      </c>
      <c r="L282" t="inlineStr"/>
      <c r="M282" s="8" t="n">
        <v>46252.54217592593</v>
      </c>
      <c r="N282" t="inlineStr">
        <is>
          <t>Greer Prentice</t>
        </is>
      </c>
      <c r="O282" s="8" t="n">
        <v>46252.5824537037</v>
      </c>
      <c r="P282" t="inlineStr">
        <is>
          <t>Noor Sinclair</t>
        </is>
      </c>
      <c r="Q282" t="inlineStr">
        <is>
          <t>LEDGER_OR_CASHFLOW_RECEIVED</t>
        </is>
      </c>
      <c r="R282" t="inlineStr">
        <is>
          <t>SYRM_ACKNOWLEDGED</t>
        </is>
      </c>
      <c r="S282" t="inlineStr">
        <is>
          <t>View details</t>
        </is>
      </c>
    </row>
    <row r="283">
      <c r="A283" t="inlineStr">
        <is>
          <t>927538182434</t>
        </is>
      </c>
      <c r="B283" t="inlineStr">
        <is>
          <t>Yarrow Settlement Bank Oslo</t>
        </is>
      </c>
      <c r="C283" t="inlineStr">
        <is>
          <t>171857983160</t>
        </is>
      </c>
      <c r="D283" t="inlineStr">
        <is>
          <t>Zephyr Bank Singapore</t>
        </is>
      </c>
      <c r="E283" t="inlineStr">
        <is>
          <t>CNY</t>
        </is>
      </c>
      <c r="F283" t="inlineStr">
        <is>
          <t>NT26081800277</t>
        </is>
      </c>
      <c r="G283" s="6" t="n">
        <v>46252</v>
      </c>
      <c r="H283" s="7" t="n">
        <v>4185150.116</v>
      </c>
      <c r="I283" t="inlineStr">
        <is>
          <t>GBP</t>
        </is>
      </c>
      <c r="J283" s="7" t="n">
        <v>456181.363</v>
      </c>
      <c r="K283" t="inlineStr">
        <is>
          <t>SYRM</t>
        </is>
      </c>
      <c r="L283" t="inlineStr">
        <is>
          <t>Funding move</t>
        </is>
      </c>
      <c r="M283" s="8" t="n">
        <v>46252.58043981482</v>
      </c>
      <c r="N283" t="inlineStr">
        <is>
          <t>Ellis Gallagher</t>
        </is>
      </c>
      <c r="O283" s="8" t="n">
        <v>46252.60127314815</v>
      </c>
      <c r="P283" t="inlineStr">
        <is>
          <t>Oakley Novak</t>
        </is>
      </c>
      <c r="Q283" t="inlineStr">
        <is>
          <t>LEDGER_OR_CASHFLOW_RECEIVED</t>
        </is>
      </c>
      <c r="R283" t="inlineStr">
        <is>
          <t>SYRM_ACKNOWLEDGED</t>
        </is>
      </c>
      <c r="S283" t="inlineStr">
        <is>
          <t>View details</t>
        </is>
      </c>
    </row>
    <row r="284">
      <c r="A284" t="inlineStr">
        <is>
          <t>621381112674</t>
        </is>
      </c>
      <c r="B284" t="inlineStr">
        <is>
          <t>Cedar Settlement Bank Hong Kong</t>
        </is>
      </c>
      <c r="C284" t="inlineStr">
        <is>
          <t>499062838623</t>
        </is>
      </c>
      <c r="D284" t="inlineStr">
        <is>
          <t>Redstart Commercial Bank Dublin</t>
        </is>
      </c>
      <c r="E284" t="inlineStr">
        <is>
          <t>PLN</t>
        </is>
      </c>
      <c r="F284" t="inlineStr">
        <is>
          <t>NT26081800278</t>
        </is>
      </c>
      <c r="G284" s="6" t="n">
        <v>46252</v>
      </c>
      <c r="H284" s="7" t="n">
        <v>57829.096</v>
      </c>
      <c r="I284" t="inlineStr">
        <is>
          <t>GBP</t>
        </is>
      </c>
      <c r="J284" s="7" t="n">
        <v>11450.161</v>
      </c>
      <c r="K284" t="inlineStr">
        <is>
          <t>SYRM</t>
        </is>
      </c>
      <c r="L284" t="inlineStr">
        <is>
          <t>Funding move</t>
        </is>
      </c>
      <c r="M284" s="8" t="n">
        <v>46252.51390046296</v>
      </c>
      <c r="N284" t="inlineStr">
        <is>
          <t>Ellis Gallagher</t>
        </is>
      </c>
      <c r="O284" s="8" t="n">
        <v>46252.57015046296</v>
      </c>
      <c r="P284" t="inlineStr">
        <is>
          <t>Wren Fairweather</t>
        </is>
      </c>
      <c r="Q284" t="inlineStr">
        <is>
          <t>LEDGER_RECEIVED</t>
        </is>
      </c>
      <c r="R284" t="inlineStr">
        <is>
          <t>SYRM_ACKNOWLEDGED</t>
        </is>
      </c>
      <c r="S284" t="inlineStr">
        <is>
          <t>View details</t>
        </is>
      </c>
    </row>
    <row r="285">
      <c r="A285" t="inlineStr">
        <is>
          <t>927538182434</t>
        </is>
      </c>
      <c r="B285" t="inlineStr">
        <is>
          <t>Alder Settlement Bank Paris</t>
        </is>
      </c>
      <c r="C285" t="inlineStr">
        <is>
          <t>150316825069</t>
        </is>
      </c>
      <c r="D285" t="inlineStr">
        <is>
          <t>Juniper Commercial Bank Warsaw</t>
        </is>
      </c>
      <c r="E285" t="inlineStr">
        <is>
          <t>CNY</t>
        </is>
      </c>
      <c r="F285" t="inlineStr">
        <is>
          <t>NT26081800279</t>
        </is>
      </c>
      <c r="G285" s="6" t="n">
        <v>46252</v>
      </c>
      <c r="H285" s="7" t="n">
        <v>94234527.626</v>
      </c>
      <c r="I285" t="inlineStr">
        <is>
          <t>GBP</t>
        </is>
      </c>
      <c r="J285" s="7" t="n">
        <v>10271563.511</v>
      </c>
      <c r="K285" t="inlineStr">
        <is>
          <t>SYRM</t>
        </is>
      </c>
      <c r="L285" t="inlineStr">
        <is>
          <t>Funding move</t>
        </is>
      </c>
      <c r="M285" s="8" t="n">
        <v>46252.49194444445</v>
      </c>
      <c r="N285" t="inlineStr">
        <is>
          <t>Marlow Thorne</t>
        </is>
      </c>
      <c r="O285" s="8" t="n">
        <v>46252.49680555556</v>
      </c>
      <c r="P285" t="inlineStr">
        <is>
          <t>Marlow Sinclair</t>
        </is>
      </c>
      <c r="Q285" t="inlineStr">
        <is>
          <t>LEDGER_OR_CASHFLOW_RECEIVED</t>
        </is>
      </c>
      <c r="R285" t="inlineStr">
        <is>
          <t>SYRM_ACKNOWLEDGED</t>
        </is>
      </c>
      <c r="S285" t="inlineStr">
        <is>
          <t>View details</t>
        </is>
      </c>
    </row>
    <row r="286">
      <c r="A286" t="inlineStr">
        <is>
          <t>284925023085</t>
        </is>
      </c>
      <c r="B286" t="inlineStr">
        <is>
          <t>Zephyr Settlement Bank Sydney</t>
        </is>
      </c>
      <c r="C286" t="inlineStr">
        <is>
          <t>953625291146</t>
        </is>
      </c>
      <c r="D286" t="inlineStr">
        <is>
          <t>Juniper Clearing New York</t>
        </is>
      </c>
      <c r="E286" t="inlineStr">
        <is>
          <t>MXN</t>
        </is>
      </c>
      <c r="F286" t="inlineStr">
        <is>
          <t>NT26081800280</t>
        </is>
      </c>
      <c r="G286" s="6" t="n">
        <v>46252</v>
      </c>
      <c r="H286" s="7" t="n">
        <v>29933536.281</v>
      </c>
      <c r="I286" t="inlineStr">
        <is>
          <t>GBP</t>
        </is>
      </c>
      <c r="J286" s="7" t="n">
        <v>1281155.353</v>
      </c>
      <c r="K286" t="inlineStr">
        <is>
          <t>SWIFT</t>
        </is>
      </c>
      <c r="L286" t="inlineStr">
        <is>
          <t>Intraday top-up</t>
        </is>
      </c>
      <c r="M286" s="8" t="n">
        <v>46252.30237268518</v>
      </c>
      <c r="N286" t="inlineStr">
        <is>
          <t>Noor Thorne</t>
        </is>
      </c>
      <c r="O286" s="8" t="n">
        <v>46252.32251157407</v>
      </c>
      <c r="P286" t="inlineStr">
        <is>
          <t>Avery Sinclair</t>
        </is>
      </c>
      <c r="Q286" t="inlineStr">
        <is>
          <t>LEDGER_OR_CASHFLOW_RECEIVED</t>
        </is>
      </c>
      <c r="R286" t="inlineStr">
        <is>
          <t>SYRM_ACKNOWLEDGED</t>
        </is>
      </c>
      <c r="S286" t="inlineStr">
        <is>
          <t>View details</t>
        </is>
      </c>
    </row>
    <row r="287">
      <c r="A287" t="inlineStr">
        <is>
          <t>910703979141</t>
        </is>
      </c>
      <c r="B287" t="inlineStr">
        <is>
          <t>Mallow Trust Frankfurt</t>
        </is>
      </c>
      <c r="C287" t="inlineStr">
        <is>
          <t>113829985108</t>
        </is>
      </c>
      <c r="D287" t="inlineStr">
        <is>
          <t>Mallow Commercial Bank Mexico City</t>
        </is>
      </c>
      <c r="E287" t="inlineStr">
        <is>
          <t>CHF</t>
        </is>
      </c>
      <c r="F287" t="inlineStr">
        <is>
          <t>NT26081800281</t>
        </is>
      </c>
      <c r="G287" s="6" t="n">
        <v>46252</v>
      </c>
      <c r="H287" s="7" t="n">
        <v>239.522</v>
      </c>
      <c r="I287" t="inlineStr">
        <is>
          <t>GBP</t>
        </is>
      </c>
      <c r="J287" s="7" t="n">
        <v>214.851</v>
      </c>
      <c r="K287" t="inlineStr">
        <is>
          <t>SYRM</t>
        </is>
      </c>
      <c r="L287" t="inlineStr">
        <is>
          <t>Intraday top-up</t>
        </is>
      </c>
      <c r="M287" s="8" t="n">
        <v>46252.49857638889</v>
      </c>
      <c r="N287" t="inlineStr">
        <is>
          <t>Greer Osgood</t>
        </is>
      </c>
      <c r="O287" s="8" t="n">
        <v>46252.50760416667</v>
      </c>
      <c r="P287" t="inlineStr">
        <is>
          <t>Blake Fairweather</t>
        </is>
      </c>
      <c r="Q287" t="inlineStr">
        <is>
          <t>FAILED</t>
        </is>
      </c>
      <c r="R287" t="inlineStr">
        <is>
          <t>SYRM_ACKNOWLEDGED</t>
        </is>
      </c>
      <c r="S287" t="inlineStr">
        <is>
          <t>View details</t>
        </is>
      </c>
    </row>
    <row r="288">
      <c r="A288" t="inlineStr">
        <is>
          <t>910703979141</t>
        </is>
      </c>
      <c r="B288" t="inlineStr">
        <is>
          <t>Ironbark Trust Dublin</t>
        </is>
      </c>
      <c r="C288" t="inlineStr">
        <is>
          <t>150316825069</t>
        </is>
      </c>
      <c r="D288" t="inlineStr">
        <is>
          <t>Wrenfield Clearing Frankfurt</t>
        </is>
      </c>
      <c r="E288" t="inlineStr">
        <is>
          <t>CHF</t>
        </is>
      </c>
      <c r="F288" t="inlineStr">
        <is>
          <t>NT26081800282</t>
        </is>
      </c>
      <c r="G288" s="6" t="n">
        <v>46252</v>
      </c>
      <c r="H288" s="7" t="n">
        <v>215146560.885</v>
      </c>
      <c r="I288" t="inlineStr">
        <is>
          <t>GBP</t>
        </is>
      </c>
      <c r="J288" s="7" t="n">
        <v>192986465.114</v>
      </c>
      <c r="K288" t="inlineStr">
        <is>
          <t>SYRM</t>
        </is>
      </c>
      <c r="L288" t="inlineStr">
        <is>
          <t>Intraday top-up</t>
        </is>
      </c>
      <c r="M288" s="8" t="n">
        <v>46252.61462962963</v>
      </c>
      <c r="N288" t="inlineStr">
        <is>
          <t>Wren Fairweather</t>
        </is>
      </c>
      <c r="O288" s="8" t="n">
        <v>46252.62782407407</v>
      </c>
      <c r="P288" t="inlineStr">
        <is>
          <t>Finley Sinclair</t>
        </is>
      </c>
      <c r="Q288" t="inlineStr">
        <is>
          <t>LEDGER_OR_CASHFLOW_RECEIVED</t>
        </is>
      </c>
      <c r="R288" t="inlineStr">
        <is>
          <t>SYRM_ACKNOWLEDGED</t>
        </is>
      </c>
      <c r="S288" t="inlineStr">
        <is>
          <t>View details</t>
        </is>
      </c>
    </row>
    <row r="289">
      <c r="A289" t="inlineStr">
        <is>
          <t>726928343448</t>
        </is>
      </c>
      <c r="B289" t="inlineStr">
        <is>
          <t>Thornbury Commercial Bank London</t>
        </is>
      </c>
      <c r="C289" t="inlineStr">
        <is>
          <t>468341071172</t>
        </is>
      </c>
      <c r="D289" t="inlineStr">
        <is>
          <t>Zephyr Commercial Bank Oslo</t>
        </is>
      </c>
      <c r="E289" t="inlineStr">
        <is>
          <t>EUR</t>
        </is>
      </c>
      <c r="F289" t="inlineStr">
        <is>
          <t>NT26081800283</t>
        </is>
      </c>
      <c r="G289" s="6" t="n">
        <v>46252</v>
      </c>
      <c r="H289" s="7" t="n">
        <v>1361143.156</v>
      </c>
      <c r="I289" t="inlineStr">
        <is>
          <t>GBP</t>
        </is>
      </c>
      <c r="J289" s="7" t="n">
        <v>1167860.828</v>
      </c>
      <c r="K289" t="inlineStr">
        <is>
          <t>SYRM</t>
        </is>
      </c>
      <c r="L289" t="inlineStr">
        <is>
          <t>Intraday top-up</t>
        </is>
      </c>
      <c r="M289" s="8" t="n">
        <v>46252.65136574074</v>
      </c>
      <c r="N289" t="inlineStr">
        <is>
          <t>Kai Novak</t>
        </is>
      </c>
      <c r="O289" s="8" t="n">
        <v>46252.6992824074</v>
      </c>
      <c r="P289" t="inlineStr">
        <is>
          <t>Quinn Lindqvist</t>
        </is>
      </c>
      <c r="Q289" t="inlineStr">
        <is>
          <t>LEDGER_OR_CASHFLOW_RECEIVED</t>
        </is>
      </c>
      <c r="R289" t="inlineStr">
        <is>
          <t>SYRM_ACKNOWLEDGED</t>
        </is>
      </c>
      <c r="S289" t="inlineStr">
        <is>
          <t>View details</t>
        </is>
      </c>
    </row>
    <row r="290">
      <c r="A290" t="inlineStr">
        <is>
          <t>150316825069</t>
        </is>
      </c>
      <c r="B290" t="inlineStr">
        <is>
          <t>Zephyr Settlement Bank Sydney</t>
        </is>
      </c>
      <c r="C290" t="inlineStr">
        <is>
          <t>968942362772</t>
        </is>
      </c>
      <c r="D290" t="inlineStr">
        <is>
          <t>Yarrow Bank Stockholm</t>
        </is>
      </c>
      <c r="E290" t="inlineStr">
        <is>
          <t>GBP</t>
        </is>
      </c>
      <c r="F290" t="inlineStr">
        <is>
          <t>NT26081800284</t>
        </is>
      </c>
      <c r="G290" s="6" t="n">
        <v>46252</v>
      </c>
      <c r="H290" s="7" t="n">
        <v>1205089.56</v>
      </c>
      <c r="I290" t="inlineStr">
        <is>
          <t>GBP</t>
        </is>
      </c>
      <c r="J290" s="7" t="n">
        <v>1205089.56</v>
      </c>
      <c r="K290" t="inlineStr">
        <is>
          <t>SYRM</t>
        </is>
      </c>
      <c r="L290" t="inlineStr">
        <is>
          <t>Intraday top-up</t>
        </is>
      </c>
      <c r="M290" s="8" t="n">
        <v>46252.71771990741</v>
      </c>
      <c r="N290" t="inlineStr">
        <is>
          <t>Wren Hollis</t>
        </is>
      </c>
      <c r="O290" s="8" t="n">
        <v>46252.76633101852</v>
      </c>
      <c r="P290" t="inlineStr">
        <is>
          <t>Marlow Sinclair</t>
        </is>
      </c>
      <c r="Q290" t="inlineStr">
        <is>
          <t>LEDGER_OR_CASHFLOW_RECEIVED</t>
        </is>
      </c>
      <c r="R290" t="inlineStr">
        <is>
          <t>SYRM_ACKNOWLEDGED</t>
        </is>
      </c>
      <c r="S290" t="inlineStr">
        <is>
          <t>View details</t>
        </is>
      </c>
    </row>
    <row r="291">
      <c r="A291" t="inlineStr">
        <is>
          <t>700726936098</t>
        </is>
      </c>
      <c r="B291" t="inlineStr">
        <is>
          <t>Sablewood Settlement Bank Oslo</t>
        </is>
      </c>
      <c r="C291" t="inlineStr">
        <is>
          <t>968942362772</t>
        </is>
      </c>
      <c r="D291" t="inlineStr">
        <is>
          <t>Kestrel Clearing Oslo</t>
        </is>
      </c>
      <c r="E291" t="inlineStr">
        <is>
          <t>SAR</t>
        </is>
      </c>
      <c r="F291" t="inlineStr">
        <is>
          <t>NT26081800285</t>
        </is>
      </c>
      <c r="G291" s="6" t="n">
        <v>46252</v>
      </c>
      <c r="H291" s="7" t="n">
        <v>5833358.531</v>
      </c>
      <c r="I291" t="inlineStr">
        <is>
          <t>GBP</t>
        </is>
      </c>
      <c r="J291" s="7" t="n">
        <v>1219171.933</v>
      </c>
      <c r="K291" t="inlineStr">
        <is>
          <t>SYRM</t>
        </is>
      </c>
      <c r="L291" t="inlineStr">
        <is>
          <t>Funding move</t>
        </is>
      </c>
      <c r="M291" s="8" t="n">
        <v>46252.73172453704</v>
      </c>
      <c r="N291" t="inlineStr">
        <is>
          <t>Lennox Ellison</t>
        </is>
      </c>
      <c r="O291" s="8" t="n">
        <v>46252.74144675926</v>
      </c>
      <c r="P291" t="inlineStr">
        <is>
          <t>Wren Delaney</t>
        </is>
      </c>
      <c r="Q291" t="inlineStr">
        <is>
          <t>CASHFLOW_RECEIVED</t>
        </is>
      </c>
      <c r="R291" t="inlineStr">
        <is>
          <t>SYRM_ACKNOWLEDGED</t>
        </is>
      </c>
      <c r="S291" t="inlineStr">
        <is>
          <t>View details</t>
        </is>
      </c>
    </row>
    <row r="292">
      <c r="A292" t="inlineStr">
        <is>
          <t>910703979141</t>
        </is>
      </c>
      <c r="B292" t="inlineStr">
        <is>
          <t>Redstart Trust Mexico City</t>
        </is>
      </c>
      <c r="C292" t="inlineStr">
        <is>
          <t>150316825069</t>
        </is>
      </c>
      <c r="D292" t="inlineStr">
        <is>
          <t>Oriel Settlement Bank Madrid</t>
        </is>
      </c>
      <c r="E292" t="inlineStr">
        <is>
          <t>CHF</t>
        </is>
      </c>
      <c r="F292" t="inlineStr">
        <is>
          <t>NT26081800286</t>
        </is>
      </c>
      <c r="G292" s="6" t="n">
        <v>46252</v>
      </c>
      <c r="H292" s="7" t="n">
        <v>774745801.368</v>
      </c>
      <c r="I292" t="inlineStr">
        <is>
          <t>GBP</t>
        </is>
      </c>
      <c r="J292" s="7" t="n">
        <v>694946983.827</v>
      </c>
      <c r="K292" t="inlineStr">
        <is>
          <t>SYRM</t>
        </is>
      </c>
      <c r="L292" t="inlineStr"/>
      <c r="M292" s="8" t="n">
        <v>46252.33828703704</v>
      </c>
      <c r="N292" t="inlineStr">
        <is>
          <t>Blake Fairweather</t>
        </is>
      </c>
      <c r="O292" s="8" t="n">
        <v>46252.36189814815</v>
      </c>
      <c r="P292" t="inlineStr">
        <is>
          <t>Noor Sinclair</t>
        </is>
      </c>
      <c r="Q292" t="inlineStr">
        <is>
          <t>LEDGER_OR_CASHFLOW_RECEIVED</t>
        </is>
      </c>
      <c r="R292" t="inlineStr">
        <is>
          <t>SYRM_ACKNOWLEDGED</t>
        </is>
      </c>
      <c r="S292" t="inlineStr">
        <is>
          <t>View details</t>
        </is>
      </c>
    </row>
    <row r="293">
      <c r="A293" t="inlineStr">
        <is>
          <t>468341071172</t>
        </is>
      </c>
      <c r="B293" t="inlineStr">
        <is>
          <t>Harrow Bank Milan</t>
        </is>
      </c>
      <c r="C293" t="inlineStr">
        <is>
          <t>794226063698</t>
        </is>
      </c>
      <c r="D293" t="inlineStr">
        <is>
          <t>Wrenfield Bank Paris</t>
        </is>
      </c>
      <c r="E293" t="inlineStr">
        <is>
          <t>EUR</t>
        </is>
      </c>
      <c r="F293" t="inlineStr">
        <is>
          <t>NT26081800287</t>
        </is>
      </c>
      <c r="G293" s="6" t="n">
        <v>46252</v>
      </c>
      <c r="H293" s="7" t="n">
        <v>2850510.85</v>
      </c>
      <c r="I293" t="inlineStr">
        <is>
          <t>GBP</t>
        </is>
      </c>
      <c r="J293" s="7" t="n">
        <v>2445738.309</v>
      </c>
      <c r="K293" t="inlineStr">
        <is>
          <t>SYRM</t>
        </is>
      </c>
      <c r="L293" t="inlineStr">
        <is>
          <t>Liquidity sweep</t>
        </is>
      </c>
      <c r="M293" s="8" t="n">
        <v>46252.65533564815</v>
      </c>
      <c r="N293" t="inlineStr">
        <is>
          <t>Wren Fairweather</t>
        </is>
      </c>
      <c r="O293" s="8" t="n">
        <v>46252.70811342593</v>
      </c>
      <c r="P293" t="inlineStr">
        <is>
          <t>Ellis Delaney</t>
        </is>
      </c>
      <c r="Q293" t="inlineStr">
        <is>
          <t>LEDGER_OR_CASHFLOW_RECEIVED</t>
        </is>
      </c>
      <c r="R293" t="inlineStr">
        <is>
          <t>SYRM_ACKNOWLEDGED</t>
        </is>
      </c>
      <c r="S293" t="inlineStr">
        <is>
          <t>View details</t>
        </is>
      </c>
    </row>
    <row r="294">
      <c r="A294" t="inlineStr">
        <is>
          <t>265771593142</t>
        </is>
      </c>
      <c r="B294" t="inlineStr">
        <is>
          <t>Zephyr Settlement Bank New York</t>
        </is>
      </c>
      <c r="C294" t="inlineStr">
        <is>
          <t>150316825069</t>
        </is>
      </c>
      <c r="D294" t="inlineStr">
        <is>
          <t>Dunlin Commercial Bank Warsaw</t>
        </is>
      </c>
      <c r="E294" t="inlineStr">
        <is>
          <t>EUR</t>
        </is>
      </c>
      <c r="F294" t="inlineStr">
        <is>
          <t>NT26081800288</t>
        </is>
      </c>
      <c r="G294" s="6" t="n">
        <v>46252</v>
      </c>
      <c r="H294" s="7" t="n">
        <v>23367828.454</v>
      </c>
      <c r="I294" t="inlineStr">
        <is>
          <t>GBP</t>
        </is>
      </c>
      <c r="J294" s="7" t="n">
        <v>20049596.814</v>
      </c>
      <c r="K294" t="inlineStr">
        <is>
          <t>INTERNAL</t>
        </is>
      </c>
      <c r="L294" t="inlineStr">
        <is>
          <t>Liquidity sweep</t>
        </is>
      </c>
      <c r="M294" s="8" t="n">
        <v>46252.31197916667</v>
      </c>
      <c r="N294" t="inlineStr">
        <is>
          <t>Noor Sinclair</t>
        </is>
      </c>
      <c r="O294" s="8" t="n">
        <v>46252.32517361111</v>
      </c>
      <c r="P294" t="inlineStr">
        <is>
          <t>Noor Brookes</t>
        </is>
      </c>
      <c r="Q294" t="inlineStr">
        <is>
          <t>CASHFLOW_RECEIVED</t>
        </is>
      </c>
      <c r="R294" t="inlineStr">
        <is>
          <t>SYRM_ACKNOWLEDGED</t>
        </is>
      </c>
      <c r="S294" t="inlineStr">
        <is>
          <t>View details</t>
        </is>
      </c>
    </row>
    <row r="295">
      <c r="A295" t="inlineStr">
        <is>
          <t>824840705580</t>
        </is>
      </c>
      <c r="B295" t="inlineStr">
        <is>
          <t>Zephyr Settlement Bank New York</t>
        </is>
      </c>
      <c r="C295" t="inlineStr">
        <is>
          <t>968942362772</t>
        </is>
      </c>
      <c r="D295" t="inlineStr">
        <is>
          <t>Fernway Trust Tokyo</t>
        </is>
      </c>
      <c r="E295" t="inlineStr">
        <is>
          <t>EUR</t>
        </is>
      </c>
      <c r="F295" t="inlineStr">
        <is>
          <t>NT26081800289</t>
        </is>
      </c>
      <c r="G295" s="6" t="n">
        <v>46252</v>
      </c>
      <c r="H295" s="7" t="n">
        <v>50543754.295</v>
      </c>
      <c r="I295" t="inlineStr">
        <is>
          <t>GBP</t>
        </is>
      </c>
      <c r="J295" s="7" t="n">
        <v>43366541.185</v>
      </c>
      <c r="K295" t="inlineStr">
        <is>
          <t>SWIFT</t>
        </is>
      </c>
      <c r="L295" t="inlineStr"/>
      <c r="M295" s="8" t="n">
        <v>46252.4425</v>
      </c>
      <c r="N295" t="inlineStr">
        <is>
          <t>Noor Sinclair</t>
        </is>
      </c>
      <c r="O295" s="8" t="n">
        <v>46252.50152777778</v>
      </c>
      <c r="P295" t="inlineStr">
        <is>
          <t>Lennox Ellison</t>
        </is>
      </c>
      <c r="Q295" t="inlineStr">
        <is>
          <t>LEDGER_OR_CASHFLOW_RECEIVED</t>
        </is>
      </c>
      <c r="R295" t="inlineStr">
        <is>
          <t>SYRM_ACKNOWLEDGED</t>
        </is>
      </c>
      <c r="S295" t="inlineStr">
        <is>
          <t>View details</t>
        </is>
      </c>
    </row>
    <row r="296">
      <c r="A296" t="inlineStr">
        <is>
          <t>927538182434</t>
        </is>
      </c>
      <c r="B296" t="inlineStr">
        <is>
          <t>Harrow Bank Milan</t>
        </is>
      </c>
      <c r="C296" t="inlineStr">
        <is>
          <t>265771593142</t>
        </is>
      </c>
      <c r="D296" t="inlineStr">
        <is>
          <t>Bramble Commercial Bank Toronto</t>
        </is>
      </c>
      <c r="E296" t="inlineStr">
        <is>
          <t>CNY</t>
        </is>
      </c>
      <c r="F296" t="inlineStr">
        <is>
          <t>NT26081800290</t>
        </is>
      </c>
      <c r="G296" s="6" t="n">
        <v>46252</v>
      </c>
      <c r="H296" s="7" t="n">
        <v>171546.049</v>
      </c>
      <c r="I296" t="inlineStr">
        <is>
          <t>GBP</t>
        </is>
      </c>
      <c r="J296" s="7" t="n">
        <v>18698.519</v>
      </c>
      <c r="K296" t="inlineStr">
        <is>
          <t>SYRM</t>
        </is>
      </c>
      <c r="L296" t="inlineStr">
        <is>
          <t>Funding move</t>
        </is>
      </c>
      <c r="M296" s="8" t="n">
        <v>46252.72035879629</v>
      </c>
      <c r="N296" t="inlineStr">
        <is>
          <t>Oakley Delaney</t>
        </is>
      </c>
      <c r="O296" s="8" t="n">
        <v>46252.72452546296</v>
      </c>
      <c r="P296" t="inlineStr">
        <is>
          <t>Marlow Sinclair</t>
        </is>
      </c>
      <c r="Q296" t="inlineStr">
        <is>
          <t>LEDGER_OR_CASHFLOW_RECEIVED</t>
        </is>
      </c>
      <c r="R296" t="inlineStr">
        <is>
          <t>SYRM_ACKNOWLEDGED</t>
        </is>
      </c>
      <c r="S296" t="inlineStr">
        <is>
          <t>View details</t>
        </is>
      </c>
    </row>
    <row r="297">
      <c r="A297" t="inlineStr">
        <is>
          <t>927538182434</t>
        </is>
      </c>
      <c r="B297" t="inlineStr">
        <is>
          <t>Redstart Commercial Bank Dublin</t>
        </is>
      </c>
      <c r="C297" t="inlineStr">
        <is>
          <t>171857983160</t>
        </is>
      </c>
      <c r="D297" t="inlineStr">
        <is>
          <t>Juniper Trust London</t>
        </is>
      </c>
      <c r="E297" t="inlineStr">
        <is>
          <t>CNY</t>
        </is>
      </c>
      <c r="F297" t="inlineStr">
        <is>
          <t>NT26081800291</t>
        </is>
      </c>
      <c r="G297" s="6" t="n">
        <v>46252</v>
      </c>
      <c r="H297" s="7" t="n">
        <v>3759561.229</v>
      </c>
      <c r="I297" t="inlineStr">
        <is>
          <t>GBP</t>
        </is>
      </c>
      <c r="J297" s="7" t="n">
        <v>409792.174</v>
      </c>
      <c r="K297" t="inlineStr">
        <is>
          <t>SYRM</t>
        </is>
      </c>
      <c r="L297" t="inlineStr">
        <is>
          <t>Intraday top-up</t>
        </is>
      </c>
      <c r="M297" s="8" t="n">
        <v>46252.41251157408</v>
      </c>
      <c r="N297" t="inlineStr">
        <is>
          <t>Kai Novak</t>
        </is>
      </c>
      <c r="O297" s="8" t="n">
        <v>46252.46112268518</v>
      </c>
      <c r="P297" t="inlineStr">
        <is>
          <t>Oakley Prentice</t>
        </is>
      </c>
      <c r="Q297" t="inlineStr">
        <is>
          <t>LEDGER_OR_CASHFLOW_RECEIVED</t>
        </is>
      </c>
      <c r="R297" t="inlineStr">
        <is>
          <t>SYRM_ACKNOWLEDGED</t>
        </is>
      </c>
      <c r="S297" t="inlineStr">
        <is>
          <t>View details</t>
        </is>
      </c>
    </row>
    <row r="298">
      <c r="A298" t="inlineStr">
        <is>
          <t>359365220160</t>
        </is>
      </c>
      <c r="B298" t="inlineStr">
        <is>
          <t>Kestrel Bank Frankfurt</t>
        </is>
      </c>
      <c r="C298" t="inlineStr">
        <is>
          <t>927538182434</t>
        </is>
      </c>
      <c r="D298" t="inlineStr">
        <is>
          <t>Zephyr Settlement Bank New York</t>
        </is>
      </c>
      <c r="E298" t="inlineStr">
        <is>
          <t>EUR</t>
        </is>
      </c>
      <c r="F298" t="inlineStr">
        <is>
          <t>NT26081800292</t>
        </is>
      </c>
      <c r="G298" s="6" t="n">
        <v>46252</v>
      </c>
      <c r="H298" s="7" t="n">
        <v>380321388.904</v>
      </c>
      <c r="I298" t="inlineStr">
        <is>
          <t>GBP</t>
        </is>
      </c>
      <c r="J298" s="7" t="n">
        <v>326315751.68</v>
      </c>
      <c r="K298" t="inlineStr">
        <is>
          <t>SYRM</t>
        </is>
      </c>
      <c r="L298" t="inlineStr"/>
      <c r="M298" s="8" t="n">
        <v>46252.63317129629</v>
      </c>
      <c r="N298" t="inlineStr">
        <is>
          <t>Noor Thorne</t>
        </is>
      </c>
      <c r="O298" s="8" t="n">
        <v>46252.65400462963</v>
      </c>
      <c r="P298" t="inlineStr">
        <is>
          <t>Marlow Rhodes</t>
        </is>
      </c>
      <c r="Q298" t="inlineStr">
        <is>
          <t>LEDGER_OR_CASHFLOW_RECEIVED</t>
        </is>
      </c>
      <c r="R298" t="inlineStr">
        <is>
          <t>SYRM_ACKNOWLEDGED</t>
        </is>
      </c>
      <c r="S298" t="inlineStr">
        <is>
          <t>View details</t>
        </is>
      </c>
    </row>
    <row r="299">
      <c r="A299" t="inlineStr">
        <is>
          <t>499062838623</t>
        </is>
      </c>
      <c r="B299" t="inlineStr">
        <is>
          <t>Redstart Commercial Bank Stockholm</t>
        </is>
      </c>
      <c r="C299" t="inlineStr">
        <is>
          <t>499062838623</t>
        </is>
      </c>
      <c r="D299" t="inlineStr">
        <is>
          <t>Bramble Settlement Bank Hong Kong</t>
        </is>
      </c>
      <c r="E299" t="inlineStr">
        <is>
          <t>USD</t>
        </is>
      </c>
      <c r="F299" t="inlineStr">
        <is>
          <t>NT26081800293</t>
        </is>
      </c>
      <c r="G299" s="6" t="n">
        <v>46252</v>
      </c>
      <c r="H299" s="7" t="n">
        <v>123553229.282</v>
      </c>
      <c r="I299" t="inlineStr">
        <is>
          <t>GBP</t>
        </is>
      </c>
      <c r="J299" s="7" t="n">
        <v>96865731.757</v>
      </c>
      <c r="K299" t="inlineStr">
        <is>
          <t>SYRM</t>
        </is>
      </c>
      <c r="L299" t="inlineStr">
        <is>
          <t>Liquidity sweep</t>
        </is>
      </c>
      <c r="M299" s="8" t="n">
        <v>46252.66961805556</v>
      </c>
      <c r="N299" t="inlineStr">
        <is>
          <t>Blake Fairweather</t>
        </is>
      </c>
      <c r="O299" s="8" t="n">
        <v>46252.6890625</v>
      </c>
      <c r="P299" t="inlineStr">
        <is>
          <t>Sawyer Calloway</t>
        </is>
      </c>
      <c r="Q299" t="inlineStr">
        <is>
          <t>LEDGER_OR_CASHFLOW_RECEIVED</t>
        </is>
      </c>
      <c r="R299" t="inlineStr">
        <is>
          <t>SYRM_REJECTED</t>
        </is>
      </c>
      <c r="S299" t="inlineStr">
        <is>
          <t>View details</t>
        </is>
      </c>
    </row>
    <row r="300">
      <c r="A300" t="inlineStr">
        <is>
          <t>794226063698</t>
        </is>
      </c>
      <c r="B300" t="inlineStr">
        <is>
          <t>Harrow Bank Milan</t>
        </is>
      </c>
      <c r="C300" t="inlineStr">
        <is>
          <t>468341071172</t>
        </is>
      </c>
      <c r="D300" t="inlineStr">
        <is>
          <t>Granite Trust Frankfurt</t>
        </is>
      </c>
      <c r="E300" t="inlineStr">
        <is>
          <t>AED</t>
        </is>
      </c>
      <c r="F300" t="inlineStr">
        <is>
          <t>NT26081800294</t>
        </is>
      </c>
      <c r="G300" s="6" t="n">
        <v>46252</v>
      </c>
      <c r="H300" s="7" t="n">
        <v>476991.916</v>
      </c>
      <c r="I300" t="inlineStr">
        <is>
          <t>GBP</t>
        </is>
      </c>
      <c r="J300" s="7" t="n">
        <v>101599.278</v>
      </c>
      <c r="K300" t="inlineStr">
        <is>
          <t>SYRM</t>
        </is>
      </c>
      <c r="L300" t="inlineStr">
        <is>
          <t>Intraday top-up</t>
        </is>
      </c>
      <c r="M300" s="8" t="n">
        <v>46252.63530092593</v>
      </c>
      <c r="N300" t="inlineStr">
        <is>
          <t>Quinn Lindqvist</t>
        </is>
      </c>
      <c r="O300" s="8" t="n">
        <v>46252.64641203704</v>
      </c>
      <c r="P300" t="inlineStr">
        <is>
          <t>Quinn Hollis</t>
        </is>
      </c>
      <c r="Q300" t="inlineStr">
        <is>
          <t>LEDGER_OR_CASHFLOW_RECEIVED</t>
        </is>
      </c>
      <c r="R300" t="inlineStr">
        <is>
          <t>SYRM_ACKNOWLEDGED</t>
        </is>
      </c>
      <c r="S300" t="inlineStr">
        <is>
          <t>View details</t>
        </is>
      </c>
    </row>
    <row r="301">
      <c r="A301" t="inlineStr">
        <is>
          <t>265771593142</t>
        </is>
      </c>
      <c r="B301" t="inlineStr">
        <is>
          <t>Zephyr Commercial Bank Oslo</t>
        </is>
      </c>
      <c r="C301" t="inlineStr">
        <is>
          <t>898317028833</t>
        </is>
      </c>
      <c r="D301" t="inlineStr">
        <is>
          <t>Alder Settlement Bank Paris</t>
        </is>
      </c>
      <c r="E301" t="inlineStr">
        <is>
          <t>EUR</t>
        </is>
      </c>
      <c r="F301" t="inlineStr">
        <is>
          <t>NT26081800295</t>
        </is>
      </c>
      <c r="G301" s="6" t="n">
        <v>46252</v>
      </c>
      <c r="H301" s="7" t="n">
        <v>2062215.194</v>
      </c>
      <c r="I301" t="inlineStr">
        <is>
          <t>GBP</t>
        </is>
      </c>
      <c r="J301" s="7" t="n">
        <v>1769380.636</v>
      </c>
      <c r="K301" t="inlineStr">
        <is>
          <t>SYRM</t>
        </is>
      </c>
      <c r="L301" t="inlineStr">
        <is>
          <t>Funding move</t>
        </is>
      </c>
      <c r="M301" s="8" t="n">
        <v>46252.37313657408</v>
      </c>
      <c r="N301" t="inlineStr">
        <is>
          <t>Blake Fairweather</t>
        </is>
      </c>
      <c r="O301" s="8" t="n">
        <v>46252.40646990741</v>
      </c>
      <c r="P301" t="inlineStr">
        <is>
          <t>Oakley Rhodes</t>
        </is>
      </c>
      <c r="Q301" t="inlineStr">
        <is>
          <t>LEDGER_OR_CASHFLOW_RECEIVED</t>
        </is>
      </c>
      <c r="R301" t="inlineStr">
        <is>
          <t>SYRM_ACKNOWLEDGED</t>
        </is>
      </c>
      <c r="S301" t="inlineStr">
        <is>
          <t>View details</t>
        </is>
      </c>
    </row>
    <row r="302">
      <c r="A302" t="inlineStr">
        <is>
          <t>726928343448</t>
        </is>
      </c>
      <c r="B302" t="inlineStr">
        <is>
          <t>Oriel Settlement Bank Madrid</t>
        </is>
      </c>
      <c r="C302" t="inlineStr">
        <is>
          <t>171857983160</t>
        </is>
      </c>
      <c r="D302" t="inlineStr">
        <is>
          <t>Pinehurst Settlement Bank Frankfurt</t>
        </is>
      </c>
      <c r="E302" t="inlineStr">
        <is>
          <t>EUR</t>
        </is>
      </c>
      <c r="F302" t="inlineStr">
        <is>
          <t>NT26081800296</t>
        </is>
      </c>
      <c r="G302" s="6" t="n">
        <v>46252</v>
      </c>
      <c r="H302" s="7" t="n">
        <v>1249661.107</v>
      </c>
      <c r="I302" t="inlineStr">
        <is>
          <t>GBP</t>
        </is>
      </c>
      <c r="J302" s="7" t="n">
        <v>1072209.23</v>
      </c>
      <c r="K302" t="inlineStr">
        <is>
          <t>SYRM</t>
        </is>
      </c>
      <c r="L302" t="inlineStr">
        <is>
          <t>Balance alignment</t>
        </is>
      </c>
      <c r="M302" s="8" t="n">
        <v>46252.52320601852</v>
      </c>
      <c r="N302" t="inlineStr">
        <is>
          <t>Greer Prentice</t>
        </is>
      </c>
      <c r="O302" s="8" t="n">
        <v>46252.56070601852</v>
      </c>
      <c r="P302" t="inlineStr">
        <is>
          <t>Marlow Sinclair</t>
        </is>
      </c>
      <c r="Q302" t="inlineStr">
        <is>
          <t>LEDGER_OR_CASHFLOW_RECEIVED</t>
        </is>
      </c>
      <c r="R302" t="inlineStr">
        <is>
          <t>SYRM_ACKNOWLEDGED</t>
        </is>
      </c>
      <c r="S302" t="inlineStr">
        <is>
          <t>View details</t>
        </is>
      </c>
    </row>
    <row r="303">
      <c r="A303" t="inlineStr">
        <is>
          <t>265771593142</t>
        </is>
      </c>
      <c r="B303" t="inlineStr">
        <is>
          <t>Wrenfield Clearing Mexico City</t>
        </is>
      </c>
      <c r="C303" t="inlineStr">
        <is>
          <t>132544340094</t>
        </is>
      </c>
      <c r="D303" t="inlineStr">
        <is>
          <t>Dunlin Commercial Bank Warsaw</t>
        </is>
      </c>
      <c r="E303" t="inlineStr">
        <is>
          <t>EUR</t>
        </is>
      </c>
      <c r="F303" t="inlineStr">
        <is>
          <t>NT26081800297</t>
        </is>
      </c>
      <c r="G303" s="6" t="n">
        <v>46252</v>
      </c>
      <c r="H303" s="7" t="n">
        <v>5795.632</v>
      </c>
      <c r="I303" t="inlineStr">
        <is>
          <t>GBP</t>
        </is>
      </c>
      <c r="J303" s="7" t="n">
        <v>4972.652</v>
      </c>
      <c r="K303" t="inlineStr">
        <is>
          <t>SYRM</t>
        </is>
      </c>
      <c r="L303" t="inlineStr">
        <is>
          <t>Funding move</t>
        </is>
      </c>
      <c r="M303" s="8" t="n">
        <v>46252.63072916667</v>
      </c>
      <c r="N303" t="inlineStr">
        <is>
          <t>Oakley Delaney</t>
        </is>
      </c>
      <c r="O303" s="8" t="n">
        <v>46252.68489583334</v>
      </c>
      <c r="P303" t="inlineStr">
        <is>
          <t>Harper Calloway</t>
        </is>
      </c>
      <c r="Q303" t="inlineStr">
        <is>
          <t>LEDGER_OR_CASHFLOW_RECEIVED</t>
        </is>
      </c>
      <c r="R303" t="inlineStr">
        <is>
          <t>SYRM_ACKNOWLEDGED</t>
        </is>
      </c>
      <c r="S303" t="inlineStr">
        <is>
          <t>View details</t>
        </is>
      </c>
    </row>
    <row r="304">
      <c r="A304" t="inlineStr">
        <is>
          <t>359365220160</t>
        </is>
      </c>
      <c r="B304" t="inlineStr">
        <is>
          <t>Wrenfield Clearing Mexico City</t>
        </is>
      </c>
      <c r="C304" t="inlineStr">
        <is>
          <t>898317028833</t>
        </is>
      </c>
      <c r="D304" t="inlineStr">
        <is>
          <t>Pinehurst Settlement Bank Frankfurt</t>
        </is>
      </c>
      <c r="E304" t="inlineStr">
        <is>
          <t>EUR</t>
        </is>
      </c>
      <c r="F304" t="inlineStr">
        <is>
          <t>NT26081800298</t>
        </is>
      </c>
      <c r="G304" s="6" t="n">
        <v>46252</v>
      </c>
      <c r="H304" s="7" t="n">
        <v>23566839.737</v>
      </c>
      <c r="I304" t="inlineStr">
        <is>
          <t>GBP</t>
        </is>
      </c>
      <c r="J304" s="7" t="n">
        <v>20220348.494</v>
      </c>
      <c r="K304" t="inlineStr">
        <is>
          <t>SYRM</t>
        </is>
      </c>
      <c r="L304" t="inlineStr"/>
      <c r="M304" s="8" t="n">
        <v>46252.45689814815</v>
      </c>
      <c r="N304" t="inlineStr">
        <is>
          <t>Marlow Sinclair</t>
        </is>
      </c>
      <c r="O304" s="8" t="n"/>
      <c r="Q304" t="inlineStr">
        <is>
          <t>PENDING_APPROVAL</t>
        </is>
      </c>
      <c r="R304" t="inlineStr">
        <is>
          <t>SYRM_REJECTED</t>
        </is>
      </c>
      <c r="S304" t="inlineStr">
        <is>
          <t>View details</t>
        </is>
      </c>
    </row>
    <row r="305">
      <c r="A305" t="inlineStr">
        <is>
          <t>359365220160</t>
        </is>
      </c>
      <c r="B305" t="inlineStr">
        <is>
          <t>Umberton Trust Tokyo</t>
        </is>
      </c>
      <c r="C305" t="inlineStr">
        <is>
          <t>927538182434</t>
        </is>
      </c>
      <c r="D305" t="inlineStr">
        <is>
          <t>Mallow Settlement Bank Warsaw</t>
        </is>
      </c>
      <c r="E305" t="inlineStr">
        <is>
          <t>EUR</t>
        </is>
      </c>
      <c r="F305" t="inlineStr">
        <is>
          <t>NT26081800299</t>
        </is>
      </c>
      <c r="G305" s="6" t="n">
        <v>46252</v>
      </c>
      <c r="H305" s="7" t="n">
        <v>12838111.202</v>
      </c>
      <c r="I305" t="inlineStr">
        <is>
          <t>GBP</t>
        </is>
      </c>
      <c r="J305" s="7" t="n">
        <v>11015099.411</v>
      </c>
      <c r="K305" t="inlineStr">
        <is>
          <t>SYRM</t>
        </is>
      </c>
      <c r="L305" t="inlineStr">
        <is>
          <t>Balance alignment</t>
        </is>
      </c>
      <c r="M305" s="8" t="n">
        <v>46252.64555555556</v>
      </c>
      <c r="N305" t="inlineStr">
        <is>
          <t>Quinn Brookes</t>
        </is>
      </c>
      <c r="O305" s="8" t="n">
        <v>46252.67958333333</v>
      </c>
      <c r="P305" t="inlineStr">
        <is>
          <t>Noor Thorne</t>
        </is>
      </c>
      <c r="Q305" t="inlineStr">
        <is>
          <t>LEDGER_OR_CASHFLOW_RECEIVED</t>
        </is>
      </c>
      <c r="R305" t="inlineStr">
        <is>
          <t>SYRM_ACKNOWLEDGED</t>
        </is>
      </c>
      <c r="S305" t="inlineStr">
        <is>
          <t>View details</t>
        </is>
      </c>
    </row>
    <row r="306">
      <c r="A306" t="inlineStr">
        <is>
          <t>150316825069</t>
        </is>
      </c>
      <c r="B306" t="inlineStr">
        <is>
          <t>Juniper Commercial Bank Warsaw</t>
        </is>
      </c>
      <c r="C306" t="inlineStr">
        <is>
          <t>120047354818</t>
        </is>
      </c>
      <c r="D306" t="inlineStr">
        <is>
          <t>Cedar Clearing New York</t>
        </is>
      </c>
      <c r="E306" t="inlineStr">
        <is>
          <t>GBP</t>
        </is>
      </c>
      <c r="F306" t="inlineStr">
        <is>
          <t>NT26081800300</t>
        </is>
      </c>
      <c r="G306" s="6" t="n">
        <v>46252</v>
      </c>
      <c r="H306" s="7" t="n">
        <v>70075557.80400001</v>
      </c>
      <c r="I306" t="inlineStr">
        <is>
          <t>GBP</t>
        </is>
      </c>
      <c r="J306" s="7" t="n">
        <v>70075557.80400001</v>
      </c>
      <c r="K306" t="inlineStr">
        <is>
          <t>SYRM</t>
        </is>
      </c>
      <c r="L306" t="inlineStr"/>
      <c r="M306" s="8" t="n">
        <v>46252.48935185185</v>
      </c>
      <c r="N306" t="inlineStr">
        <is>
          <t>Harper Hollis</t>
        </is>
      </c>
      <c r="O306" s="8" t="n">
        <v>46252.54837962963</v>
      </c>
      <c r="P306" t="inlineStr">
        <is>
          <t>Oakley Delaney</t>
        </is>
      </c>
      <c r="Q306" t="inlineStr">
        <is>
          <t>LEDGER_OR_CASHFLOW_RECEIVED</t>
        </is>
      </c>
      <c r="R306" t="inlineStr">
        <is>
          <t>SYRM_ACKNOWLEDGED</t>
        </is>
      </c>
      <c r="S306" t="inlineStr">
        <is>
          <t>View details</t>
        </is>
      </c>
    </row>
    <row r="307">
      <c r="A307" t="inlineStr">
        <is>
          <t>927538182434</t>
        </is>
      </c>
      <c r="B307" t="inlineStr">
        <is>
          <t>Granite Commercial Bank Milan</t>
        </is>
      </c>
      <c r="C307" t="inlineStr">
        <is>
          <t>621381112674</t>
        </is>
      </c>
      <c r="D307" t="inlineStr">
        <is>
          <t>Nightjar Bank Stockholm</t>
        </is>
      </c>
      <c r="E307" t="inlineStr">
        <is>
          <t>CNY</t>
        </is>
      </c>
      <c r="F307" t="inlineStr">
        <is>
          <t>NT26081800301</t>
        </is>
      </c>
      <c r="G307" s="6" t="n">
        <v>46252</v>
      </c>
      <c r="H307" s="7" t="n">
        <v>15031533.268</v>
      </c>
      <c r="I307" t="inlineStr">
        <is>
          <t>GBP</t>
        </is>
      </c>
      <c r="J307" s="7" t="n">
        <v>1638437.126</v>
      </c>
      <c r="K307" t="inlineStr">
        <is>
          <t>SYRM</t>
        </is>
      </c>
      <c r="L307" t="inlineStr">
        <is>
          <t>Funding move</t>
        </is>
      </c>
      <c r="M307" s="8" t="n">
        <v>46252.67332175926</v>
      </c>
      <c r="N307" t="inlineStr">
        <is>
          <t>Oakley Delaney</t>
        </is>
      </c>
      <c r="O307" s="8" t="n">
        <v>46252.70804398148</v>
      </c>
      <c r="P307" t="inlineStr">
        <is>
          <t>Greer Osgood</t>
        </is>
      </c>
      <c r="Q307" t="inlineStr">
        <is>
          <t>LEDGER_OR_CASHFLOW_RECEIVED</t>
        </is>
      </c>
      <c r="R307" t="inlineStr">
        <is>
          <t>SYRM_REJECTED</t>
        </is>
      </c>
      <c r="S307" t="inlineStr">
        <is>
          <t>View details</t>
        </is>
      </c>
    </row>
    <row r="308">
      <c r="A308" t="inlineStr">
        <is>
          <t>468341071172</t>
        </is>
      </c>
      <c r="B308" t="inlineStr">
        <is>
          <t>Bramble Commercial Bank Toronto</t>
        </is>
      </c>
      <c r="C308" t="inlineStr">
        <is>
          <t>265771593142</t>
        </is>
      </c>
      <c r="D308" t="inlineStr">
        <is>
          <t>Redstart Commercial Bank Dublin</t>
        </is>
      </c>
      <c r="E308" t="inlineStr">
        <is>
          <t>EUR</t>
        </is>
      </c>
      <c r="F308" t="inlineStr">
        <is>
          <t>NT26081800302</t>
        </is>
      </c>
      <c r="G308" s="6" t="n">
        <v>46252</v>
      </c>
      <c r="H308" s="7" t="n">
        <v>345144.299</v>
      </c>
      <c r="I308" t="inlineStr">
        <is>
          <t>GBP</t>
        </is>
      </c>
      <c r="J308" s="7" t="n">
        <v>296133.809</v>
      </c>
      <c r="K308" t="inlineStr">
        <is>
          <t>SYRM</t>
        </is>
      </c>
      <c r="L308" t="inlineStr">
        <is>
          <t>Funding move</t>
        </is>
      </c>
      <c r="M308" s="8" t="n">
        <v>46252.48438657408</v>
      </c>
      <c r="N308" t="inlineStr">
        <is>
          <t>Oakley Fairweather</t>
        </is>
      </c>
      <c r="O308" s="8" t="n">
        <v>46252.50383101852</v>
      </c>
      <c r="P308" t="inlineStr">
        <is>
          <t>Quinn Lindqvist</t>
        </is>
      </c>
      <c r="Q308" t="inlineStr">
        <is>
          <t>LEDGER_OR_CASHFLOW_RECEIVED</t>
        </is>
      </c>
      <c r="R308" t="inlineStr">
        <is>
          <t>SYRM_ACKNOWLEDGED</t>
        </is>
      </c>
      <c r="S308" t="inlineStr">
        <is>
          <t>View details</t>
        </is>
      </c>
    </row>
    <row r="309">
      <c r="A309" t="inlineStr">
        <is>
          <t>468341071172</t>
        </is>
      </c>
      <c r="B309" t="inlineStr">
        <is>
          <t>Juniper Clearing Hong Kong</t>
        </is>
      </c>
      <c r="C309" t="inlineStr">
        <is>
          <t>113829985108</t>
        </is>
      </c>
      <c r="D309" t="inlineStr">
        <is>
          <t>Fernway Trust Tokyo</t>
        </is>
      </c>
      <c r="E309" t="inlineStr">
        <is>
          <t>EUR</t>
        </is>
      </c>
      <c r="F309" t="inlineStr">
        <is>
          <t>NT26081800303</t>
        </is>
      </c>
      <c r="G309" s="6" t="n">
        <v>46252</v>
      </c>
      <c r="H309" s="7" t="n">
        <v>880996851.51</v>
      </c>
      <c r="I309" t="inlineStr">
        <is>
          <t>GBP</t>
        </is>
      </c>
      <c r="J309" s="7" t="n">
        <v>755895298.596</v>
      </c>
      <c r="K309" t="inlineStr">
        <is>
          <t>SYRM</t>
        </is>
      </c>
      <c r="L309" t="inlineStr">
        <is>
          <t>Balance alignment</t>
        </is>
      </c>
      <c r="M309" s="8" t="n">
        <v>46252.35868055555</v>
      </c>
      <c r="N309" t="inlineStr">
        <is>
          <t>Avery Sinclair</t>
        </is>
      </c>
      <c r="O309" s="8" t="n">
        <v>46252.42256944445</v>
      </c>
      <c r="P309" t="inlineStr">
        <is>
          <t>Noor Brookes</t>
        </is>
      </c>
      <c r="Q309" t="inlineStr">
        <is>
          <t>LEDGER_OR_CASHFLOW_RECEIVED</t>
        </is>
      </c>
      <c r="R309" t="inlineStr">
        <is>
          <t>SYRM_ACKNOWLEDGED</t>
        </is>
      </c>
      <c r="S309" t="inlineStr">
        <is>
          <t>View details</t>
        </is>
      </c>
    </row>
    <row r="310">
      <c r="A310" t="inlineStr">
        <is>
          <t>468341071172</t>
        </is>
      </c>
      <c r="B310" t="inlineStr">
        <is>
          <t>Mallow Settlement Bank Oslo</t>
        </is>
      </c>
      <c r="C310" t="inlineStr">
        <is>
          <t>468341071172</t>
        </is>
      </c>
      <c r="D310" t="inlineStr">
        <is>
          <t>Kestrel Bank Frankfurt</t>
        </is>
      </c>
      <c r="E310" t="inlineStr">
        <is>
          <t>EUR</t>
        </is>
      </c>
      <c r="F310" t="inlineStr">
        <is>
          <t>NT26081800304</t>
        </is>
      </c>
      <c r="G310" s="6" t="n">
        <v>46252</v>
      </c>
      <c r="H310" s="7" t="n">
        <v>4228144.177</v>
      </c>
      <c r="I310" t="inlineStr">
        <is>
          <t>GBP</t>
        </is>
      </c>
      <c r="J310" s="7" t="n">
        <v>3627747.704</v>
      </c>
      <c r="K310" t="inlineStr">
        <is>
          <t>SYRM</t>
        </is>
      </c>
      <c r="L310" t="inlineStr">
        <is>
          <t>Liquidity sweep</t>
        </is>
      </c>
      <c r="M310" s="8" t="n">
        <v>46252.39240740741</v>
      </c>
      <c r="N310" t="inlineStr">
        <is>
          <t>Avery Sinclair</t>
        </is>
      </c>
      <c r="O310" s="8" t="n"/>
      <c r="Q310" t="inlineStr">
        <is>
          <t>PENDING_APPROVAL</t>
        </is>
      </c>
      <c r="R310" t="inlineStr">
        <is>
          <t>SYRM_ACKNOWLEDGED</t>
        </is>
      </c>
      <c r="S310" t="inlineStr">
        <is>
          <t>View details</t>
        </is>
      </c>
    </row>
    <row r="311">
      <c r="A311" t="inlineStr">
        <is>
          <t>468341071172</t>
        </is>
      </c>
      <c r="B311" t="inlineStr">
        <is>
          <t>Larkspur Clearing New York</t>
        </is>
      </c>
      <c r="C311" t="inlineStr">
        <is>
          <t>150316825069</t>
        </is>
      </c>
      <c r="D311" t="inlineStr">
        <is>
          <t>Bramble Bank Milan</t>
        </is>
      </c>
      <c r="E311" t="inlineStr">
        <is>
          <t>EUR</t>
        </is>
      </c>
      <c r="F311" t="inlineStr">
        <is>
          <t>NT26081800305</t>
        </is>
      </c>
      <c r="G311" s="6" t="n">
        <v>46252</v>
      </c>
      <c r="H311" s="7" t="n">
        <v>5301263.671</v>
      </c>
      <c r="I311" t="inlineStr">
        <is>
          <t>GBP</t>
        </is>
      </c>
      <c r="J311" s="7" t="n">
        <v>4548484.23</v>
      </c>
      <c r="K311" t="inlineStr">
        <is>
          <t>SYRM</t>
        </is>
      </c>
      <c r="L311" t="inlineStr">
        <is>
          <t>Liquidity sweep</t>
        </is>
      </c>
      <c r="M311" s="8" t="n">
        <v>46252.39651620371</v>
      </c>
      <c r="N311" t="inlineStr">
        <is>
          <t>Ellis Gallagher</t>
        </is>
      </c>
      <c r="O311" s="8" t="n">
        <v>46252.45832175926</v>
      </c>
      <c r="P311" t="inlineStr">
        <is>
          <t>Quinn Brookes</t>
        </is>
      </c>
      <c r="Q311" t="inlineStr">
        <is>
          <t>LEDGER_RECEIVED</t>
        </is>
      </c>
      <c r="R311" t="inlineStr">
        <is>
          <t>SYRM_ACKNOWLEDGED</t>
        </is>
      </c>
      <c r="S311" t="inlineStr">
        <is>
          <t>View details</t>
        </is>
      </c>
    </row>
    <row r="312">
      <c r="A312" t="inlineStr">
        <is>
          <t>171857983160</t>
        </is>
      </c>
      <c r="B312" t="inlineStr">
        <is>
          <t>Bramble Bank Milan</t>
        </is>
      </c>
      <c r="C312" t="inlineStr">
        <is>
          <t>150316825069</t>
        </is>
      </c>
      <c r="D312" t="inlineStr">
        <is>
          <t>Oriel Commercial Bank Toronto</t>
        </is>
      </c>
      <c r="E312" t="inlineStr">
        <is>
          <t>AUD</t>
        </is>
      </c>
      <c r="F312" t="inlineStr">
        <is>
          <t>NT26081800306</t>
        </is>
      </c>
      <c r="G312" s="6" t="n">
        <v>46252</v>
      </c>
      <c r="H312" s="7" t="n">
        <v>769123.556</v>
      </c>
      <c r="I312" t="inlineStr">
        <is>
          <t>GBP</t>
        </is>
      </c>
      <c r="J312" s="7" t="n">
        <v>394560.384</v>
      </c>
      <c r="K312" t="inlineStr">
        <is>
          <t>SYRM</t>
        </is>
      </c>
      <c r="L312" t="inlineStr">
        <is>
          <t>Intraday top-up</t>
        </is>
      </c>
      <c r="M312" s="8" t="n">
        <v>46252.62797453703</v>
      </c>
      <c r="N312" t="inlineStr">
        <is>
          <t>Devon Calloway</t>
        </is>
      </c>
      <c r="O312" s="8" t="n">
        <v>46252.6508912037</v>
      </c>
      <c r="P312" t="inlineStr">
        <is>
          <t>Marlow Thorne</t>
        </is>
      </c>
      <c r="Q312" t="inlineStr">
        <is>
          <t>LEDGER_OR_CASHFLOW_RECEIVED</t>
        </is>
      </c>
      <c r="R312" t="inlineStr">
        <is>
          <t>SYRM_ACKNOWLEDGED</t>
        </is>
      </c>
      <c r="S312" t="inlineStr">
        <is>
          <t>View details</t>
        </is>
      </c>
    </row>
    <row r="313">
      <c r="A313" t="inlineStr">
        <is>
          <t>150316825069</t>
        </is>
      </c>
      <c r="B313" t="inlineStr">
        <is>
          <t>Yarrow Settlement Bank Oslo</t>
        </is>
      </c>
      <c r="C313" t="inlineStr">
        <is>
          <t>927538182434</t>
        </is>
      </c>
      <c r="D313" t="inlineStr">
        <is>
          <t>Mallow Settlement Bank Oslo</t>
        </is>
      </c>
      <c r="E313" t="inlineStr">
        <is>
          <t>GBP</t>
        </is>
      </c>
      <c r="F313" t="inlineStr">
        <is>
          <t>NT26081800307</t>
        </is>
      </c>
      <c r="G313" s="6" t="n">
        <v>46252</v>
      </c>
      <c r="H313" s="7" t="n">
        <v>2096770.848</v>
      </c>
      <c r="I313" t="inlineStr">
        <is>
          <t>GBP</t>
        </is>
      </c>
      <c r="J313" s="7" t="n">
        <v>2096770.848</v>
      </c>
      <c r="K313" t="inlineStr">
        <is>
          <t>SYRM</t>
        </is>
      </c>
      <c r="L313" t="inlineStr">
        <is>
          <t>Liquidity sweep</t>
        </is>
      </c>
      <c r="M313" s="8" t="n">
        <v>46252.45715277778</v>
      </c>
      <c r="N313" t="inlineStr">
        <is>
          <t>Quinn Brookes</t>
        </is>
      </c>
      <c r="O313" s="8" t="n">
        <v>46252.46826388889</v>
      </c>
      <c r="P313" t="inlineStr">
        <is>
          <t>Wren Delaney</t>
        </is>
      </c>
      <c r="Q313" t="inlineStr">
        <is>
          <t>LEDGER_OR_CASHFLOW_RECEIVED</t>
        </is>
      </c>
      <c r="R313" t="inlineStr">
        <is>
          <t>SYRM_ACKNOWLEDGED</t>
        </is>
      </c>
      <c r="S313" t="inlineStr">
        <is>
          <t>View details</t>
        </is>
      </c>
    </row>
    <row r="314">
      <c r="A314" t="inlineStr">
        <is>
          <t>150316825069</t>
        </is>
      </c>
      <c r="B314" t="inlineStr">
        <is>
          <t>Fernway Clearing Frankfurt</t>
        </is>
      </c>
      <c r="C314" t="inlineStr">
        <is>
          <t>794226063698</t>
        </is>
      </c>
      <c r="D314" t="inlineStr">
        <is>
          <t>Pinehurst Settlement Bank Frankfurt</t>
        </is>
      </c>
      <c r="E314" t="inlineStr">
        <is>
          <t>GBP</t>
        </is>
      </c>
      <c r="F314" t="inlineStr">
        <is>
          <t>NT26081800308</t>
        </is>
      </c>
      <c r="G314" s="6" t="n">
        <v>46252</v>
      </c>
      <c r="H314" s="7" t="n">
        <v>10915360.69</v>
      </c>
      <c r="I314" t="inlineStr">
        <is>
          <t>GBP</t>
        </is>
      </c>
      <c r="J314" s="7" t="n">
        <v>10915360.69</v>
      </c>
      <c r="K314" t="inlineStr">
        <is>
          <t>SYRM</t>
        </is>
      </c>
      <c r="L314" t="inlineStr">
        <is>
          <t>Liquidity sweep</t>
        </is>
      </c>
      <c r="M314" s="8" t="n">
        <v>46252.42479166666</v>
      </c>
      <c r="N314" t="inlineStr">
        <is>
          <t>Avery Prentice</t>
        </is>
      </c>
      <c r="O314" s="8" t="n">
        <v>46252.46854166667</v>
      </c>
      <c r="P314" t="inlineStr">
        <is>
          <t>Greer Osgood</t>
        </is>
      </c>
      <c r="Q314" t="inlineStr">
        <is>
          <t>LEDGER_OR_CASHFLOW_RECEIVED</t>
        </is>
      </c>
      <c r="R314" t="inlineStr">
        <is>
          <t>SYRM_ACKNOWLEDGED</t>
        </is>
      </c>
      <c r="S314" t="inlineStr">
        <is>
          <t>View details</t>
        </is>
      </c>
    </row>
    <row r="315">
      <c r="A315" t="inlineStr">
        <is>
          <t>132544340094</t>
        </is>
      </c>
      <c r="B315" t="inlineStr">
        <is>
          <t>Pinehurst Commercial Bank Sydney</t>
        </is>
      </c>
      <c r="C315" t="inlineStr">
        <is>
          <t>898317028833</t>
        </is>
      </c>
      <c r="D315" t="inlineStr">
        <is>
          <t>Bramble Trust Zurich</t>
        </is>
      </c>
      <c r="E315" t="inlineStr">
        <is>
          <t>CZK</t>
        </is>
      </c>
      <c r="F315" t="inlineStr">
        <is>
          <t>NT26081800309</t>
        </is>
      </c>
      <c r="G315" s="6" t="n">
        <v>46252</v>
      </c>
      <c r="H315" s="7" t="n">
        <v>14071668.322</v>
      </c>
      <c r="I315" t="inlineStr">
        <is>
          <t>GBP</t>
        </is>
      </c>
      <c r="J315" s="7" t="n">
        <v>477029.556</v>
      </c>
      <c r="K315" t="inlineStr">
        <is>
          <t>SWIFT</t>
        </is>
      </c>
      <c r="L315" t="inlineStr">
        <is>
          <t>Funding move</t>
        </is>
      </c>
      <c r="M315" s="8" t="n">
        <v>46252.77989583334</v>
      </c>
      <c r="N315" t="inlineStr">
        <is>
          <t>Quinn Kirby</t>
        </is>
      </c>
      <c r="O315" s="8" t="n">
        <v>46252.80975694444</v>
      </c>
      <c r="P315" t="inlineStr">
        <is>
          <t>Wren Delaney</t>
        </is>
      </c>
      <c r="Q315" t="inlineStr">
        <is>
          <t>LEDGER_OR_CASHFLOW_RECEIVED</t>
        </is>
      </c>
      <c r="R315" t="inlineStr">
        <is>
          <t>SYRM_ACKNOWLEDGED</t>
        </is>
      </c>
      <c r="S315" t="inlineStr">
        <is>
          <t>View details</t>
        </is>
      </c>
    </row>
    <row r="316">
      <c r="A316" t="inlineStr">
        <is>
          <t>468341071172</t>
        </is>
      </c>
      <c r="B316" t="inlineStr">
        <is>
          <t>Granite Commercial Bank Milan</t>
        </is>
      </c>
      <c r="C316" t="inlineStr">
        <is>
          <t>824840705580</t>
        </is>
      </c>
      <c r="D316" t="inlineStr">
        <is>
          <t>Wrenfield Commercial Bank Oslo</t>
        </is>
      </c>
      <c r="E316" t="inlineStr">
        <is>
          <t>EUR</t>
        </is>
      </c>
      <c r="F316" t="inlineStr">
        <is>
          <t>NT26081800310</t>
        </is>
      </c>
      <c r="G316" s="6" t="n">
        <v>46252</v>
      </c>
      <c r="H316" s="7" t="n">
        <v>19309993.346</v>
      </c>
      <c r="I316" t="inlineStr">
        <is>
          <t>GBP</t>
        </is>
      </c>
      <c r="J316" s="7" t="n">
        <v>16567974.291</v>
      </c>
      <c r="K316" t="inlineStr">
        <is>
          <t>SYRM</t>
        </is>
      </c>
      <c r="L316" t="inlineStr"/>
      <c r="M316" s="8" t="n">
        <v>46252.45363425926</v>
      </c>
      <c r="N316" t="inlineStr">
        <is>
          <t>Sawyer Calloway</t>
        </is>
      </c>
      <c r="O316" s="8" t="n">
        <v>46252.46613425926</v>
      </c>
      <c r="P316" t="inlineStr">
        <is>
          <t>Devon Delaney</t>
        </is>
      </c>
      <c r="Q316" t="inlineStr">
        <is>
          <t>LEDGER_OR_CASHFLOW_RECEIVED</t>
        </is>
      </c>
      <c r="R316" t="inlineStr">
        <is>
          <t>SYRM_ACKNOWLEDGED</t>
        </is>
      </c>
      <c r="S316" t="inlineStr">
        <is>
          <t>View details</t>
        </is>
      </c>
    </row>
    <row r="317">
      <c r="A317" t="inlineStr">
        <is>
          <t>150316825069</t>
        </is>
      </c>
      <c r="B317" t="inlineStr">
        <is>
          <t>Zephyr Bank Madrid</t>
        </is>
      </c>
      <c r="C317" t="inlineStr">
        <is>
          <t>113829985108</t>
        </is>
      </c>
      <c r="D317" t="inlineStr">
        <is>
          <t>Fernway Trust Tokyo</t>
        </is>
      </c>
      <c r="E317" t="inlineStr">
        <is>
          <t>GBP</t>
        </is>
      </c>
      <c r="F317" t="inlineStr">
        <is>
          <t>NT26081800311</t>
        </is>
      </c>
      <c r="G317" s="6" t="n">
        <v>46252</v>
      </c>
      <c r="H317" s="7" t="n">
        <v>2179854.028</v>
      </c>
      <c r="I317" t="inlineStr">
        <is>
          <t>GBP</t>
        </is>
      </c>
      <c r="J317" s="7" t="n">
        <v>2179854.028</v>
      </c>
      <c r="K317" t="inlineStr">
        <is>
          <t>SYRM</t>
        </is>
      </c>
      <c r="L317" t="inlineStr"/>
      <c r="M317" s="8" t="n">
        <v>46252.64857638889</v>
      </c>
      <c r="N317" t="inlineStr">
        <is>
          <t>Noor Sinclair</t>
        </is>
      </c>
      <c r="O317" s="8" t="n">
        <v>46252.67913194445</v>
      </c>
      <c r="P317" t="inlineStr">
        <is>
          <t>Noor Sinclair</t>
        </is>
      </c>
      <c r="Q317" t="inlineStr">
        <is>
          <t>LEDGER_OR_CASHFLOW_RECEIVED</t>
        </is>
      </c>
      <c r="R317" t="inlineStr">
        <is>
          <t>SYRM_ACKNOWLEDGED</t>
        </is>
      </c>
      <c r="S317" t="inlineStr">
        <is>
          <t>View details</t>
        </is>
      </c>
    </row>
    <row r="318">
      <c r="A318" t="inlineStr">
        <is>
          <t>927538182434</t>
        </is>
      </c>
      <c r="B318" t="inlineStr">
        <is>
          <t>Yarrow Settlement Bank Oslo</t>
        </is>
      </c>
      <c r="C318" t="inlineStr">
        <is>
          <t>132544340094</t>
        </is>
      </c>
      <c r="D318" t="inlineStr">
        <is>
          <t>Alder Settlement Bank Paris</t>
        </is>
      </c>
      <c r="E318" t="inlineStr">
        <is>
          <t>CNY</t>
        </is>
      </c>
      <c r="F318" t="inlineStr">
        <is>
          <t>NT26081800312</t>
        </is>
      </c>
      <c r="G318" s="6" t="n">
        <v>46252</v>
      </c>
      <c r="H318" s="7" t="n">
        <v>773881436.969</v>
      </c>
      <c r="I318" t="inlineStr">
        <is>
          <t>GBP</t>
        </is>
      </c>
      <c r="J318" s="7" t="n">
        <v>84353076.63</v>
      </c>
      <c r="K318" t="inlineStr">
        <is>
          <t>SYRM</t>
        </is>
      </c>
      <c r="L318" t="inlineStr">
        <is>
          <t>Balance alignment</t>
        </is>
      </c>
      <c r="M318" s="8" t="n">
        <v>46252.29586805555</v>
      </c>
      <c r="N318" t="inlineStr">
        <is>
          <t>Noor Sinclair</t>
        </is>
      </c>
      <c r="O318" s="8" t="n">
        <v>46252.36045138889</v>
      </c>
      <c r="P318" t="inlineStr">
        <is>
          <t>Avery Prentice</t>
        </is>
      </c>
      <c r="Q318" t="inlineStr">
        <is>
          <t>LEDGER_OR_CASHFLOW_RECEIVED</t>
        </is>
      </c>
      <c r="R318" t="inlineStr">
        <is>
          <t>SYRM_ACKNOWLEDGED</t>
        </is>
      </c>
      <c r="S318" t="inlineStr">
        <is>
          <t>View details</t>
        </is>
      </c>
    </row>
    <row r="319">
      <c r="A319" t="inlineStr">
        <is>
          <t>968942362772</t>
        </is>
      </c>
      <c r="B319" t="inlineStr">
        <is>
          <t>Wrenfield Bank Paris</t>
        </is>
      </c>
      <c r="C319" t="inlineStr">
        <is>
          <t>927538182434</t>
        </is>
      </c>
      <c r="D319" t="inlineStr">
        <is>
          <t>Thornbury Commercial Bank London</t>
        </is>
      </c>
      <c r="E319" t="inlineStr">
        <is>
          <t>EUR</t>
        </is>
      </c>
      <c r="F319" t="inlineStr">
        <is>
          <t>NT26081800313</t>
        </is>
      </c>
      <c r="G319" s="6" t="n">
        <v>46252</v>
      </c>
      <c r="H319" s="7" t="n">
        <v>804322934.34</v>
      </c>
      <c r="I319" t="inlineStr">
        <is>
          <t>GBP</t>
        </is>
      </c>
      <c r="J319" s="7" t="n">
        <v>690109077.664</v>
      </c>
      <c r="K319" t="inlineStr">
        <is>
          <t>SWIFT</t>
        </is>
      </c>
      <c r="L319" t="inlineStr">
        <is>
          <t>Balance alignment</t>
        </is>
      </c>
      <c r="M319" s="8" t="n">
        <v>46252.59700231482</v>
      </c>
      <c r="N319" t="inlineStr">
        <is>
          <t>Devon Delaney</t>
        </is>
      </c>
      <c r="O319" s="8" t="n">
        <v>46252.60116898148</v>
      </c>
      <c r="P319" t="inlineStr">
        <is>
          <t>Noor Brookes</t>
        </is>
      </c>
      <c r="Q319" t="inlineStr">
        <is>
          <t>LEDGER_OR_CASHFLOW_RECEIVED</t>
        </is>
      </c>
      <c r="R319" t="inlineStr">
        <is>
          <t>SYRM_ACKNOWLEDGED</t>
        </is>
      </c>
      <c r="S319" t="inlineStr">
        <is>
          <t>View details</t>
        </is>
      </c>
    </row>
    <row r="320">
      <c r="A320" t="inlineStr">
        <is>
          <t>150316825069</t>
        </is>
      </c>
      <c r="B320" t="inlineStr">
        <is>
          <t>Zephyr Settlement Bank Sydney</t>
        </is>
      </c>
      <c r="C320" t="inlineStr">
        <is>
          <t>927538182434</t>
        </is>
      </c>
      <c r="D320" t="inlineStr">
        <is>
          <t>Fernway Clearing Frankfurt</t>
        </is>
      </c>
      <c r="E320" t="inlineStr">
        <is>
          <t>GBP</t>
        </is>
      </c>
      <c r="F320" t="inlineStr">
        <is>
          <t>NT26081800314</t>
        </is>
      </c>
      <c r="G320" s="6" t="n">
        <v>46252</v>
      </c>
      <c r="H320" s="7" t="n">
        <v>1093949.094</v>
      </c>
      <c r="I320" t="inlineStr">
        <is>
          <t>GBP</t>
        </is>
      </c>
      <c r="J320" s="7" t="n">
        <v>1093949.094</v>
      </c>
      <c r="K320" t="inlineStr">
        <is>
          <t>SYRM</t>
        </is>
      </c>
      <c r="L320" t="inlineStr">
        <is>
          <t>Funding move</t>
        </is>
      </c>
      <c r="M320" s="8" t="n">
        <v>46252.38525462963</v>
      </c>
      <c r="N320" t="inlineStr">
        <is>
          <t>Devon Delaney</t>
        </is>
      </c>
      <c r="O320" s="8" t="n">
        <v>46252.40747685185</v>
      </c>
      <c r="P320" t="inlineStr">
        <is>
          <t>Harper Hollis</t>
        </is>
      </c>
      <c r="Q320" t="inlineStr">
        <is>
          <t>LEDGER_OR_CASHFLOW_RECEIVED</t>
        </is>
      </c>
      <c r="R320" t="inlineStr">
        <is>
          <t>SYRM_ACKNOWLEDGED</t>
        </is>
      </c>
      <c r="S320" t="inlineStr">
        <is>
          <t>View details</t>
        </is>
      </c>
    </row>
    <row r="321">
      <c r="A321" t="inlineStr">
        <is>
          <t>113829985108</t>
        </is>
      </c>
      <c r="B321" t="inlineStr">
        <is>
          <t>Fernway Clearing Frankfurt</t>
        </is>
      </c>
      <c r="C321" t="inlineStr">
        <is>
          <t>968942362772</t>
        </is>
      </c>
      <c r="D321" t="inlineStr">
        <is>
          <t>Pinehurst Trust Toronto</t>
        </is>
      </c>
      <c r="E321" t="inlineStr">
        <is>
          <t>EUR</t>
        </is>
      </c>
      <c r="F321" t="inlineStr">
        <is>
          <t>NT26081800315</t>
        </is>
      </c>
      <c r="G321" s="6" t="n">
        <v>46252</v>
      </c>
      <c r="H321" s="7" t="n">
        <v>25093055.951</v>
      </c>
      <c r="I321" t="inlineStr">
        <is>
          <t>GBP</t>
        </is>
      </c>
      <c r="J321" s="7" t="n">
        <v>21529842.006</v>
      </c>
      <c r="K321" t="inlineStr">
        <is>
          <t>SYRM</t>
        </is>
      </c>
      <c r="L321" t="inlineStr">
        <is>
          <t>Liquidity sweep</t>
        </is>
      </c>
      <c r="M321" s="8" t="n">
        <v>46252.36547453704</v>
      </c>
      <c r="N321" t="inlineStr">
        <is>
          <t>Tatum Ashford</t>
        </is>
      </c>
      <c r="O321" s="8" t="n">
        <v>46252.37033564815</v>
      </c>
      <c r="P321" t="inlineStr">
        <is>
          <t>Marlow Sinclair</t>
        </is>
      </c>
      <c r="Q321" t="inlineStr">
        <is>
          <t>LEDGER_RECEIVED</t>
        </is>
      </c>
      <c r="R321" t="inlineStr">
        <is>
          <t>SYRM_ACKNOWLEDGED</t>
        </is>
      </c>
      <c r="S321" t="inlineStr">
        <is>
          <t>View details</t>
        </is>
      </c>
    </row>
    <row r="322">
      <c r="A322" t="inlineStr">
        <is>
          <t>468341071172</t>
        </is>
      </c>
      <c r="B322" t="inlineStr">
        <is>
          <t>Redstart Trust Mexico City</t>
        </is>
      </c>
      <c r="C322" t="inlineStr">
        <is>
          <t>910703979141</t>
        </is>
      </c>
      <c r="D322" t="inlineStr">
        <is>
          <t>Harrow Bank Milan</t>
        </is>
      </c>
      <c r="E322" t="inlineStr">
        <is>
          <t>EUR</t>
        </is>
      </c>
      <c r="F322" t="inlineStr">
        <is>
          <t>NT26081800316</t>
        </is>
      </c>
      <c r="G322" s="6" t="n">
        <v>46252</v>
      </c>
      <c r="H322" s="7" t="n">
        <v>353312638.959</v>
      </c>
      <c r="I322" t="inlineStr">
        <is>
          <t>GBP</t>
        </is>
      </c>
      <c r="J322" s="7" t="n">
        <v>303142244.227</v>
      </c>
      <c r="K322" t="inlineStr">
        <is>
          <t>SYRM</t>
        </is>
      </c>
      <c r="L322" t="inlineStr"/>
      <c r="M322" s="8" t="n">
        <v>46252.42053240741</v>
      </c>
      <c r="N322" t="inlineStr">
        <is>
          <t>Finley Sinclair</t>
        </is>
      </c>
      <c r="O322" s="8" t="n">
        <v>46252.46358796296</v>
      </c>
      <c r="P322" t="inlineStr">
        <is>
          <t>Marlow Thorne</t>
        </is>
      </c>
      <c r="Q322" t="inlineStr">
        <is>
          <t>LEDGER_OR_CASHFLOW_RECEIVED</t>
        </is>
      </c>
      <c r="R322" t="inlineStr">
        <is>
          <t>SYRM_ACKNOWLEDGED</t>
        </is>
      </c>
      <c r="S322" t="inlineStr">
        <is>
          <t>View details</t>
        </is>
      </c>
    </row>
    <row r="323">
      <c r="A323" t="inlineStr">
        <is>
          <t>898317028833</t>
        </is>
      </c>
      <c r="B323" t="inlineStr">
        <is>
          <t>Granite Trust Frankfurt</t>
        </is>
      </c>
      <c r="C323" t="inlineStr">
        <is>
          <t>621381112674</t>
        </is>
      </c>
      <c r="D323" t="inlineStr">
        <is>
          <t>Cedar Settlement Bank Hong Kong</t>
        </is>
      </c>
      <c r="E323" t="inlineStr">
        <is>
          <t>GBP</t>
        </is>
      </c>
      <c r="F323" t="inlineStr">
        <is>
          <t>NT26081900317</t>
        </is>
      </c>
      <c r="G323" s="6" t="n">
        <v>46253</v>
      </c>
      <c r="H323" s="7" t="n">
        <v>2022297.8076</v>
      </c>
      <c r="I323" t="inlineStr">
        <is>
          <t>GBP</t>
        </is>
      </c>
      <c r="J323" s="7" t="n">
        <v>2022297.808</v>
      </c>
      <c r="K323" t="inlineStr">
        <is>
          <t>SYRM</t>
        </is>
      </c>
      <c r="L323" t="inlineStr"/>
      <c r="M323" s="8" t="n">
        <v>46253.68035879629</v>
      </c>
      <c r="N323" t="inlineStr">
        <is>
          <t>Sawyer Calloway</t>
        </is>
      </c>
      <c r="O323" s="8" t="n">
        <v>46253.74424768519</v>
      </c>
      <c r="P323" t="inlineStr">
        <is>
          <t>Devon Delaney</t>
        </is>
      </c>
      <c r="Q323" t="inlineStr">
        <is>
          <t>LEDGER_OR_CASHFLOW_RECEIVED</t>
        </is>
      </c>
      <c r="R323" t="inlineStr">
        <is>
          <t>SYRM_ACKNOWLEDGED</t>
        </is>
      </c>
      <c r="S323" t="inlineStr">
        <is>
          <t>View details</t>
        </is>
      </c>
    </row>
    <row r="324">
      <c r="A324" t="inlineStr">
        <is>
          <t>150316825069</t>
        </is>
      </c>
      <c r="B324" t="inlineStr">
        <is>
          <t>Wrenfield Clearing Frankfurt</t>
        </is>
      </c>
      <c r="C324" t="inlineStr">
        <is>
          <t>132544340094</t>
        </is>
      </c>
      <c r="D324" t="inlineStr">
        <is>
          <t>Thornbury Commercial Bank London</t>
        </is>
      </c>
      <c r="E324" t="inlineStr">
        <is>
          <t>GBP</t>
        </is>
      </c>
      <c r="F324" t="inlineStr">
        <is>
          <t>NT26081900318</t>
        </is>
      </c>
      <c r="G324" s="6" t="n">
        <v>46253</v>
      </c>
      <c r="H324" s="7" t="n">
        <v>173042621.7984</v>
      </c>
      <c r="I324" t="inlineStr">
        <is>
          <t>GBP</t>
        </is>
      </c>
      <c r="J324" s="7" t="n">
        <v>173042621.798</v>
      </c>
      <c r="K324" t="inlineStr">
        <is>
          <t>SYRM</t>
        </is>
      </c>
      <c r="L324" t="inlineStr"/>
      <c r="M324" s="8" t="n">
        <v>46253.63297453704</v>
      </c>
      <c r="N324" t="inlineStr">
        <is>
          <t>Quinn Hollis</t>
        </is>
      </c>
      <c r="O324" s="8" t="n">
        <v>46253.66075231481</v>
      </c>
      <c r="P324" t="inlineStr">
        <is>
          <t>Sawyer Calloway</t>
        </is>
      </c>
      <c r="Q324" t="inlineStr">
        <is>
          <t>LEDGER_OR_CASHFLOW_RECEIVED</t>
        </is>
      </c>
      <c r="R324" t="inlineStr">
        <is>
          <t>SYRM_ACKNOWLEDGED</t>
        </is>
      </c>
      <c r="S324" t="inlineStr">
        <is>
          <t>View details</t>
        </is>
      </c>
    </row>
    <row r="325">
      <c r="A325" t="inlineStr">
        <is>
          <t>150316825069</t>
        </is>
      </c>
      <c r="B325" t="inlineStr">
        <is>
          <t>Zephyr Bank Madrid</t>
        </is>
      </c>
      <c r="C325" t="inlineStr">
        <is>
          <t>468341071172</t>
        </is>
      </c>
      <c r="D325" t="inlineStr">
        <is>
          <t>Wrenfield Clearing Frankfurt</t>
        </is>
      </c>
      <c r="E325" t="inlineStr">
        <is>
          <t>GBP</t>
        </is>
      </c>
      <c r="F325" t="inlineStr">
        <is>
          <t>NT26081900319</t>
        </is>
      </c>
      <c r="G325" s="6" t="n">
        <v>46253</v>
      </c>
      <c r="H325" s="7" t="n">
        <v>1723824.387</v>
      </c>
      <c r="I325" t="inlineStr">
        <is>
          <t>GBP</t>
        </is>
      </c>
      <c r="J325" s="7" t="n">
        <v>1723824.387</v>
      </c>
      <c r="K325" t="inlineStr">
        <is>
          <t>INTERNAL</t>
        </is>
      </c>
      <c r="L325" t="inlineStr"/>
      <c r="M325" s="8" t="n">
        <v>46253.43211805556</v>
      </c>
      <c r="N325" t="inlineStr">
        <is>
          <t>Wren Fairweather</t>
        </is>
      </c>
      <c r="O325" s="8" t="n"/>
      <c r="Q325" t="inlineStr">
        <is>
          <t>PENDING_APPROVAL</t>
        </is>
      </c>
      <c r="R325" t="inlineStr">
        <is>
          <t>SYRM_REJECTED</t>
        </is>
      </c>
      <c r="S325" t="inlineStr">
        <is>
          <t>View details</t>
        </is>
      </c>
    </row>
    <row r="326">
      <c r="A326" t="inlineStr">
        <is>
          <t>265771593142</t>
        </is>
      </c>
      <c r="B326" t="inlineStr">
        <is>
          <t>Redstart Commercial Bank Stockholm</t>
        </is>
      </c>
      <c r="C326" t="inlineStr">
        <is>
          <t>794226063698</t>
        </is>
      </c>
      <c r="D326" t="inlineStr">
        <is>
          <t>Nightjar Bank Stockholm</t>
        </is>
      </c>
      <c r="E326" t="inlineStr">
        <is>
          <t>EUR</t>
        </is>
      </c>
      <c r="F326" t="inlineStr">
        <is>
          <t>NT26081900320</t>
        </is>
      </c>
      <c r="G326" s="6" t="n">
        <v>46253</v>
      </c>
      <c r="H326" s="7" t="n">
        <v>89492950.15200001</v>
      </c>
      <c r="I326" t="inlineStr">
        <is>
          <t>GBP</t>
        </is>
      </c>
      <c r="J326" s="7" t="n">
        <v>76784951.23</v>
      </c>
      <c r="K326" t="inlineStr">
        <is>
          <t>SYRM</t>
        </is>
      </c>
      <c r="L326" t="inlineStr">
        <is>
          <t>Intraday top-up</t>
        </is>
      </c>
      <c r="M326" s="8" t="n">
        <v>46253.3637037037</v>
      </c>
      <c r="N326" t="inlineStr">
        <is>
          <t>Finley Sinclair</t>
        </is>
      </c>
      <c r="O326" s="8" t="n">
        <v>46253.41300925926</v>
      </c>
      <c r="P326" t="inlineStr">
        <is>
          <t>Blake Fairweather</t>
        </is>
      </c>
      <c r="Q326" t="inlineStr">
        <is>
          <t>LEDGER_OR_CASHFLOW_RECEIVED</t>
        </is>
      </c>
      <c r="R326" t="inlineStr">
        <is>
          <t>SYRM_ACKNOWLEDGED</t>
        </is>
      </c>
      <c r="S326" t="inlineStr">
        <is>
          <t>View details</t>
        </is>
      </c>
    </row>
    <row r="327">
      <c r="A327" t="inlineStr">
        <is>
          <t>150316825069</t>
        </is>
      </c>
      <c r="B327" t="inlineStr">
        <is>
          <t>Yarrow Bank Stockholm</t>
        </is>
      </c>
      <c r="C327" t="inlineStr">
        <is>
          <t>499062838623</t>
        </is>
      </c>
      <c r="D327" t="inlineStr">
        <is>
          <t>Kestrel Clearing Oslo</t>
        </is>
      </c>
      <c r="E327" t="inlineStr">
        <is>
          <t>GBP</t>
        </is>
      </c>
      <c r="F327" t="inlineStr">
        <is>
          <t>NT26081900321</t>
        </is>
      </c>
      <c r="G327" s="6" t="n">
        <v>46253</v>
      </c>
      <c r="H327" s="7" t="n">
        <v>40601.0808</v>
      </c>
      <c r="I327" t="inlineStr">
        <is>
          <t>GBP</t>
        </is>
      </c>
      <c r="J327" s="7" t="n">
        <v>40601.081</v>
      </c>
      <c r="K327" t="inlineStr">
        <is>
          <t>SYRM</t>
        </is>
      </c>
      <c r="L327" t="inlineStr">
        <is>
          <t>Liquidity sweep</t>
        </is>
      </c>
      <c r="M327" s="8" t="n">
        <v>46253.6565162037</v>
      </c>
      <c r="N327" t="inlineStr">
        <is>
          <t>Blake Fairweather</t>
        </is>
      </c>
      <c r="O327" s="8" t="n">
        <v>46253.68221064815</v>
      </c>
      <c r="P327" t="inlineStr">
        <is>
          <t>Greer Prentice</t>
        </is>
      </c>
      <c r="Q327" t="inlineStr">
        <is>
          <t>LEDGER_OR_CASHFLOW_RECEIVED</t>
        </is>
      </c>
      <c r="R327" t="inlineStr">
        <is>
          <t>SYRM_ACKNOWLEDGED</t>
        </is>
      </c>
      <c r="S327" t="inlineStr">
        <is>
          <t>View details</t>
        </is>
      </c>
    </row>
    <row r="328">
      <c r="A328" t="inlineStr">
        <is>
          <t>468341071172</t>
        </is>
      </c>
      <c r="B328" t="inlineStr">
        <is>
          <t>Dunlin Commercial Bank Warsaw</t>
        </is>
      </c>
      <c r="C328" t="inlineStr">
        <is>
          <t>726928343448</t>
        </is>
      </c>
      <c r="D328" t="inlineStr">
        <is>
          <t>Pinehurst Clearing Oslo</t>
        </is>
      </c>
      <c r="E328" t="inlineStr">
        <is>
          <t>EUR</t>
        </is>
      </c>
      <c r="F328" t="inlineStr">
        <is>
          <t>NT26081900322</t>
        </is>
      </c>
      <c r="G328" s="6" t="n">
        <v>46253</v>
      </c>
      <c r="H328" s="7" t="n">
        <v>496484133.4188</v>
      </c>
      <c r="I328" t="inlineStr">
        <is>
          <t>GBP</t>
        </is>
      </c>
      <c r="J328" s="7" t="n">
        <v>425983386.473</v>
      </c>
      <c r="K328" t="inlineStr">
        <is>
          <t>INTERNAL</t>
        </is>
      </c>
      <c r="L328" t="inlineStr">
        <is>
          <t>Balance alignment</t>
        </is>
      </c>
      <c r="M328" s="8" t="n">
        <v>46253.42748842593</v>
      </c>
      <c r="N328" t="inlineStr">
        <is>
          <t>Oakley Prentice</t>
        </is>
      </c>
      <c r="O328" s="8" t="n">
        <v>46253.47054398148</v>
      </c>
      <c r="P328" t="inlineStr">
        <is>
          <t>Wren Delaney</t>
        </is>
      </c>
      <c r="Q328" t="inlineStr">
        <is>
          <t>LEDGER_OR_CASHFLOW_RECEIVED</t>
        </is>
      </c>
      <c r="R328" t="inlineStr">
        <is>
          <t>SYRM_ACKNOWLEDGED</t>
        </is>
      </c>
      <c r="S328" t="inlineStr">
        <is>
          <t>View details</t>
        </is>
      </c>
    </row>
    <row r="329">
      <c r="A329" t="inlineStr">
        <is>
          <t>120047354818</t>
        </is>
      </c>
      <c r="B329" t="inlineStr">
        <is>
          <t>Mallow Settlement Bank Oslo</t>
        </is>
      </c>
      <c r="C329" t="inlineStr">
        <is>
          <t>898317028833</t>
        </is>
      </c>
      <c r="D329" t="inlineStr">
        <is>
          <t>Juniper Commercial Bank Warsaw</t>
        </is>
      </c>
      <c r="E329" t="inlineStr">
        <is>
          <t>USD</t>
        </is>
      </c>
      <c r="F329" t="inlineStr">
        <is>
          <t>NT26081900323</t>
        </is>
      </c>
      <c r="G329" s="6" t="n">
        <v>46253</v>
      </c>
      <c r="H329" s="7" t="n">
        <v>408168013.491</v>
      </c>
      <c r="I329" t="inlineStr">
        <is>
          <t>GBP</t>
        </is>
      </c>
      <c r="J329" s="7" t="n">
        <v>320003722.577</v>
      </c>
      <c r="K329" t="inlineStr">
        <is>
          <t>SYRM</t>
        </is>
      </c>
      <c r="L329" t="inlineStr">
        <is>
          <t>Funding move</t>
        </is>
      </c>
      <c r="M329" s="8" t="n">
        <v>46253.7461574074</v>
      </c>
      <c r="N329" t="inlineStr">
        <is>
          <t>Lennox Ellison</t>
        </is>
      </c>
      <c r="O329" s="8" t="n">
        <v>46253.76490740741</v>
      </c>
      <c r="P329" t="inlineStr">
        <is>
          <t>Avery Sinclair</t>
        </is>
      </c>
      <c r="Q329" t="inlineStr">
        <is>
          <t>CASHFLOW_RECEIVED</t>
        </is>
      </c>
      <c r="R329" t="inlineStr">
        <is>
          <t>SYRM_ACKNOWLEDGED</t>
        </is>
      </c>
      <c r="S329" t="inlineStr">
        <is>
          <t>View details</t>
        </is>
      </c>
    </row>
    <row r="330">
      <c r="A330" t="inlineStr">
        <is>
          <t>700726936098</t>
        </is>
      </c>
      <c r="B330" t="inlineStr">
        <is>
          <t>Thornbury Commercial Bank London</t>
        </is>
      </c>
      <c r="C330" t="inlineStr">
        <is>
          <t>968942362772</t>
        </is>
      </c>
      <c r="D330" t="inlineStr">
        <is>
          <t>Yarrow Trust Oslo</t>
        </is>
      </c>
      <c r="E330" t="inlineStr">
        <is>
          <t>SAR</t>
        </is>
      </c>
      <c r="F330" t="inlineStr">
        <is>
          <t>NT26081900324</t>
        </is>
      </c>
      <c r="G330" s="6" t="n">
        <v>46253</v>
      </c>
      <c r="H330" s="7" t="n">
        <v>8102989.6182</v>
      </c>
      <c r="I330" t="inlineStr">
        <is>
          <t>GBP</t>
        </is>
      </c>
      <c r="J330" s="7" t="n">
        <v>1693524.83</v>
      </c>
      <c r="K330" t="inlineStr">
        <is>
          <t>INTERNAL</t>
        </is>
      </c>
      <c r="L330" t="inlineStr">
        <is>
          <t>Liquidity sweep</t>
        </is>
      </c>
      <c r="M330" s="8" t="n">
        <v>46253.43709490741</v>
      </c>
      <c r="N330" t="inlineStr">
        <is>
          <t>Devon Delaney</t>
        </is>
      </c>
      <c r="O330" s="8" t="n">
        <v>46253.50237268519</v>
      </c>
      <c r="P330" t="inlineStr">
        <is>
          <t>Oakley Novak</t>
        </is>
      </c>
      <c r="Q330" t="inlineStr">
        <is>
          <t>LEDGER_OR_CASHFLOW_RECEIVED</t>
        </is>
      </c>
      <c r="R330" t="inlineStr">
        <is>
          <t>SYRM_ACKNOWLEDGED</t>
        </is>
      </c>
      <c r="S330" t="inlineStr">
        <is>
          <t>View details</t>
        </is>
      </c>
    </row>
    <row r="331">
      <c r="A331" t="inlineStr">
        <is>
          <t>150316825069</t>
        </is>
      </c>
      <c r="B331" t="inlineStr">
        <is>
          <t>Yarrow Trust Oslo</t>
        </is>
      </c>
      <c r="C331" t="inlineStr">
        <is>
          <t>621381112674</t>
        </is>
      </c>
      <c r="D331" t="inlineStr">
        <is>
          <t>Larkspur Trust Hong Kong</t>
        </is>
      </c>
      <c r="E331" t="inlineStr">
        <is>
          <t>GBP</t>
        </is>
      </c>
      <c r="F331" t="inlineStr">
        <is>
          <t>NT26081900325</t>
        </is>
      </c>
      <c r="G331" s="6" t="n">
        <v>46253</v>
      </c>
      <c r="H331" s="7" t="n">
        <v>25714718.6094</v>
      </c>
      <c r="I331" t="inlineStr">
        <is>
          <t>GBP</t>
        </is>
      </c>
      <c r="J331" s="7" t="n">
        <v>25714718.609</v>
      </c>
      <c r="K331" t="inlineStr">
        <is>
          <t>SYRM</t>
        </is>
      </c>
      <c r="L331" t="inlineStr">
        <is>
          <t>Intraday top-up</t>
        </is>
      </c>
      <c r="M331" s="8" t="n">
        <v>46253.648125</v>
      </c>
      <c r="N331" t="inlineStr">
        <is>
          <t>Quinn Lindqvist</t>
        </is>
      </c>
      <c r="O331" s="8" t="n">
        <v>46253.68909722222</v>
      </c>
      <c r="P331" t="inlineStr">
        <is>
          <t>Oakley Fairweather</t>
        </is>
      </c>
      <c r="Q331" t="inlineStr">
        <is>
          <t>LEDGER_OR_CASHFLOW_RECEIVED</t>
        </is>
      </c>
      <c r="R331" t="inlineStr">
        <is>
          <t>SYRM_ACKNOWLEDGED</t>
        </is>
      </c>
      <c r="S331" t="inlineStr">
        <is>
          <t>View details</t>
        </is>
      </c>
    </row>
    <row r="332">
      <c r="A332" t="inlineStr">
        <is>
          <t>468341071172</t>
        </is>
      </c>
      <c r="B332" t="inlineStr">
        <is>
          <t>Mallow Settlement Bank Oslo</t>
        </is>
      </c>
      <c r="C332" t="inlineStr">
        <is>
          <t>468341071172</t>
        </is>
      </c>
      <c r="D332" t="inlineStr">
        <is>
          <t>Nightjar Clearing Dublin</t>
        </is>
      </c>
      <c r="E332" t="inlineStr">
        <is>
          <t>EUR</t>
        </is>
      </c>
      <c r="F332" t="inlineStr">
        <is>
          <t>NT26081900326</t>
        </is>
      </c>
      <c r="G332" s="6" t="n">
        <v>46253</v>
      </c>
      <c r="H332" s="7" t="n">
        <v>718489322.0208</v>
      </c>
      <c r="I332" t="inlineStr">
        <is>
          <t>GBP</t>
        </is>
      </c>
      <c r="J332" s="7" t="n">
        <v>616463838.294</v>
      </c>
      <c r="K332" t="inlineStr">
        <is>
          <t>SWIFT</t>
        </is>
      </c>
      <c r="L332" t="inlineStr">
        <is>
          <t>Funding move</t>
        </is>
      </c>
      <c r="M332" s="8" t="n">
        <v>46253.63399305556</v>
      </c>
      <c r="N332" t="inlineStr">
        <is>
          <t>Devon Calloway</t>
        </is>
      </c>
      <c r="O332" s="8" t="n">
        <v>46253.66038194444</v>
      </c>
      <c r="P332" t="inlineStr">
        <is>
          <t>Oakley Novak</t>
        </is>
      </c>
      <c r="Q332" t="inlineStr">
        <is>
          <t>LEDGER_OR_CASHFLOW_RECEIVED</t>
        </is>
      </c>
      <c r="R332" t="inlineStr">
        <is>
          <t>SYRM_ACKNOWLEDGED</t>
        </is>
      </c>
      <c r="S332" t="inlineStr">
        <is>
          <t>View details</t>
        </is>
      </c>
    </row>
    <row r="333">
      <c r="A333" t="inlineStr">
        <is>
          <t>968942362772</t>
        </is>
      </c>
      <c r="B333" t="inlineStr">
        <is>
          <t>Zephyr Settlement Bank Sydney</t>
        </is>
      </c>
      <c r="C333" t="inlineStr">
        <is>
          <t>150316825069</t>
        </is>
      </c>
      <c r="D333" t="inlineStr">
        <is>
          <t>Granite Commercial Bank Milan</t>
        </is>
      </c>
      <c r="E333" t="inlineStr">
        <is>
          <t>EUR</t>
        </is>
      </c>
      <c r="F333" t="inlineStr">
        <is>
          <t>NT26081900327</t>
        </is>
      </c>
      <c r="G333" s="6" t="n">
        <v>46253</v>
      </c>
      <c r="H333" s="7" t="n">
        <v>32385418.6518</v>
      </c>
      <c r="I333" t="inlineStr">
        <is>
          <t>GBP</t>
        </is>
      </c>
      <c r="J333" s="7" t="n">
        <v>27786689.203</v>
      </c>
      <c r="K333" t="inlineStr">
        <is>
          <t>SYRM</t>
        </is>
      </c>
      <c r="L333" t="inlineStr">
        <is>
          <t>Liquidity sweep</t>
        </is>
      </c>
      <c r="M333" s="8" t="n">
        <v>46253.42627314815</v>
      </c>
      <c r="N333" t="inlineStr">
        <is>
          <t>Oakley Novak</t>
        </is>
      </c>
      <c r="O333" s="8" t="n">
        <v>46253.46655092593</v>
      </c>
      <c r="P333" t="inlineStr">
        <is>
          <t>Oakley Fairweather</t>
        </is>
      </c>
      <c r="Q333" t="inlineStr">
        <is>
          <t>FAILED</t>
        </is>
      </c>
      <c r="R333" t="inlineStr">
        <is>
          <t>SYRM_ACKNOWLEDGED</t>
        </is>
      </c>
      <c r="S333" t="inlineStr">
        <is>
          <t>View details</t>
        </is>
      </c>
    </row>
    <row r="334">
      <c r="A334" t="inlineStr">
        <is>
          <t>284925023085</t>
        </is>
      </c>
      <c r="B334" t="inlineStr">
        <is>
          <t>Bramble Commercial Bank Toronto</t>
        </is>
      </c>
      <c r="C334" t="inlineStr">
        <is>
          <t>927538182434</t>
        </is>
      </c>
      <c r="D334" t="inlineStr">
        <is>
          <t>Zephyr Bank Madrid</t>
        </is>
      </c>
      <c r="E334" t="inlineStr">
        <is>
          <t>MXN</t>
        </is>
      </c>
      <c r="F334" t="inlineStr">
        <is>
          <t>NT26081900328</t>
        </is>
      </c>
      <c r="G334" s="6" t="n">
        <v>46253</v>
      </c>
      <c r="H334" s="7" t="n">
        <v>18403691.4504</v>
      </c>
      <c r="I334" t="inlineStr">
        <is>
          <t>GBP</t>
        </is>
      </c>
      <c r="J334" s="7" t="n">
        <v>787677.9939999999</v>
      </c>
      <c r="K334" t="inlineStr">
        <is>
          <t>SYRM</t>
        </is>
      </c>
      <c r="L334" t="inlineStr">
        <is>
          <t>Liquidity sweep</t>
        </is>
      </c>
      <c r="M334" s="8" t="n">
        <v>46253.56611111111</v>
      </c>
      <c r="N334" t="inlineStr">
        <is>
          <t>Finley Sinclair</t>
        </is>
      </c>
      <c r="O334" s="8" t="n"/>
      <c r="Q334" t="inlineStr">
        <is>
          <t>PENDING_APPROVAL</t>
        </is>
      </c>
      <c r="R334" t="inlineStr">
        <is>
          <t>SYRM_PENDING</t>
        </is>
      </c>
      <c r="S334" t="inlineStr">
        <is>
          <t>View details</t>
        </is>
      </c>
    </row>
    <row r="335">
      <c r="A335" t="inlineStr">
        <is>
          <t>794226063698</t>
        </is>
      </c>
      <c r="B335" t="inlineStr">
        <is>
          <t>Redstart Commercial Bank Stockholm</t>
        </is>
      </c>
      <c r="C335" t="inlineStr">
        <is>
          <t>150316825069</t>
        </is>
      </c>
      <c r="D335" t="inlineStr">
        <is>
          <t>Zephyr Commercial Bank Oslo</t>
        </is>
      </c>
      <c r="E335" t="inlineStr">
        <is>
          <t>AED</t>
        </is>
      </c>
      <c r="F335" t="inlineStr">
        <is>
          <t>NT26081900329</t>
        </is>
      </c>
      <c r="G335" s="6" t="n">
        <v>46253</v>
      </c>
      <c r="H335" s="7" t="n">
        <v>33367270.2858</v>
      </c>
      <c r="I335" t="inlineStr">
        <is>
          <t>GBP</t>
        </is>
      </c>
      <c r="J335" s="7" t="n">
        <v>7107228.571</v>
      </c>
      <c r="K335" t="inlineStr">
        <is>
          <t>SYRM</t>
        </is>
      </c>
      <c r="L335" t="inlineStr"/>
      <c r="M335" s="8" t="n">
        <v>46253.43649305555</v>
      </c>
      <c r="N335" t="inlineStr">
        <is>
          <t>Wren Fairweather</t>
        </is>
      </c>
      <c r="O335" s="8" t="n">
        <v>46253.45107638889</v>
      </c>
      <c r="P335" t="inlineStr">
        <is>
          <t>Marlow Sinclair</t>
        </is>
      </c>
      <c r="Q335" t="inlineStr">
        <is>
          <t>LEDGER_OR_CASHFLOW_RECEIVED</t>
        </is>
      </c>
      <c r="R335" t="inlineStr">
        <is>
          <t>SYRM_ACKNOWLEDGED</t>
        </is>
      </c>
      <c r="S335" t="inlineStr">
        <is>
          <t>View details</t>
        </is>
      </c>
    </row>
    <row r="336">
      <c r="A336" t="inlineStr">
        <is>
          <t>468341071172</t>
        </is>
      </c>
      <c r="B336" t="inlineStr">
        <is>
          <t>Yarrow Bank Stockholm</t>
        </is>
      </c>
      <c r="C336" t="inlineStr">
        <is>
          <t>794226063698</t>
        </is>
      </c>
      <c r="D336" t="inlineStr">
        <is>
          <t>Zephyr Commercial Bank Oslo</t>
        </is>
      </c>
      <c r="E336" t="inlineStr">
        <is>
          <t>EUR</t>
        </is>
      </c>
      <c r="F336" t="inlineStr">
        <is>
          <t>NT26081900330</t>
        </is>
      </c>
      <c r="G336" s="6" t="n">
        <v>46253</v>
      </c>
      <c r="H336" s="7" t="n">
        <v>78821710.4322</v>
      </c>
      <c r="I336" t="inlineStr">
        <is>
          <t>GBP</t>
        </is>
      </c>
      <c r="J336" s="7" t="n">
        <v>67629027.551</v>
      </c>
      <c r="K336" t="inlineStr">
        <is>
          <t>INTERNAL</t>
        </is>
      </c>
      <c r="L336" t="inlineStr">
        <is>
          <t>Liquidity sweep</t>
        </is>
      </c>
      <c r="M336" s="8" t="n">
        <v>46253.78300925926</v>
      </c>
      <c r="N336" t="inlineStr">
        <is>
          <t>Harper Calloway</t>
        </is>
      </c>
      <c r="O336" s="8" t="n">
        <v>46253.81217592592</v>
      </c>
      <c r="P336" t="inlineStr">
        <is>
          <t>Avery Sinclair</t>
        </is>
      </c>
      <c r="Q336" t="inlineStr">
        <is>
          <t>LEDGER_OR_CASHFLOW_RECEIVED</t>
        </is>
      </c>
      <c r="R336" t="inlineStr">
        <is>
          <t>SYRM_ACKNOWLEDGED</t>
        </is>
      </c>
      <c r="S336" t="inlineStr">
        <is>
          <t>View details</t>
        </is>
      </c>
    </row>
    <row r="337">
      <c r="A337" t="inlineStr">
        <is>
          <t>171857983160</t>
        </is>
      </c>
      <c r="B337" t="inlineStr">
        <is>
          <t>Bramble Commercial Bank Toronto</t>
        </is>
      </c>
      <c r="C337" t="inlineStr">
        <is>
          <t>468341071172</t>
        </is>
      </c>
      <c r="D337" t="inlineStr">
        <is>
          <t>Fernway Trust Tokyo</t>
        </is>
      </c>
      <c r="E337" t="inlineStr">
        <is>
          <t>AUD</t>
        </is>
      </c>
      <c r="F337" t="inlineStr">
        <is>
          <t>NT26081900331</t>
        </is>
      </c>
      <c r="G337" s="6" t="n">
        <v>46253</v>
      </c>
      <c r="H337" s="7" t="n">
        <v>186241.0158</v>
      </c>
      <c r="I337" t="inlineStr">
        <is>
          <t>GBP</t>
        </is>
      </c>
      <c r="J337" s="7" t="n">
        <v>95541.641</v>
      </c>
      <c r="K337" t="inlineStr">
        <is>
          <t>SYRM</t>
        </is>
      </c>
      <c r="L337" t="inlineStr">
        <is>
          <t>Funding move</t>
        </is>
      </c>
      <c r="M337" s="8" t="n">
        <v>46253.61613425926</v>
      </c>
      <c r="N337" t="inlineStr">
        <is>
          <t>Kai Calloway</t>
        </is>
      </c>
      <c r="O337" s="8" t="n">
        <v>46253.63280092592</v>
      </c>
      <c r="P337" t="inlineStr">
        <is>
          <t>Wren Hollis</t>
        </is>
      </c>
      <c r="Q337" t="inlineStr">
        <is>
          <t>CASHFLOW_RECEIVED</t>
        </is>
      </c>
      <c r="R337" t="inlineStr">
        <is>
          <t>SYRM_ACKNOWLEDGED</t>
        </is>
      </c>
      <c r="S337" t="inlineStr">
        <is>
          <t>View details</t>
        </is>
      </c>
    </row>
    <row r="338">
      <c r="A338" t="inlineStr">
        <is>
          <t>726928343448</t>
        </is>
      </c>
      <c r="B338" t="inlineStr">
        <is>
          <t>Nightjar Bank Stockholm</t>
        </is>
      </c>
      <c r="C338" t="inlineStr">
        <is>
          <t>910703979141</t>
        </is>
      </c>
      <c r="D338" t="inlineStr">
        <is>
          <t>Zephyr Settlement Bank Sydney</t>
        </is>
      </c>
      <c r="E338" t="inlineStr">
        <is>
          <t>EUR</t>
        </is>
      </c>
      <c r="F338" t="inlineStr">
        <is>
          <t>NT26081900332</t>
        </is>
      </c>
      <c r="G338" s="6" t="n">
        <v>46253</v>
      </c>
      <c r="H338" s="7" t="n">
        <v>18615.1518</v>
      </c>
      <c r="I338" t="inlineStr">
        <is>
          <t>GBP</t>
        </is>
      </c>
      <c r="J338" s="7" t="n">
        <v>15971.8</v>
      </c>
      <c r="K338" t="inlineStr">
        <is>
          <t>SWIFT</t>
        </is>
      </c>
      <c r="L338" t="inlineStr"/>
      <c r="M338" s="8" t="n">
        <v>46253.40030092592</v>
      </c>
      <c r="N338" t="inlineStr">
        <is>
          <t>Devon Calloway</t>
        </is>
      </c>
      <c r="O338" s="8" t="n">
        <v>46253.44127314815</v>
      </c>
      <c r="P338" t="inlineStr">
        <is>
          <t>Quinn Kirby</t>
        </is>
      </c>
      <c r="Q338" t="inlineStr">
        <is>
          <t>CASHFLOW_RECEIVED</t>
        </is>
      </c>
      <c r="R338" t="inlineStr">
        <is>
          <t>SYRM_ACKNOWLEDGED</t>
        </is>
      </c>
      <c r="S338" t="inlineStr">
        <is>
          <t>View details</t>
        </is>
      </c>
    </row>
    <row r="339">
      <c r="A339" t="inlineStr">
        <is>
          <t>150316825069</t>
        </is>
      </c>
      <c r="B339" t="inlineStr">
        <is>
          <t>Nightjar Clearing Dublin</t>
        </is>
      </c>
      <c r="C339" t="inlineStr">
        <is>
          <t>910703979141</t>
        </is>
      </c>
      <c r="D339" t="inlineStr">
        <is>
          <t>Kestrel Clearing Oslo</t>
        </is>
      </c>
      <c r="E339" t="inlineStr">
        <is>
          <t>GBP</t>
        </is>
      </c>
      <c r="F339" t="inlineStr">
        <is>
          <t>NT26081900333</t>
        </is>
      </c>
      <c r="G339" s="6" t="n">
        <v>46253</v>
      </c>
      <c r="H339" s="7" t="n">
        <v>61126296.99120001</v>
      </c>
      <c r="I339" t="inlineStr">
        <is>
          <t>GBP</t>
        </is>
      </c>
      <c r="J339" s="7" t="n">
        <v>61126296.991</v>
      </c>
      <c r="K339" t="inlineStr">
        <is>
          <t>SWIFT</t>
        </is>
      </c>
      <c r="L339" t="inlineStr">
        <is>
          <t>Liquidity sweep</t>
        </is>
      </c>
      <c r="M339" s="8" t="n">
        <v>46253.63814814815</v>
      </c>
      <c r="N339" t="inlineStr">
        <is>
          <t>Finley Sinclair</t>
        </is>
      </c>
      <c r="O339" s="8" t="n">
        <v>46253.68814814815</v>
      </c>
      <c r="P339" t="inlineStr">
        <is>
          <t>Kai Merrick</t>
        </is>
      </c>
      <c r="Q339" t="inlineStr">
        <is>
          <t>FAILED</t>
        </is>
      </c>
      <c r="R339" t="inlineStr">
        <is>
          <t>SYRM_ACKNOWLEDGED</t>
        </is>
      </c>
      <c r="S339" t="inlineStr">
        <is>
          <t>View details</t>
        </is>
      </c>
    </row>
    <row r="340">
      <c r="A340" t="inlineStr">
        <is>
          <t>150316825069</t>
        </is>
      </c>
      <c r="B340" t="inlineStr">
        <is>
          <t>Yarrow Settlement Bank Oslo</t>
        </is>
      </c>
      <c r="C340" t="inlineStr">
        <is>
          <t>794226063698</t>
        </is>
      </c>
      <c r="D340" t="inlineStr">
        <is>
          <t>Yarrow Trust Oslo</t>
        </is>
      </c>
      <c r="E340" t="inlineStr">
        <is>
          <t>GBP</t>
        </is>
      </c>
      <c r="F340" t="inlineStr">
        <is>
          <t>NT26081900334</t>
        </is>
      </c>
      <c r="G340" s="6" t="n">
        <v>46253</v>
      </c>
      <c r="H340" s="7" t="n">
        <v>58580323.5258</v>
      </c>
      <c r="I340" t="inlineStr">
        <is>
          <t>GBP</t>
        </is>
      </c>
      <c r="J340" s="7" t="n">
        <v>58580323.526</v>
      </c>
      <c r="K340" t="inlineStr">
        <is>
          <t>SWIFT</t>
        </is>
      </c>
      <c r="L340" t="inlineStr">
        <is>
          <t>Funding move</t>
        </is>
      </c>
      <c r="M340" s="8" t="n">
        <v>46253.30421296296</v>
      </c>
      <c r="N340" t="inlineStr">
        <is>
          <t>Avery Prentice</t>
        </is>
      </c>
      <c r="O340" s="8" t="n">
        <v>46253.35768518518</v>
      </c>
      <c r="P340" t="inlineStr">
        <is>
          <t>Avery Prentice</t>
        </is>
      </c>
      <c r="Q340" t="inlineStr">
        <is>
          <t>LEDGER_OR_CASHFLOW_RECEIVED</t>
        </is>
      </c>
      <c r="R340" t="inlineStr">
        <is>
          <t>SYRM_ACKNOWLEDGED</t>
        </is>
      </c>
      <c r="S340" t="inlineStr">
        <is>
          <t>View details</t>
        </is>
      </c>
    </row>
    <row r="341">
      <c r="A341" t="inlineStr">
        <is>
          <t>499062838623</t>
        </is>
      </c>
      <c r="B341" t="inlineStr">
        <is>
          <t>Bramble Trust Zurich</t>
        </is>
      </c>
      <c r="C341" t="inlineStr">
        <is>
          <t>359365220160</t>
        </is>
      </c>
      <c r="D341" t="inlineStr">
        <is>
          <t>Wrenfield Trust Tokyo</t>
        </is>
      </c>
      <c r="E341" t="inlineStr">
        <is>
          <t>USD</t>
        </is>
      </c>
      <c r="F341" t="inlineStr">
        <is>
          <t>NT26081900335</t>
        </is>
      </c>
      <c r="G341" s="6" t="n">
        <v>46253</v>
      </c>
      <c r="H341" s="7" t="n">
        <v>1260021058.5096</v>
      </c>
      <c r="I341" t="inlineStr">
        <is>
          <t>GBP</t>
        </is>
      </c>
      <c r="J341" s="7" t="n">
        <v>987856509.872</v>
      </c>
      <c r="K341" t="inlineStr">
        <is>
          <t>SYRM</t>
        </is>
      </c>
      <c r="L341" t="inlineStr"/>
      <c r="M341" s="8" t="n">
        <v>46253.42797453704</v>
      </c>
      <c r="N341" t="inlineStr">
        <is>
          <t>Greer Prentice</t>
        </is>
      </c>
      <c r="O341" s="8" t="n">
        <v>46253.48353009259</v>
      </c>
      <c r="P341" t="inlineStr">
        <is>
          <t>Quinn Kirby</t>
        </is>
      </c>
      <c r="Q341" t="inlineStr">
        <is>
          <t>LEDGER_OR_CASHFLOW_RECEIVED</t>
        </is>
      </c>
      <c r="R341" t="inlineStr">
        <is>
          <t>SYRM_ACKNOWLEDGED</t>
        </is>
      </c>
      <c r="S341" t="inlineStr">
        <is>
          <t>View details</t>
        </is>
      </c>
    </row>
    <row r="342">
      <c r="A342" t="inlineStr">
        <is>
          <t>910703979141</t>
        </is>
      </c>
      <c r="B342" t="inlineStr">
        <is>
          <t>Redstart Trust Mexico City</t>
        </is>
      </c>
      <c r="C342" t="inlineStr">
        <is>
          <t>953625291146</t>
        </is>
      </c>
      <c r="D342" t="inlineStr">
        <is>
          <t>Cedar Settlement Bank Hong Kong</t>
        </is>
      </c>
      <c r="E342" t="inlineStr">
        <is>
          <t>CHF</t>
        </is>
      </c>
      <c r="F342" t="inlineStr">
        <is>
          <t>NT26081900336</t>
        </is>
      </c>
      <c r="G342" s="6" t="n">
        <v>46253</v>
      </c>
      <c r="H342" s="7" t="n">
        <v>30537708743.7396</v>
      </c>
      <c r="I342" t="inlineStr">
        <is>
          <t>GBP</t>
        </is>
      </c>
      <c r="J342" s="7" t="n">
        <v>27392324743.134</v>
      </c>
      <c r="K342" t="inlineStr">
        <is>
          <t>SYRM</t>
        </is>
      </c>
      <c r="L342" t="inlineStr">
        <is>
          <t>Intraday top-up</t>
        </is>
      </c>
      <c r="M342" s="8" t="n">
        <v>46253.6518287037</v>
      </c>
      <c r="N342" t="inlineStr">
        <is>
          <t>Finley Jennings</t>
        </is>
      </c>
      <c r="O342" s="8" t="n">
        <v>46253.7080787037</v>
      </c>
      <c r="P342" t="inlineStr">
        <is>
          <t>Quinn Hollis</t>
        </is>
      </c>
      <c r="Q342" t="inlineStr">
        <is>
          <t>LEDGER_OR_CASHFLOW_RECEIVED</t>
        </is>
      </c>
      <c r="R342" t="inlineStr">
        <is>
          <t>SYRM_ACKNOWLEDGED</t>
        </is>
      </c>
      <c r="S342" t="inlineStr">
        <is>
          <t>View details</t>
        </is>
      </c>
    </row>
    <row r="343">
      <c r="A343" t="inlineStr">
        <is>
          <t>794226063698</t>
        </is>
      </c>
      <c r="B343" t="inlineStr">
        <is>
          <t>Redstart Trust Mexico City</t>
        </is>
      </c>
      <c r="C343" t="inlineStr">
        <is>
          <t>265771593142</t>
        </is>
      </c>
      <c r="D343" t="inlineStr">
        <is>
          <t>Larkspur Clearing New York</t>
        </is>
      </c>
      <c r="E343" t="inlineStr">
        <is>
          <t>AED</t>
        </is>
      </c>
      <c r="F343" t="inlineStr">
        <is>
          <t>NT26081900337</t>
        </is>
      </c>
      <c r="G343" s="6" t="n">
        <v>46253</v>
      </c>
      <c r="H343" s="7" t="n">
        <v>36491228.2836</v>
      </c>
      <c r="I343" t="inlineStr">
        <is>
          <t>GBP</t>
        </is>
      </c>
      <c r="J343" s="7" t="n">
        <v>7772631.624</v>
      </c>
      <c r="K343" t="inlineStr">
        <is>
          <t>SYRM</t>
        </is>
      </c>
      <c r="L343" t="inlineStr">
        <is>
          <t>Balance alignment</t>
        </is>
      </c>
      <c r="M343" s="8" t="n">
        <v>46253.71983796296</v>
      </c>
      <c r="N343" t="inlineStr">
        <is>
          <t>Marlow Sinclair</t>
        </is>
      </c>
      <c r="O343" s="8" t="n">
        <v>46253.78233796296</v>
      </c>
      <c r="P343" t="inlineStr">
        <is>
          <t>Devon Delaney</t>
        </is>
      </c>
      <c r="Q343" t="inlineStr">
        <is>
          <t>CASHFLOW_RECEIVED</t>
        </is>
      </c>
      <c r="R343" t="inlineStr">
        <is>
          <t>SYRM_ACKNOWLEDGED</t>
        </is>
      </c>
      <c r="S343" t="inlineStr">
        <is>
          <t>View details</t>
        </is>
      </c>
    </row>
    <row r="344">
      <c r="A344" t="inlineStr">
        <is>
          <t>968942362772</t>
        </is>
      </c>
      <c r="B344" t="inlineStr">
        <is>
          <t>Mallow Settlement Bank Oslo</t>
        </is>
      </c>
      <c r="C344" t="inlineStr">
        <is>
          <t>910703979141</t>
        </is>
      </c>
      <c r="D344" t="inlineStr">
        <is>
          <t>Juniper Commercial Bank Warsaw</t>
        </is>
      </c>
      <c r="E344" t="inlineStr">
        <is>
          <t>EUR</t>
        </is>
      </c>
      <c r="F344" t="inlineStr">
        <is>
          <t>NT26081900338</t>
        </is>
      </c>
      <c r="G344" s="6" t="n">
        <v>46253</v>
      </c>
      <c r="H344" s="7" t="n">
        <v>24456395.934</v>
      </c>
      <c r="I344" t="inlineStr">
        <is>
          <t>GBP</t>
        </is>
      </c>
      <c r="J344" s="7" t="n">
        <v>20983587.711</v>
      </c>
      <c r="K344" t="inlineStr">
        <is>
          <t>SYRM</t>
        </is>
      </c>
      <c r="L344" t="inlineStr">
        <is>
          <t>Funding move</t>
        </is>
      </c>
      <c r="M344" s="8" t="n">
        <v>46253.59493055556</v>
      </c>
      <c r="N344" t="inlineStr">
        <is>
          <t>Oakley Fairweather</t>
        </is>
      </c>
      <c r="O344" s="8" t="n">
        <v>46253.64701388889</v>
      </c>
      <c r="P344" t="inlineStr">
        <is>
          <t>Greer Osgood</t>
        </is>
      </c>
      <c r="Q344" t="inlineStr">
        <is>
          <t>LEDGER_OR_CASHFLOW_RECEIVED</t>
        </is>
      </c>
      <c r="R344" t="inlineStr">
        <is>
          <t>SYRM_ACKNOWLEDGED</t>
        </is>
      </c>
      <c r="S344" t="inlineStr">
        <is>
          <t>View details</t>
        </is>
      </c>
    </row>
    <row r="345">
      <c r="A345" t="inlineStr">
        <is>
          <t>700726936098</t>
        </is>
      </c>
      <c r="B345" t="inlineStr">
        <is>
          <t>Redstart Trust Mexico City</t>
        </is>
      </c>
      <c r="C345" t="inlineStr">
        <is>
          <t>150316825069</t>
        </is>
      </c>
      <c r="D345" t="inlineStr">
        <is>
          <t>Juniper Commercial Bank Warsaw</t>
        </is>
      </c>
      <c r="E345" t="inlineStr">
        <is>
          <t>SAR</t>
        </is>
      </c>
      <c r="F345" t="inlineStr">
        <is>
          <t>NT26081900339</t>
        </is>
      </c>
      <c r="G345" s="6" t="n">
        <v>46253</v>
      </c>
      <c r="H345" s="7" t="n">
        <v>4601366.9748</v>
      </c>
      <c r="I345" t="inlineStr">
        <is>
          <t>GBP</t>
        </is>
      </c>
      <c r="J345" s="7" t="n">
        <v>961685.698</v>
      </c>
      <c r="K345" t="inlineStr">
        <is>
          <t>SYRM</t>
        </is>
      </c>
      <c r="L345" t="inlineStr">
        <is>
          <t>Liquidity sweep</t>
        </is>
      </c>
      <c r="M345" s="8" t="n">
        <v>46253.43048611111</v>
      </c>
      <c r="N345" t="inlineStr">
        <is>
          <t>Devon Calloway</t>
        </is>
      </c>
      <c r="O345" s="8" t="n">
        <v>46253.46520833333</v>
      </c>
      <c r="P345" t="inlineStr">
        <is>
          <t>Wren Delaney</t>
        </is>
      </c>
      <c r="Q345" t="inlineStr">
        <is>
          <t>LEDGER_OR_CASHFLOW_RECEIVED</t>
        </is>
      </c>
      <c r="R345" t="inlineStr">
        <is>
          <t>SYRM_ACKNOWLEDGED</t>
        </is>
      </c>
      <c r="S345" t="inlineStr">
        <is>
          <t>View details</t>
        </is>
      </c>
    </row>
    <row r="346">
      <c r="A346" t="inlineStr">
        <is>
          <t>726928343448</t>
        </is>
      </c>
      <c r="B346" t="inlineStr">
        <is>
          <t>Nightjar Clearing Dublin</t>
        </is>
      </c>
      <c r="C346" t="inlineStr">
        <is>
          <t>910703979141</t>
        </is>
      </c>
      <c r="D346" t="inlineStr">
        <is>
          <t>Pinehurst Clearing Oslo</t>
        </is>
      </c>
      <c r="E346" t="inlineStr">
        <is>
          <t>EUR</t>
        </is>
      </c>
      <c r="F346" t="inlineStr">
        <is>
          <t>NT26081900340</t>
        </is>
      </c>
      <c r="G346" s="6" t="n">
        <v>46253</v>
      </c>
      <c r="H346" s="7" t="n">
        <v>498848234.841</v>
      </c>
      <c r="I346" t="inlineStr">
        <is>
          <t>GBP</t>
        </is>
      </c>
      <c r="J346" s="7" t="n">
        <v>428011785.494</v>
      </c>
      <c r="K346" t="inlineStr">
        <is>
          <t>SYRM</t>
        </is>
      </c>
      <c r="L346" t="inlineStr">
        <is>
          <t>Balance alignment</t>
        </is>
      </c>
      <c r="M346" s="8" t="n">
        <v>46253.40803240741</v>
      </c>
      <c r="N346" t="inlineStr">
        <is>
          <t>Devon Delaney</t>
        </is>
      </c>
      <c r="O346" s="8" t="n">
        <v>46253.4719212963</v>
      </c>
      <c r="P346" t="inlineStr">
        <is>
          <t>Kai Merrick</t>
        </is>
      </c>
      <c r="Q346" t="inlineStr">
        <is>
          <t>LEDGER_OR_CASHFLOW_RECEIVED</t>
        </is>
      </c>
      <c r="R346" t="inlineStr">
        <is>
          <t>SYRM_ACKNOWLEDGED</t>
        </is>
      </c>
      <c r="S346" t="inlineStr">
        <is>
          <t>View details</t>
        </is>
      </c>
    </row>
    <row r="347">
      <c r="A347" t="inlineStr">
        <is>
          <t>359365220160</t>
        </is>
      </c>
      <c r="B347" t="inlineStr">
        <is>
          <t>Alder Settlement Bank Paris</t>
        </is>
      </c>
      <c r="C347" t="inlineStr">
        <is>
          <t>910703979141</t>
        </is>
      </c>
      <c r="D347" t="inlineStr">
        <is>
          <t>Juniper Bank Warsaw</t>
        </is>
      </c>
      <c r="E347" t="inlineStr">
        <is>
          <t>EUR</t>
        </is>
      </c>
      <c r="F347" t="inlineStr">
        <is>
          <t>NT26081900341</t>
        </is>
      </c>
      <c r="G347" s="6" t="n">
        <v>46253</v>
      </c>
      <c r="H347" s="7" t="n">
        <v>139707962.2728</v>
      </c>
      <c r="I347" t="inlineStr">
        <is>
          <t>GBP</t>
        </is>
      </c>
      <c r="J347" s="7" t="n">
        <v>119869431.63</v>
      </c>
      <c r="K347" t="inlineStr">
        <is>
          <t>SWIFT</t>
        </is>
      </c>
      <c r="L347" t="inlineStr">
        <is>
          <t>Liquidity sweep</t>
        </is>
      </c>
      <c r="M347" s="8" t="n">
        <v>46253.44464120371</v>
      </c>
      <c r="N347" t="inlineStr">
        <is>
          <t>Wren Hollis</t>
        </is>
      </c>
      <c r="O347" s="8" t="n">
        <v>46253.4960300926</v>
      </c>
      <c r="P347" t="inlineStr">
        <is>
          <t>Noor Thorne</t>
        </is>
      </c>
      <c r="Q347" t="inlineStr">
        <is>
          <t>LEDGER_OR_CASHFLOW_RECEIVED</t>
        </is>
      </c>
      <c r="R347" t="inlineStr">
        <is>
          <t>SYRM_ACKNOWLEDGED</t>
        </is>
      </c>
      <c r="S347" t="inlineStr">
        <is>
          <t>View details</t>
        </is>
      </c>
    </row>
    <row r="348">
      <c r="A348" t="inlineStr">
        <is>
          <t>120047354818</t>
        </is>
      </c>
      <c r="B348" t="inlineStr">
        <is>
          <t>Thornbury Commercial Bank London</t>
        </is>
      </c>
      <c r="C348" t="inlineStr">
        <is>
          <t>150316825069</t>
        </is>
      </c>
      <c r="D348" t="inlineStr">
        <is>
          <t>Thornbury Commercial Bank London</t>
        </is>
      </c>
      <c r="E348" t="inlineStr">
        <is>
          <t>USD</t>
        </is>
      </c>
      <c r="F348" t="inlineStr">
        <is>
          <t>NT26081900342</t>
        </is>
      </c>
      <c r="G348" s="6" t="n">
        <v>46253</v>
      </c>
      <c r="H348" s="7" t="n">
        <v>1237647375.8154</v>
      </c>
      <c r="I348" t="inlineStr">
        <is>
          <t>GBP</t>
        </is>
      </c>
      <c r="J348" s="7" t="n">
        <v>970315542.6390001</v>
      </c>
      <c r="K348" t="inlineStr">
        <is>
          <t>SYRM</t>
        </is>
      </c>
      <c r="L348" t="inlineStr">
        <is>
          <t>Funding move</t>
        </is>
      </c>
      <c r="M348" s="8" t="n">
        <v>46253.51519675926</v>
      </c>
      <c r="N348" t="inlineStr">
        <is>
          <t>Finley Jennings</t>
        </is>
      </c>
      <c r="O348" s="8" t="n">
        <v>46253.5422800926</v>
      </c>
      <c r="P348" t="inlineStr">
        <is>
          <t>Greer Prentice</t>
        </is>
      </c>
      <c r="Q348" t="inlineStr">
        <is>
          <t>LEDGER_OR_CASHFLOW_RECEIVED</t>
        </is>
      </c>
      <c r="R348" t="inlineStr">
        <is>
          <t>SYRM_ACKNOWLEDGED</t>
        </is>
      </c>
      <c r="S348" t="inlineStr">
        <is>
          <t>View details</t>
        </is>
      </c>
    </row>
    <row r="349">
      <c r="A349" t="inlineStr">
        <is>
          <t>171857983160</t>
        </is>
      </c>
      <c r="B349" t="inlineStr">
        <is>
          <t>Oriel Settlement Bank Madrid</t>
        </is>
      </c>
      <c r="C349" t="inlineStr">
        <is>
          <t>910703979141</t>
        </is>
      </c>
      <c r="D349" t="inlineStr">
        <is>
          <t>Wrenfield Trust Tokyo</t>
        </is>
      </c>
      <c r="E349" t="inlineStr">
        <is>
          <t>AUD</t>
        </is>
      </c>
      <c r="F349" t="inlineStr">
        <is>
          <t>NT26081900343</t>
        </is>
      </c>
      <c r="G349" s="6" t="n">
        <v>46253</v>
      </c>
      <c r="H349" s="7" t="n">
        <v>107858.7468</v>
      </c>
      <c r="I349" t="inlineStr">
        <is>
          <t>GBP</t>
        </is>
      </c>
      <c r="J349" s="7" t="n">
        <v>55331.537</v>
      </c>
      <c r="K349" t="inlineStr">
        <is>
          <t>SWIFT</t>
        </is>
      </c>
      <c r="L349" t="inlineStr">
        <is>
          <t>Intraday top-up</t>
        </is>
      </c>
      <c r="M349" s="8" t="n">
        <v>46253.7377662037</v>
      </c>
      <c r="N349" t="inlineStr">
        <is>
          <t>Oakley Delaney</t>
        </is>
      </c>
      <c r="O349" s="8" t="n">
        <v>46253.77596064815</v>
      </c>
      <c r="P349" t="inlineStr">
        <is>
          <t>Noor Thorne</t>
        </is>
      </c>
      <c r="Q349" t="inlineStr">
        <is>
          <t>LEDGER_OR_CASHFLOW_RECEIVED</t>
        </is>
      </c>
      <c r="R349" t="inlineStr">
        <is>
          <t>SYRM_PENDING</t>
        </is>
      </c>
      <c r="S349" t="inlineStr">
        <is>
          <t>View details</t>
        </is>
      </c>
    </row>
    <row r="350">
      <c r="A350" t="inlineStr">
        <is>
          <t>468341071172</t>
        </is>
      </c>
      <c r="B350" t="inlineStr">
        <is>
          <t>Yarrow Trust Oslo</t>
        </is>
      </c>
      <c r="C350" t="inlineStr">
        <is>
          <t>113829985108</t>
        </is>
      </c>
      <c r="D350" t="inlineStr">
        <is>
          <t>Kestrel Clearing Oslo</t>
        </is>
      </c>
      <c r="E350" t="inlineStr">
        <is>
          <t>EUR</t>
        </is>
      </c>
      <c r="F350" t="inlineStr">
        <is>
          <t>NT26081900344</t>
        </is>
      </c>
      <c r="G350" s="6" t="n">
        <v>46253</v>
      </c>
      <c r="H350" s="7" t="n">
        <v>15718407.1578</v>
      </c>
      <c r="I350" t="inlineStr">
        <is>
          <t>GBP</t>
        </is>
      </c>
      <c r="J350" s="7" t="n">
        <v>13486393.341</v>
      </c>
      <c r="K350" t="inlineStr">
        <is>
          <t>SYRM</t>
        </is>
      </c>
      <c r="L350" t="inlineStr">
        <is>
          <t>Balance alignment</t>
        </is>
      </c>
      <c r="M350" s="8" t="n">
        <v>46253.34134259259</v>
      </c>
      <c r="N350" t="inlineStr">
        <is>
          <t>Oakley Novak</t>
        </is>
      </c>
      <c r="O350" s="8" t="n">
        <v>46253.37467592592</v>
      </c>
      <c r="P350" t="inlineStr">
        <is>
          <t>Noor Sinclair</t>
        </is>
      </c>
      <c r="Q350" t="inlineStr">
        <is>
          <t>LEDGER_OR_CASHFLOW_RECEIVED</t>
        </is>
      </c>
      <c r="R350" t="inlineStr">
        <is>
          <t>SYRM_ACKNOWLEDGED</t>
        </is>
      </c>
      <c r="S350" t="inlineStr">
        <is>
          <t>View details</t>
        </is>
      </c>
    </row>
    <row r="351">
      <c r="A351" t="inlineStr">
        <is>
          <t>468341071172</t>
        </is>
      </c>
      <c r="B351" t="inlineStr">
        <is>
          <t>Wrenfield Trust Tokyo</t>
        </is>
      </c>
      <c r="C351" t="inlineStr">
        <is>
          <t>499062838623</t>
        </is>
      </c>
      <c r="D351" t="inlineStr">
        <is>
          <t>Mallow Commercial Bank Mexico City</t>
        </is>
      </c>
      <c r="E351" t="inlineStr">
        <is>
          <t>EUR</t>
        </is>
      </c>
      <c r="F351" t="inlineStr">
        <is>
          <t>NT26081900345</t>
        </is>
      </c>
      <c r="G351" s="6" t="n">
        <v>46253</v>
      </c>
      <c r="H351" s="7" t="n">
        <v>118676846.0178</v>
      </c>
      <c r="I351" t="inlineStr">
        <is>
          <t>GBP</t>
        </is>
      </c>
      <c r="J351" s="7" t="n">
        <v>101824733.883</v>
      </c>
      <c r="K351" t="inlineStr">
        <is>
          <t>SWIFT</t>
        </is>
      </c>
      <c r="L351" t="inlineStr">
        <is>
          <t>Liquidity sweep</t>
        </is>
      </c>
      <c r="M351" s="8" t="n">
        <v>46253.37628472222</v>
      </c>
      <c r="N351" t="inlineStr">
        <is>
          <t>Marlow Sinclair</t>
        </is>
      </c>
      <c r="O351" s="8" t="n">
        <v>46253.39295138889</v>
      </c>
      <c r="P351" t="inlineStr">
        <is>
          <t>Oakley Novak</t>
        </is>
      </c>
      <c r="Q351" t="inlineStr">
        <is>
          <t>LEDGER_OR_CASHFLOW_RECEIVED</t>
        </is>
      </c>
      <c r="R351" t="inlineStr">
        <is>
          <t>SYRM_ACKNOWLEDGED</t>
        </is>
      </c>
      <c r="S351" t="inlineStr">
        <is>
          <t>View details</t>
        </is>
      </c>
    </row>
    <row r="352">
      <c r="A352" t="inlineStr">
        <is>
          <t>794226063698</t>
        </is>
      </c>
      <c r="B352" t="inlineStr">
        <is>
          <t>Alder Settlement Bank Paris</t>
        </is>
      </c>
      <c r="C352" t="inlineStr">
        <is>
          <t>700726936098</t>
        </is>
      </c>
      <c r="D352" t="inlineStr">
        <is>
          <t>Mallow Trust Frankfurt</t>
        </is>
      </c>
      <c r="E352" t="inlineStr">
        <is>
          <t>AED</t>
        </is>
      </c>
      <c r="F352" t="inlineStr">
        <is>
          <t>NT26081900346</t>
        </is>
      </c>
      <c r="G352" s="6" t="n">
        <v>46253</v>
      </c>
      <c r="H352" s="7" t="n">
        <v>5213486.449800001</v>
      </c>
      <c r="I352" t="inlineStr">
        <is>
          <t>GBP</t>
        </is>
      </c>
      <c r="J352" s="7" t="n">
        <v>1110472.614</v>
      </c>
      <c r="K352" t="inlineStr">
        <is>
          <t>SYRM</t>
        </is>
      </c>
      <c r="L352" t="inlineStr">
        <is>
          <t>Intraday top-up</t>
        </is>
      </c>
      <c r="M352" s="8" t="n">
        <v>46253.64125</v>
      </c>
      <c r="N352" t="inlineStr">
        <is>
          <t>Quinn Brookes</t>
        </is>
      </c>
      <c r="O352" s="8" t="n">
        <v>46253.67527777778</v>
      </c>
      <c r="P352" t="inlineStr">
        <is>
          <t>Noor Thorne</t>
        </is>
      </c>
      <c r="Q352" t="inlineStr">
        <is>
          <t>LEDGER_RECEIVED</t>
        </is>
      </c>
      <c r="R352" t="inlineStr">
        <is>
          <t>SYRM_ACKNOWLEDGED</t>
        </is>
      </c>
      <c r="S352" t="inlineStr">
        <is>
          <t>View details</t>
        </is>
      </c>
    </row>
    <row r="353">
      <c r="A353" t="inlineStr">
        <is>
          <t>898317028833</t>
        </is>
      </c>
      <c r="B353" t="inlineStr">
        <is>
          <t>Mallow Settlement Bank Warsaw</t>
        </is>
      </c>
      <c r="C353" t="inlineStr">
        <is>
          <t>120047354818</t>
        </is>
      </c>
      <c r="D353" t="inlineStr">
        <is>
          <t>Pinehurst Trust Toronto</t>
        </is>
      </c>
      <c r="E353" t="inlineStr">
        <is>
          <t>GBP</t>
        </is>
      </c>
      <c r="F353" t="inlineStr">
        <is>
          <t>NT26081900347</t>
        </is>
      </c>
      <c r="G353" s="6" t="n">
        <v>46253</v>
      </c>
      <c r="H353" s="7" t="n">
        <v>1179244440.594</v>
      </c>
      <c r="I353" t="inlineStr">
        <is>
          <t>GBP</t>
        </is>
      </c>
      <c r="J353" s="7" t="n">
        <v>1179244440.594</v>
      </c>
      <c r="K353" t="inlineStr">
        <is>
          <t>SYRM</t>
        </is>
      </c>
      <c r="L353" t="inlineStr">
        <is>
          <t>Liquidity sweep</t>
        </is>
      </c>
      <c r="M353" s="8" t="n">
        <v>46253.81150462963</v>
      </c>
      <c r="N353" t="inlineStr">
        <is>
          <t>Oakley Novak</t>
        </is>
      </c>
      <c r="O353" s="8" t="n">
        <v>46253.82539351852</v>
      </c>
      <c r="P353" t="inlineStr">
        <is>
          <t>Blake Fairweather</t>
        </is>
      </c>
      <c r="Q353" t="inlineStr">
        <is>
          <t>LEDGER_OR_CASHFLOW_RECEIVED</t>
        </is>
      </c>
      <c r="R353" t="inlineStr">
        <is>
          <t>SYRM_ACKNOWLEDGED</t>
        </is>
      </c>
      <c r="S353" t="inlineStr">
        <is>
          <t>View details</t>
        </is>
      </c>
    </row>
    <row r="354">
      <c r="A354" t="inlineStr">
        <is>
          <t>953625291146</t>
        </is>
      </c>
      <c r="B354" t="inlineStr">
        <is>
          <t>Wrenfield Trust Tokyo</t>
        </is>
      </c>
      <c r="C354" t="inlineStr">
        <is>
          <t>171857983160</t>
        </is>
      </c>
      <c r="D354" t="inlineStr">
        <is>
          <t>Yarrow Settlement Bank Oslo</t>
        </is>
      </c>
      <c r="E354" t="inlineStr">
        <is>
          <t>USD</t>
        </is>
      </c>
      <c r="F354" t="inlineStr">
        <is>
          <t>NT26081900348</t>
        </is>
      </c>
      <c r="G354" s="6" t="n">
        <v>46253</v>
      </c>
      <c r="H354" s="7" t="n">
        <v>16331096.7198</v>
      </c>
      <c r="I354" t="inlineStr">
        <is>
          <t>GBP</t>
        </is>
      </c>
      <c r="J354" s="7" t="n">
        <v>12803579.828</v>
      </c>
      <c r="K354" t="inlineStr">
        <is>
          <t>SYRM</t>
        </is>
      </c>
      <c r="L354" t="inlineStr">
        <is>
          <t>Intraday top-up</t>
        </is>
      </c>
      <c r="M354" s="8" t="n">
        <v>46253.78864583333</v>
      </c>
      <c r="N354" t="inlineStr">
        <is>
          <t>Oakley Fairweather</t>
        </is>
      </c>
      <c r="O354" s="8" t="n">
        <v>46253.80947916667</v>
      </c>
      <c r="P354" t="inlineStr">
        <is>
          <t>Ellis Gallagher</t>
        </is>
      </c>
      <c r="Q354" t="inlineStr">
        <is>
          <t>LEDGER_OR_CASHFLOW_RECEIVED</t>
        </is>
      </c>
      <c r="R354" t="inlineStr">
        <is>
          <t>SYRM_ACKNOWLEDGED</t>
        </is>
      </c>
      <c r="S354" t="inlineStr">
        <is>
          <t>View details</t>
        </is>
      </c>
    </row>
    <row r="355">
      <c r="A355" t="inlineStr">
        <is>
          <t>927538182434</t>
        </is>
      </c>
      <c r="B355" t="inlineStr">
        <is>
          <t>Ironbark Trust Dublin</t>
        </is>
      </c>
      <c r="C355" t="inlineStr">
        <is>
          <t>468341071172</t>
        </is>
      </c>
      <c r="D355" t="inlineStr">
        <is>
          <t>Bramble Bank Milan</t>
        </is>
      </c>
      <c r="E355" t="inlineStr">
        <is>
          <t>CNY</t>
        </is>
      </c>
      <c r="F355" t="inlineStr">
        <is>
          <t>NT26081900349</t>
        </is>
      </c>
      <c r="G355" s="6" t="n">
        <v>46253</v>
      </c>
      <c r="H355" s="7" t="n">
        <v>1714.8456</v>
      </c>
      <c r="I355" t="inlineStr">
        <is>
          <t>GBP</t>
        </is>
      </c>
      <c r="J355" s="7" t="n">
        <v>186.918</v>
      </c>
      <c r="K355" t="inlineStr">
        <is>
          <t>SWIFT</t>
        </is>
      </c>
      <c r="L355" t="inlineStr"/>
      <c r="M355" s="8" t="n">
        <v>46253.28572916667</v>
      </c>
      <c r="N355" t="inlineStr">
        <is>
          <t>Marlow Rhodes</t>
        </is>
      </c>
      <c r="O355" s="8" t="n">
        <v>46253.29336805556</v>
      </c>
      <c r="P355" t="inlineStr">
        <is>
          <t>Oakley Rhodes</t>
        </is>
      </c>
      <c r="Q355" t="inlineStr">
        <is>
          <t>LEDGER_OR_CASHFLOW_RECEIVED</t>
        </is>
      </c>
      <c r="R355" t="inlineStr">
        <is>
          <t>SYRM_ACKNOWLEDGED</t>
        </is>
      </c>
      <c r="S355" t="inlineStr">
        <is>
          <t>View details</t>
        </is>
      </c>
    </row>
    <row r="356">
      <c r="A356" t="inlineStr">
        <is>
          <t>284925023085</t>
        </is>
      </c>
      <c r="B356" t="inlineStr">
        <is>
          <t>Pinehurst Clearing Oslo</t>
        </is>
      </c>
      <c r="C356" t="inlineStr">
        <is>
          <t>898317028833</t>
        </is>
      </c>
      <c r="D356" t="inlineStr">
        <is>
          <t>Fernway Clearing Frankfurt</t>
        </is>
      </c>
      <c r="E356" t="inlineStr">
        <is>
          <t>MXN</t>
        </is>
      </c>
      <c r="F356" t="inlineStr">
        <is>
          <t>NT26081900350</t>
        </is>
      </c>
      <c r="G356" s="6" t="n">
        <v>46253</v>
      </c>
      <c r="H356" s="7" t="n">
        <v>75857.88959999999</v>
      </c>
      <c r="I356" t="inlineStr">
        <is>
          <t>GBP</t>
        </is>
      </c>
      <c r="J356" s="7" t="n">
        <v>3246.718</v>
      </c>
      <c r="K356" t="inlineStr">
        <is>
          <t>SYRM</t>
        </is>
      </c>
      <c r="L356" t="inlineStr">
        <is>
          <t>Liquidity sweep</t>
        </is>
      </c>
      <c r="M356" s="8" t="n">
        <v>46253.27947916667</v>
      </c>
      <c r="N356" t="inlineStr">
        <is>
          <t>Quinn Lindqvist</t>
        </is>
      </c>
      <c r="O356" s="8" t="n">
        <v>46253.31350694445</v>
      </c>
      <c r="P356" t="inlineStr">
        <is>
          <t>Noor Brookes</t>
        </is>
      </c>
      <c r="Q356" t="inlineStr">
        <is>
          <t>LEDGER_OR_CASHFLOW_RECEIVED</t>
        </is>
      </c>
      <c r="R356" t="inlineStr">
        <is>
          <t>SYRM_ACKNOWLEDGED</t>
        </is>
      </c>
      <c r="S356" t="inlineStr">
        <is>
          <t>View details</t>
        </is>
      </c>
    </row>
    <row r="357">
      <c r="A357" t="inlineStr">
        <is>
          <t>621381112674</t>
        </is>
      </c>
      <c r="B357" t="inlineStr">
        <is>
          <t>Wrenfield Commercial Bank Oslo</t>
        </is>
      </c>
      <c r="C357" t="inlineStr">
        <is>
          <t>794226063698</t>
        </is>
      </c>
      <c r="D357" t="inlineStr">
        <is>
          <t>Juniper Bank Warsaw</t>
        </is>
      </c>
      <c r="E357" t="inlineStr">
        <is>
          <t>PLN</t>
        </is>
      </c>
      <c r="F357" t="inlineStr">
        <is>
          <t>NT26081900351</t>
        </is>
      </c>
      <c r="G357" s="6" t="n">
        <v>46253</v>
      </c>
      <c r="H357" s="7" t="n">
        <v>8237320.547400001</v>
      </c>
      <c r="I357" t="inlineStr">
        <is>
          <t>GBP</t>
        </is>
      </c>
      <c r="J357" s="7" t="n">
        <v>1630989.468</v>
      </c>
      <c r="K357" t="inlineStr">
        <is>
          <t>SYRM</t>
        </is>
      </c>
      <c r="L357" t="inlineStr"/>
      <c r="M357" s="8" t="n">
        <v>46253.44994212963</v>
      </c>
      <c r="N357" t="inlineStr">
        <is>
          <t>Wren Hollis</t>
        </is>
      </c>
      <c r="O357" s="8" t="n">
        <v>46253.45341435185</v>
      </c>
      <c r="P357" t="inlineStr">
        <is>
          <t>Greer Prentice</t>
        </is>
      </c>
      <c r="Q357" t="inlineStr">
        <is>
          <t>LEDGER_OR_CASHFLOW_RECEIVED</t>
        </is>
      </c>
      <c r="R357" t="inlineStr">
        <is>
          <t>SYRM_ACKNOWLEDGED</t>
        </is>
      </c>
      <c r="S357" t="inlineStr">
        <is>
          <t>View details</t>
        </is>
      </c>
    </row>
    <row r="358">
      <c r="A358" t="inlineStr">
        <is>
          <t>953625291146</t>
        </is>
      </c>
      <c r="B358" t="inlineStr">
        <is>
          <t>Zephyr Bank Singapore</t>
        </is>
      </c>
      <c r="C358" t="inlineStr">
        <is>
          <t>499062838623</t>
        </is>
      </c>
      <c r="D358" t="inlineStr">
        <is>
          <t>Kestrel Clearing Oslo</t>
        </is>
      </c>
      <c r="E358" t="inlineStr">
        <is>
          <t>USD</t>
        </is>
      </c>
      <c r="F358" t="inlineStr">
        <is>
          <t>NT26081900352</t>
        </is>
      </c>
      <c r="G358" s="6" t="n">
        <v>46253</v>
      </c>
      <c r="H358" s="7" t="n">
        <v>60179400.7686</v>
      </c>
      <c r="I358" t="inlineStr">
        <is>
          <t>GBP</t>
        </is>
      </c>
      <c r="J358" s="7" t="n">
        <v>47180650.203</v>
      </c>
      <c r="K358" t="inlineStr">
        <is>
          <t>SYRM</t>
        </is>
      </c>
      <c r="L358" t="inlineStr">
        <is>
          <t>Intraday top-up</t>
        </is>
      </c>
      <c r="M358" s="8" t="n">
        <v>46253.48957175926</v>
      </c>
      <c r="N358" t="inlineStr">
        <is>
          <t>Blake Fairweather</t>
        </is>
      </c>
      <c r="O358" s="8" t="n">
        <v>46253.53818287037</v>
      </c>
      <c r="P358" t="inlineStr">
        <is>
          <t>Noor Brookes</t>
        </is>
      </c>
      <c r="Q358" t="inlineStr">
        <is>
          <t>LEDGER_OR_CASHFLOW_RECEIVED</t>
        </is>
      </c>
      <c r="R358" t="inlineStr">
        <is>
          <t>SYRM_ACKNOWLEDGED</t>
        </is>
      </c>
      <c r="S358" t="inlineStr">
        <is>
          <t>View details</t>
        </is>
      </c>
    </row>
    <row r="359">
      <c r="A359" t="inlineStr">
        <is>
          <t>794226063698</t>
        </is>
      </c>
      <c r="B359" t="inlineStr">
        <is>
          <t>Bramble Trust Zurich</t>
        </is>
      </c>
      <c r="C359" t="inlineStr">
        <is>
          <t>499062838623</t>
        </is>
      </c>
      <c r="D359" t="inlineStr">
        <is>
          <t>Pinehurst Commercial Bank Sydney</t>
        </is>
      </c>
      <c r="E359" t="inlineStr">
        <is>
          <t>AED</t>
        </is>
      </c>
      <c r="F359" t="inlineStr">
        <is>
          <t>NT26081900353</t>
        </is>
      </c>
      <c r="G359" s="6" t="n">
        <v>46253</v>
      </c>
      <c r="H359" s="7" t="n">
        <v>77930015.9904</v>
      </c>
      <c r="I359" t="inlineStr">
        <is>
          <t>GBP</t>
        </is>
      </c>
      <c r="J359" s="7" t="n">
        <v>16599093.406</v>
      </c>
      <c r="K359" t="inlineStr">
        <is>
          <t>SYRM</t>
        </is>
      </c>
      <c r="L359" t="inlineStr">
        <is>
          <t>Funding move</t>
        </is>
      </c>
      <c r="M359" s="8" t="n">
        <v>46253.6162962963</v>
      </c>
      <c r="N359" t="inlineStr">
        <is>
          <t>Quinn Osgood</t>
        </is>
      </c>
      <c r="O359" s="8" t="n">
        <v>46253.63296296296</v>
      </c>
      <c r="P359" t="inlineStr">
        <is>
          <t>Quinn Kirby</t>
        </is>
      </c>
      <c r="Q359" t="inlineStr">
        <is>
          <t>LEDGER_OR_CASHFLOW_RECEIVED</t>
        </is>
      </c>
      <c r="R359" t="inlineStr">
        <is>
          <t>SYRM_ACKNOWLEDGED</t>
        </is>
      </c>
      <c r="S359" t="inlineStr">
        <is>
          <t>View details</t>
        </is>
      </c>
    </row>
    <row r="360">
      <c r="A360" t="inlineStr">
        <is>
          <t>794226063698</t>
        </is>
      </c>
      <c r="B360" t="inlineStr">
        <is>
          <t>Bramble Commercial Bank Toronto</t>
        </is>
      </c>
      <c r="C360" t="inlineStr">
        <is>
          <t>794226063698</t>
        </is>
      </c>
      <c r="D360" t="inlineStr">
        <is>
          <t>Wrenfield Trust Tokyo</t>
        </is>
      </c>
      <c r="E360" t="inlineStr">
        <is>
          <t>AED</t>
        </is>
      </c>
      <c r="F360" t="inlineStr">
        <is>
          <t>NT26081900354</t>
        </is>
      </c>
      <c r="G360" s="6" t="n">
        <v>46253</v>
      </c>
      <c r="H360" s="7" t="n">
        <v>26794.827</v>
      </c>
      <c r="I360" t="inlineStr">
        <is>
          <t>GBP</t>
        </is>
      </c>
      <c r="J360" s="7" t="n">
        <v>5707.298</v>
      </c>
      <c r="K360" t="inlineStr">
        <is>
          <t>SWIFT</t>
        </is>
      </c>
      <c r="L360" t="inlineStr">
        <is>
          <t>Intraday top-up</t>
        </is>
      </c>
      <c r="M360" s="8" t="n">
        <v>46253.3544212963</v>
      </c>
      <c r="N360" t="inlineStr">
        <is>
          <t>Marlow Thorne</t>
        </is>
      </c>
      <c r="O360" s="8" t="n">
        <v>46253.40164351852</v>
      </c>
      <c r="P360" t="inlineStr">
        <is>
          <t>Sawyer Calloway</t>
        </is>
      </c>
      <c r="Q360" t="inlineStr">
        <is>
          <t>LEDGER_OR_CASHFLOW_RECEIVED</t>
        </is>
      </c>
      <c r="R360" t="inlineStr">
        <is>
          <t>SYRM_ACKNOWLEDGED</t>
        </is>
      </c>
      <c r="S360" t="inlineStr">
        <is>
          <t>View details</t>
        </is>
      </c>
    </row>
    <row r="361">
      <c r="A361" t="inlineStr">
        <is>
          <t>150316825069</t>
        </is>
      </c>
      <c r="B361" t="inlineStr">
        <is>
          <t>Fernway Trust Tokyo</t>
        </is>
      </c>
      <c r="C361" t="inlineStr">
        <is>
          <t>953625291146</t>
        </is>
      </c>
      <c r="D361" t="inlineStr">
        <is>
          <t>Bramble Bank Milan</t>
        </is>
      </c>
      <c r="E361" t="inlineStr">
        <is>
          <t>GBP</t>
        </is>
      </c>
      <c r="F361" t="inlineStr">
        <is>
          <t>NT26081900355</t>
        </is>
      </c>
      <c r="G361" s="6" t="n">
        <v>46253</v>
      </c>
      <c r="H361" s="7" t="n">
        <v>285919.2324</v>
      </c>
      <c r="I361" t="inlineStr">
        <is>
          <t>GBP</t>
        </is>
      </c>
      <c r="J361" s="7" t="n">
        <v>285919.232</v>
      </c>
      <c r="K361" t="inlineStr">
        <is>
          <t>SYRM</t>
        </is>
      </c>
      <c r="L361" t="inlineStr">
        <is>
          <t>Liquidity sweep</t>
        </is>
      </c>
      <c r="M361" s="8" t="n">
        <v>46253.30350694444</v>
      </c>
      <c r="N361" t="inlineStr">
        <is>
          <t>Devon Delaney</t>
        </is>
      </c>
      <c r="O361" s="8" t="n">
        <v>46253.32017361111</v>
      </c>
      <c r="P361" t="inlineStr">
        <is>
          <t>Blake Fairweather</t>
        </is>
      </c>
      <c r="Q361" t="inlineStr">
        <is>
          <t>LEDGER_OR_CASHFLOW_RECEIVED</t>
        </is>
      </c>
      <c r="R361" t="inlineStr">
        <is>
          <t>SYRM_REJECTED</t>
        </is>
      </c>
      <c r="S361" t="inlineStr">
        <is>
          <t>View details</t>
        </is>
      </c>
    </row>
    <row r="362">
      <c r="A362" t="inlineStr">
        <is>
          <t>150316825069</t>
        </is>
      </c>
      <c r="B362" t="inlineStr">
        <is>
          <t>Oriel Commercial Bank Toronto</t>
        </is>
      </c>
      <c r="C362" t="inlineStr">
        <is>
          <t>794226063698</t>
        </is>
      </c>
      <c r="D362" t="inlineStr">
        <is>
          <t>Pinehurst Settlement Bank Frankfurt</t>
        </is>
      </c>
      <c r="E362" t="inlineStr">
        <is>
          <t>GBP</t>
        </is>
      </c>
      <c r="F362" t="inlineStr">
        <is>
          <t>NT26081900356</t>
        </is>
      </c>
      <c r="G362" s="6" t="n">
        <v>46253</v>
      </c>
      <c r="H362" s="7" t="n">
        <v>90488310.5826</v>
      </c>
      <c r="I362" t="inlineStr">
        <is>
          <t>GBP</t>
        </is>
      </c>
      <c r="J362" s="7" t="n">
        <v>90488310.583</v>
      </c>
      <c r="K362" t="inlineStr">
        <is>
          <t>SYRM</t>
        </is>
      </c>
      <c r="L362" t="inlineStr">
        <is>
          <t>Balance alignment</t>
        </is>
      </c>
      <c r="M362" s="8" t="n">
        <v>46253.45778935185</v>
      </c>
      <c r="N362" t="inlineStr">
        <is>
          <t>Ellis Gallagher</t>
        </is>
      </c>
      <c r="O362" s="8" t="n">
        <v>46253.46542824074</v>
      </c>
      <c r="P362" t="inlineStr">
        <is>
          <t>Noor Sinclair</t>
        </is>
      </c>
      <c r="Q362" t="inlineStr">
        <is>
          <t>LEDGER_OR_CASHFLOW_RECEIVED</t>
        </is>
      </c>
      <c r="R362" t="inlineStr">
        <is>
          <t>SYRM_ACKNOWLEDGED</t>
        </is>
      </c>
      <c r="S362" t="inlineStr">
        <is>
          <t>View details</t>
        </is>
      </c>
    </row>
    <row r="363">
      <c r="A363" t="inlineStr">
        <is>
          <t>468341071172</t>
        </is>
      </c>
      <c r="B363" t="inlineStr">
        <is>
          <t>Wrenfield Bank Paris</t>
        </is>
      </c>
      <c r="C363" t="inlineStr">
        <is>
          <t>927538182434</t>
        </is>
      </c>
      <c r="D363" t="inlineStr">
        <is>
          <t>Bramble Clearing Milan</t>
        </is>
      </c>
      <c r="E363" t="inlineStr">
        <is>
          <t>EUR</t>
        </is>
      </c>
      <c r="F363" t="inlineStr">
        <is>
          <t>NT26081900357</t>
        </is>
      </c>
      <c r="G363" s="6" t="n">
        <v>46253</v>
      </c>
      <c r="H363" s="7" t="n">
        <v>597491.3520000001</v>
      </c>
      <c r="I363" t="inlineStr">
        <is>
          <t>GBP</t>
        </is>
      </c>
      <c r="J363" s="7" t="n">
        <v>512647.58</v>
      </c>
      <c r="K363" t="inlineStr">
        <is>
          <t>SWIFT</t>
        </is>
      </c>
      <c r="L363" t="inlineStr">
        <is>
          <t>Funding move</t>
        </is>
      </c>
      <c r="M363" s="8" t="n">
        <v>46253.64628472222</v>
      </c>
      <c r="N363" t="inlineStr">
        <is>
          <t>Kai Merrick</t>
        </is>
      </c>
      <c r="O363" s="8" t="n">
        <v>46253.67892361111</v>
      </c>
      <c r="P363" t="inlineStr">
        <is>
          <t>Tatum Ashford</t>
        </is>
      </c>
      <c r="Q363" t="inlineStr">
        <is>
          <t>LEDGER_OR_CASHFLOW_RECEIVED</t>
        </is>
      </c>
      <c r="R363" t="inlineStr">
        <is>
          <t>SYRM_ACKNOWLEDGED</t>
        </is>
      </c>
      <c r="S363" t="inlineStr">
        <is>
          <t>View details</t>
        </is>
      </c>
    </row>
    <row r="364">
      <c r="A364" t="inlineStr">
        <is>
          <t>284925023085</t>
        </is>
      </c>
      <c r="B364" t="inlineStr">
        <is>
          <t>Mallow Settlement Bank Warsaw</t>
        </is>
      </c>
      <c r="C364" t="inlineStr">
        <is>
          <t>499062838623</t>
        </is>
      </c>
      <c r="D364" t="inlineStr">
        <is>
          <t>Juniper Clearing New York</t>
        </is>
      </c>
      <c r="E364" t="inlineStr">
        <is>
          <t>MXN</t>
        </is>
      </c>
      <c r="F364" t="inlineStr">
        <is>
          <t>NT26081900358</t>
        </is>
      </c>
      <c r="G364" s="6" t="n">
        <v>46253</v>
      </c>
      <c r="H364" s="7" t="n">
        <v>23298773.7366</v>
      </c>
      <c r="I364" t="inlineStr">
        <is>
          <t>GBP</t>
        </is>
      </c>
      <c r="J364" s="7" t="n">
        <v>997187.5159999999</v>
      </c>
      <c r="K364" t="inlineStr">
        <is>
          <t>SYRM</t>
        </is>
      </c>
      <c r="L364" t="inlineStr">
        <is>
          <t>Balance alignment</t>
        </is>
      </c>
      <c r="M364" s="8" t="n">
        <v>46253.59366898148</v>
      </c>
      <c r="N364" t="inlineStr">
        <is>
          <t>Marlow Rhodes</t>
        </is>
      </c>
      <c r="O364" s="8" t="n">
        <v>46253.62283564815</v>
      </c>
      <c r="P364" t="inlineStr">
        <is>
          <t>Marlow Sinclair</t>
        </is>
      </c>
      <c r="Q364" t="inlineStr">
        <is>
          <t>LEDGER_OR_CASHFLOW_RECEIVED</t>
        </is>
      </c>
      <c r="R364" t="inlineStr">
        <is>
          <t>SYRM_ACKNOWLEDGED</t>
        </is>
      </c>
      <c r="S364" t="inlineStr">
        <is>
          <t>View details</t>
        </is>
      </c>
    </row>
    <row r="365">
      <c r="A365" t="inlineStr">
        <is>
          <t>621381112674</t>
        </is>
      </c>
      <c r="B365" t="inlineStr">
        <is>
          <t>Larkspur Trust Hong Kong</t>
        </is>
      </c>
      <c r="C365" t="inlineStr">
        <is>
          <t>468341071172</t>
        </is>
      </c>
      <c r="D365" t="inlineStr">
        <is>
          <t>Umberton Commercial Bank Mexico City</t>
        </is>
      </c>
      <c r="E365" t="inlineStr">
        <is>
          <t>PLN</t>
        </is>
      </c>
      <c r="F365" t="inlineStr">
        <is>
          <t>NT26081900359</t>
        </is>
      </c>
      <c r="G365" s="6" t="n">
        <v>46253</v>
      </c>
      <c r="H365" s="7" t="n">
        <v>9163505.0646</v>
      </c>
      <c r="I365" t="inlineStr">
        <is>
          <t>GBP</t>
        </is>
      </c>
      <c r="J365" s="7" t="n">
        <v>1814374.003</v>
      </c>
      <c r="K365" t="inlineStr">
        <is>
          <t>SYRM</t>
        </is>
      </c>
      <c r="L365" t="inlineStr">
        <is>
          <t>Balance alignment</t>
        </is>
      </c>
      <c r="M365" s="8" t="n">
        <v>46253.44708333333</v>
      </c>
      <c r="N365" t="inlineStr">
        <is>
          <t>Oakley Fairweather</t>
        </is>
      </c>
      <c r="O365" s="8" t="n">
        <v>46253.46305555556</v>
      </c>
      <c r="P365" t="inlineStr">
        <is>
          <t>Quinn Kirby</t>
        </is>
      </c>
      <c r="Q365" t="inlineStr">
        <is>
          <t>LEDGER_OR_CASHFLOW_RECEIVED</t>
        </is>
      </c>
      <c r="R365" t="inlineStr">
        <is>
          <t>SYRM_ACKNOWLEDGED</t>
        </is>
      </c>
      <c r="S365" t="inlineStr">
        <is>
          <t>View details</t>
        </is>
      </c>
    </row>
    <row r="366">
      <c r="A366" t="inlineStr">
        <is>
          <t>968942362772</t>
        </is>
      </c>
      <c r="B366" t="inlineStr">
        <is>
          <t>Pinehurst Commercial Bank Stockholm</t>
        </is>
      </c>
      <c r="C366" t="inlineStr">
        <is>
          <t>824840705580</t>
        </is>
      </c>
      <c r="D366" t="inlineStr">
        <is>
          <t>Oriel Settlement Bank Madrid</t>
        </is>
      </c>
      <c r="E366" t="inlineStr">
        <is>
          <t>EUR</t>
        </is>
      </c>
      <c r="F366" t="inlineStr">
        <is>
          <t>NT26081900360</t>
        </is>
      </c>
      <c r="G366" s="6" t="n">
        <v>46253</v>
      </c>
      <c r="H366" s="7" t="n">
        <v>703788631.2180001</v>
      </c>
      <c r="I366" t="inlineStr">
        <is>
          <t>GBP</t>
        </is>
      </c>
      <c r="J366" s="7" t="n">
        <v>603850645.585</v>
      </c>
      <c r="K366" t="inlineStr">
        <is>
          <t>SWIFT</t>
        </is>
      </c>
      <c r="L366" t="inlineStr">
        <is>
          <t>Funding move</t>
        </is>
      </c>
      <c r="M366" s="8" t="n">
        <v>46253.45679398148</v>
      </c>
      <c r="N366" t="inlineStr">
        <is>
          <t>Oakley Delaney</t>
        </is>
      </c>
      <c r="O366" s="8" t="n">
        <v>46253.50748842592</v>
      </c>
      <c r="P366" t="inlineStr">
        <is>
          <t>Ellis Delaney</t>
        </is>
      </c>
      <c r="Q366" t="inlineStr">
        <is>
          <t>LEDGER_OR_CASHFLOW_RECEIVED</t>
        </is>
      </c>
      <c r="R366" t="inlineStr">
        <is>
          <t>SYRM_PENDING</t>
        </is>
      </c>
      <c r="S366" t="inlineStr">
        <is>
          <t>View details</t>
        </is>
      </c>
    </row>
    <row r="367">
      <c r="A367" t="inlineStr">
        <is>
          <t>171857983160</t>
        </is>
      </c>
      <c r="B367" t="inlineStr">
        <is>
          <t>Wrenfield Trust Tokyo</t>
        </is>
      </c>
      <c r="C367" t="inlineStr">
        <is>
          <t>150316825069</t>
        </is>
      </c>
      <c r="D367" t="inlineStr">
        <is>
          <t>Wrenfield Commercial Bank Oslo</t>
        </is>
      </c>
      <c r="E367" t="inlineStr">
        <is>
          <t>AUD</t>
        </is>
      </c>
      <c r="F367" t="inlineStr">
        <is>
          <t>NT26081900361</t>
        </is>
      </c>
      <c r="G367" s="6" t="n">
        <v>46253</v>
      </c>
      <c r="H367" s="7" t="n">
        <v>5648424.543</v>
      </c>
      <c r="I367" t="inlineStr">
        <is>
          <t>GBP</t>
        </is>
      </c>
      <c r="J367" s="7" t="n">
        <v>2897641.791</v>
      </c>
      <c r="K367" t="inlineStr">
        <is>
          <t>SYRM</t>
        </is>
      </c>
      <c r="L367" t="inlineStr">
        <is>
          <t>Funding move</t>
        </is>
      </c>
      <c r="M367" s="8" t="n">
        <v>46253.45649305556</v>
      </c>
      <c r="N367" t="inlineStr">
        <is>
          <t>Harper Calloway</t>
        </is>
      </c>
      <c r="O367" s="8" t="n">
        <v>46253.4946875</v>
      </c>
      <c r="P367" t="inlineStr">
        <is>
          <t>Quinn Hollis</t>
        </is>
      </c>
      <c r="Q367" t="inlineStr">
        <is>
          <t>LEDGER_OR_CASHFLOW_RECEIVED</t>
        </is>
      </c>
      <c r="R367" t="inlineStr">
        <is>
          <t>SYRM_ACKNOWLEDGED</t>
        </is>
      </c>
      <c r="S367" t="inlineStr">
        <is>
          <t>View details</t>
        </is>
      </c>
    </row>
    <row r="368">
      <c r="A368" t="inlineStr">
        <is>
          <t>150316825069</t>
        </is>
      </c>
      <c r="B368" t="inlineStr">
        <is>
          <t>Wrenfield Clearing Frankfurt</t>
        </is>
      </c>
      <c r="C368" t="inlineStr">
        <is>
          <t>150316825069</t>
        </is>
      </c>
      <c r="D368" t="inlineStr">
        <is>
          <t>Kestrel Clearing Oslo</t>
        </is>
      </c>
      <c r="E368" t="inlineStr">
        <is>
          <t>GBP</t>
        </is>
      </c>
      <c r="F368" t="inlineStr">
        <is>
          <t>NT26081900362</t>
        </is>
      </c>
      <c r="G368" s="6" t="n">
        <v>46253</v>
      </c>
      <c r="H368" s="7" t="n">
        <v>10801694.4876</v>
      </c>
      <c r="I368" t="inlineStr">
        <is>
          <t>GBP</t>
        </is>
      </c>
      <c r="J368" s="7" t="n">
        <v>10801694.488</v>
      </c>
      <c r="K368" t="inlineStr">
        <is>
          <t>SYRM</t>
        </is>
      </c>
      <c r="L368" t="inlineStr">
        <is>
          <t>Balance alignment</t>
        </is>
      </c>
      <c r="M368" s="8" t="n">
        <v>46253.51972222222</v>
      </c>
      <c r="N368" t="inlineStr">
        <is>
          <t>Noor Thorne</t>
        </is>
      </c>
      <c r="O368" s="8" t="n">
        <v>46253.52180555555</v>
      </c>
      <c r="P368" t="inlineStr">
        <is>
          <t>Marlow Thorne</t>
        </is>
      </c>
      <c r="Q368" t="inlineStr">
        <is>
          <t>LEDGER_OR_CASHFLOW_RECEIVED</t>
        </is>
      </c>
      <c r="R368" t="inlineStr">
        <is>
          <t>SYRM_ACKNOWLEDGED</t>
        </is>
      </c>
      <c r="S368" t="inlineStr">
        <is>
          <t>View details</t>
        </is>
      </c>
    </row>
    <row r="369">
      <c r="A369" t="inlineStr">
        <is>
          <t>898317028833</t>
        </is>
      </c>
      <c r="B369" t="inlineStr">
        <is>
          <t>Sablewood Settlement Bank Oslo</t>
        </is>
      </c>
      <c r="C369" t="inlineStr">
        <is>
          <t>794226063698</t>
        </is>
      </c>
      <c r="D369" t="inlineStr">
        <is>
          <t>Cedar Clearing New York</t>
        </is>
      </c>
      <c r="E369" t="inlineStr">
        <is>
          <t>GBP</t>
        </is>
      </c>
      <c r="F369" t="inlineStr">
        <is>
          <t>NT26081900363</t>
        </is>
      </c>
      <c r="G369" s="6" t="n">
        <v>46253</v>
      </c>
      <c r="H369" s="7" t="n">
        <v>7416.3924</v>
      </c>
      <c r="I369" t="inlineStr">
        <is>
          <t>GBP</t>
        </is>
      </c>
      <c r="J369" s="7" t="n">
        <v>7416.392</v>
      </c>
      <c r="K369" t="inlineStr">
        <is>
          <t>SYRM</t>
        </is>
      </c>
      <c r="L369" t="inlineStr">
        <is>
          <t>Intraday top-up</t>
        </is>
      </c>
      <c r="M369" s="8" t="n">
        <v>46253.66642361111</v>
      </c>
      <c r="N369" t="inlineStr">
        <is>
          <t>Marlow Rhodes</t>
        </is>
      </c>
      <c r="O369" s="8" t="n">
        <v>46253.6740625</v>
      </c>
      <c r="P369" t="inlineStr">
        <is>
          <t>Quinn Kirby</t>
        </is>
      </c>
      <c r="Q369" t="inlineStr">
        <is>
          <t>LEDGER_OR_CASHFLOW_RECEIVED</t>
        </is>
      </c>
      <c r="R369" t="inlineStr">
        <is>
          <t>SYRM_PENDING</t>
        </is>
      </c>
      <c r="S369" t="inlineStr">
        <is>
          <t>View details</t>
        </is>
      </c>
    </row>
    <row r="370">
      <c r="A370" t="inlineStr">
        <is>
          <t>468341071172</t>
        </is>
      </c>
      <c r="B370" t="inlineStr">
        <is>
          <t>Wrenfield Clearing Mexico City</t>
        </is>
      </c>
      <c r="C370" t="inlineStr">
        <is>
          <t>968942362772</t>
        </is>
      </c>
      <c r="D370" t="inlineStr">
        <is>
          <t>Harrow Bank Milan</t>
        </is>
      </c>
      <c r="E370" t="inlineStr">
        <is>
          <t>EUR</t>
        </is>
      </c>
      <c r="F370" t="inlineStr">
        <is>
          <t>NT26081900364</t>
        </is>
      </c>
      <c r="G370" s="6" t="n">
        <v>46253</v>
      </c>
      <c r="H370" s="7" t="n">
        <v>249164287.1874</v>
      </c>
      <c r="I370" t="inlineStr">
        <is>
          <t>GBP</t>
        </is>
      </c>
      <c r="J370" s="7" t="n">
        <v>213782958.407</v>
      </c>
      <c r="K370" t="inlineStr">
        <is>
          <t>INTERNAL</t>
        </is>
      </c>
      <c r="L370" t="inlineStr">
        <is>
          <t>Funding move</t>
        </is>
      </c>
      <c r="M370" s="8" t="n">
        <v>46253.35527777778</v>
      </c>
      <c r="N370" t="inlineStr">
        <is>
          <t>Quinn Lindqvist</t>
        </is>
      </c>
      <c r="O370" s="8" t="n">
        <v>46253.37263888889</v>
      </c>
      <c r="P370" t="inlineStr">
        <is>
          <t>Quinn Brookes</t>
        </is>
      </c>
      <c r="Q370" t="inlineStr">
        <is>
          <t>LEDGER_OR_CASHFLOW_RECEIVED</t>
        </is>
      </c>
      <c r="R370" t="inlineStr">
        <is>
          <t>SYRM_ACKNOWLEDGED</t>
        </is>
      </c>
      <c r="S370" t="inlineStr">
        <is>
          <t>View details</t>
        </is>
      </c>
    </row>
    <row r="371">
      <c r="A371" t="inlineStr">
        <is>
          <t>794226063698</t>
        </is>
      </c>
      <c r="B371" t="inlineStr">
        <is>
          <t>Mallow Settlement Bank Warsaw</t>
        </is>
      </c>
      <c r="C371" t="inlineStr">
        <is>
          <t>824840705580</t>
        </is>
      </c>
      <c r="D371" t="inlineStr">
        <is>
          <t>Zephyr Settlement Bank Sydney</t>
        </is>
      </c>
      <c r="E371" t="inlineStr">
        <is>
          <t>AED</t>
        </is>
      </c>
      <c r="F371" t="inlineStr">
        <is>
          <t>NT26081900365</t>
        </is>
      </c>
      <c r="G371" s="6" t="n">
        <v>46253</v>
      </c>
      <c r="H371" s="7" t="n">
        <v>46880459.8722</v>
      </c>
      <c r="I371" t="inlineStr">
        <is>
          <t>GBP</t>
        </is>
      </c>
      <c r="J371" s="7" t="n">
        <v>9985537.953</v>
      </c>
      <c r="K371" t="inlineStr">
        <is>
          <t>SYRM</t>
        </is>
      </c>
      <c r="L371" t="inlineStr">
        <is>
          <t>Intraday top-up</t>
        </is>
      </c>
      <c r="M371" s="8" t="n">
        <v>46253.52469907407</v>
      </c>
      <c r="N371" t="inlineStr">
        <is>
          <t>Ellis Gallagher</t>
        </is>
      </c>
      <c r="O371" s="8" t="n">
        <v>46253.56914351852</v>
      </c>
      <c r="P371" t="inlineStr">
        <is>
          <t>Quinn Osgood</t>
        </is>
      </c>
      <c r="Q371" t="inlineStr">
        <is>
          <t>LEDGER_OR_CASHFLOW_RECEIVED</t>
        </is>
      </c>
      <c r="R371" t="inlineStr">
        <is>
          <t>SYRM_ACKNOWLEDGED</t>
        </is>
      </c>
      <c r="S371" t="inlineStr">
        <is>
          <t>View details</t>
        </is>
      </c>
    </row>
    <row r="372">
      <c r="A372" t="inlineStr">
        <is>
          <t>132544340094</t>
        </is>
      </c>
      <c r="B372" t="inlineStr">
        <is>
          <t>Nightjar Clearing Dublin</t>
        </is>
      </c>
      <c r="C372" t="inlineStr">
        <is>
          <t>284925023085</t>
        </is>
      </c>
      <c r="D372" t="inlineStr">
        <is>
          <t>Bramble Trust Zurich</t>
        </is>
      </c>
      <c r="E372" t="inlineStr">
        <is>
          <t>CZK</t>
        </is>
      </c>
      <c r="F372" t="inlineStr">
        <is>
          <t>NT26081900366</t>
        </is>
      </c>
      <c r="G372" s="6" t="n">
        <v>46253</v>
      </c>
      <c r="H372" s="7" t="n">
        <v>495683389.692</v>
      </c>
      <c r="I372" t="inlineStr">
        <is>
          <t>GBP</t>
        </is>
      </c>
      <c r="J372" s="7" t="n">
        <v>16803666.911</v>
      </c>
      <c r="K372" t="inlineStr">
        <is>
          <t>SWIFT</t>
        </is>
      </c>
      <c r="L372" t="inlineStr"/>
      <c r="M372" s="8" t="n">
        <v>46253.62886574074</v>
      </c>
      <c r="N372" t="inlineStr">
        <is>
          <t>Devon Calloway</t>
        </is>
      </c>
      <c r="O372" s="8" t="n">
        <v>46253.66358796296</v>
      </c>
      <c r="P372" t="inlineStr">
        <is>
          <t>Sawyer Calloway</t>
        </is>
      </c>
      <c r="Q372" t="inlineStr">
        <is>
          <t>LEDGER_OR_CASHFLOW_RECEIVED</t>
        </is>
      </c>
      <c r="R372" t="inlineStr">
        <is>
          <t>SYRM_ACKNOWLEDGED</t>
        </is>
      </c>
      <c r="S372" t="inlineStr">
        <is>
          <t>View details</t>
        </is>
      </c>
    </row>
    <row r="373">
      <c r="A373" t="inlineStr">
        <is>
          <t>171857983160</t>
        </is>
      </c>
      <c r="B373" t="inlineStr">
        <is>
          <t>Fernway Clearing Frankfurt</t>
        </is>
      </c>
      <c r="C373" t="inlineStr">
        <is>
          <t>968942362772</t>
        </is>
      </c>
      <c r="D373" t="inlineStr">
        <is>
          <t>Dunlin Commercial Bank Warsaw</t>
        </is>
      </c>
      <c r="E373" t="inlineStr">
        <is>
          <t>AUD</t>
        </is>
      </c>
      <c r="F373" t="inlineStr">
        <is>
          <t>NT26081900367</t>
        </is>
      </c>
      <c r="G373" s="6" t="n">
        <v>46253</v>
      </c>
      <c r="H373" s="7" t="n">
        <v>3598.4538</v>
      </c>
      <c r="I373" t="inlineStr">
        <is>
          <t>GBP</t>
        </is>
      </c>
      <c r="J373" s="7" t="n">
        <v>1846.007</v>
      </c>
      <c r="K373" t="inlineStr">
        <is>
          <t>SYRM</t>
        </is>
      </c>
      <c r="L373" t="inlineStr"/>
      <c r="M373" s="8" t="n">
        <v>46253.38180555555</v>
      </c>
      <c r="N373" t="inlineStr">
        <is>
          <t>Devon Delaney</t>
        </is>
      </c>
      <c r="O373" s="8" t="n">
        <v>46253.38319444445</v>
      </c>
      <c r="P373" t="inlineStr">
        <is>
          <t>Kai Novak</t>
        </is>
      </c>
      <c r="Q373" t="inlineStr">
        <is>
          <t>LEDGER_RECEIVED</t>
        </is>
      </c>
      <c r="R373" t="inlineStr">
        <is>
          <t>SYRM_ACKNOWLEDGED</t>
        </is>
      </c>
      <c r="S373" t="inlineStr">
        <is>
          <t>View details</t>
        </is>
      </c>
    </row>
    <row r="374">
      <c r="A374" t="inlineStr">
        <is>
          <t>898317028833</t>
        </is>
      </c>
      <c r="B374" t="inlineStr">
        <is>
          <t>Redstart Commercial Bank Stockholm</t>
        </is>
      </c>
      <c r="C374" t="inlineStr">
        <is>
          <t>171857983160</t>
        </is>
      </c>
      <c r="D374" t="inlineStr">
        <is>
          <t>Kestrel Clearing Oslo</t>
        </is>
      </c>
      <c r="E374" t="inlineStr">
        <is>
          <t>GBP</t>
        </is>
      </c>
      <c r="F374" t="inlineStr">
        <is>
          <t>NT26081900368</t>
        </is>
      </c>
      <c r="G374" s="6" t="n">
        <v>46253</v>
      </c>
      <c r="H374" s="7" t="n">
        <v>33442.4538</v>
      </c>
      <c r="I374" t="inlineStr">
        <is>
          <t>GBP</t>
        </is>
      </c>
      <c r="J374" s="7" t="n">
        <v>33442.454</v>
      </c>
      <c r="K374" t="inlineStr">
        <is>
          <t>SYRM</t>
        </is>
      </c>
      <c r="L374" t="inlineStr"/>
      <c r="M374" s="8" t="n">
        <v>46253.42518518519</v>
      </c>
      <c r="N374" t="inlineStr">
        <is>
          <t>Ellis Delaney</t>
        </is>
      </c>
      <c r="O374" s="8" t="n">
        <v>46253.43976851852</v>
      </c>
      <c r="P374" t="inlineStr">
        <is>
          <t>Finley Hollis</t>
        </is>
      </c>
      <c r="Q374" t="inlineStr">
        <is>
          <t>LEDGER_OR_CASHFLOW_RECEIVED</t>
        </is>
      </c>
      <c r="R374" t="inlineStr">
        <is>
          <t>SYRM_ACKNOWLEDGED</t>
        </is>
      </c>
      <c r="S374" t="inlineStr">
        <is>
          <t>View details</t>
        </is>
      </c>
    </row>
    <row r="375">
      <c r="A375" t="inlineStr">
        <is>
          <t>499062838623</t>
        </is>
      </c>
      <c r="B375" t="inlineStr">
        <is>
          <t>Yarrow Bank Stockholm</t>
        </is>
      </c>
      <c r="C375" t="inlineStr">
        <is>
          <t>499062838623</t>
        </is>
      </c>
      <c r="D375" t="inlineStr">
        <is>
          <t>Ironbark Trust Dublin</t>
        </is>
      </c>
      <c r="E375" t="inlineStr">
        <is>
          <t>USD</t>
        </is>
      </c>
      <c r="F375" t="inlineStr">
        <is>
          <t>NT26081900369</t>
        </is>
      </c>
      <c r="G375" s="6" t="n">
        <v>46253</v>
      </c>
      <c r="H375" s="7" t="n">
        <v>26186690.0682</v>
      </c>
      <c r="I375" t="inlineStr">
        <is>
          <t>GBP</t>
        </is>
      </c>
      <c r="J375" s="7" t="n">
        <v>20530365.013</v>
      </c>
      <c r="K375" t="inlineStr">
        <is>
          <t>SYRM</t>
        </is>
      </c>
      <c r="L375" t="inlineStr">
        <is>
          <t>Funding move</t>
        </is>
      </c>
      <c r="M375" s="8" t="n">
        <v>46253.59643518519</v>
      </c>
      <c r="N375" t="inlineStr">
        <is>
          <t>Devon Delaney</t>
        </is>
      </c>
      <c r="O375" s="8" t="n">
        <v>46253.62143518519</v>
      </c>
      <c r="P375" t="inlineStr">
        <is>
          <t>Kai Novak</t>
        </is>
      </c>
      <c r="Q375" t="inlineStr">
        <is>
          <t>FAILED</t>
        </is>
      </c>
      <c r="R375" t="inlineStr">
        <is>
          <t>SYRM_ACKNOWLEDGED</t>
        </is>
      </c>
      <c r="S375" t="inlineStr">
        <is>
          <t>View details</t>
        </is>
      </c>
    </row>
    <row r="376">
      <c r="A376" t="inlineStr">
        <is>
          <t>468341071172</t>
        </is>
      </c>
      <c r="B376" t="inlineStr">
        <is>
          <t>Larkspur Trust Hong Kong</t>
        </is>
      </c>
      <c r="C376" t="inlineStr">
        <is>
          <t>499062838623</t>
        </is>
      </c>
      <c r="D376" t="inlineStr">
        <is>
          <t>Granite Trust Frankfurt</t>
        </is>
      </c>
      <c r="E376" t="inlineStr">
        <is>
          <t>EUR</t>
        </is>
      </c>
      <c r="F376" t="inlineStr">
        <is>
          <t>NT26081900370</t>
        </is>
      </c>
      <c r="G376" s="6" t="n">
        <v>46253</v>
      </c>
      <c r="H376" s="7" t="n">
        <v>133250040.5904</v>
      </c>
      <c r="I376" t="inlineStr">
        <is>
          <t>GBP</t>
        </is>
      </c>
      <c r="J376" s="7" t="n">
        <v>114328534.827</v>
      </c>
      <c r="K376" t="inlineStr">
        <is>
          <t>SYRM</t>
        </is>
      </c>
      <c r="L376" t="inlineStr"/>
      <c r="M376" s="8" t="n">
        <v>46253.33171296296</v>
      </c>
      <c r="N376" t="inlineStr">
        <is>
          <t>Marlow Sinclair</t>
        </is>
      </c>
      <c r="O376" s="8" t="n">
        <v>46253.33657407408</v>
      </c>
      <c r="P376" t="inlineStr">
        <is>
          <t>Lennox Ellison</t>
        </is>
      </c>
      <c r="Q376" t="inlineStr">
        <is>
          <t>LEDGER_OR_CASHFLOW_RECEIVED</t>
        </is>
      </c>
      <c r="R376" t="inlineStr">
        <is>
          <t>SYRM_ACKNOWLEDGED</t>
        </is>
      </c>
      <c r="S376" t="inlineStr">
        <is>
          <t>View details</t>
        </is>
      </c>
    </row>
    <row r="377">
      <c r="A377" t="inlineStr">
        <is>
          <t>468341071172</t>
        </is>
      </c>
      <c r="B377" t="inlineStr">
        <is>
          <t>Juniper Bank Warsaw</t>
        </is>
      </c>
      <c r="C377" t="inlineStr">
        <is>
          <t>621381112674</t>
        </is>
      </c>
      <c r="D377" t="inlineStr">
        <is>
          <t>Larkspur Clearing New York</t>
        </is>
      </c>
      <c r="E377" t="inlineStr">
        <is>
          <t>EUR</t>
        </is>
      </c>
      <c r="F377" t="inlineStr">
        <is>
          <t>NT26081900371</t>
        </is>
      </c>
      <c r="G377" s="6" t="n">
        <v>46253</v>
      </c>
      <c r="H377" s="7" t="n">
        <v>97585864.60860001</v>
      </c>
      <c r="I377" t="inlineStr">
        <is>
          <t>GBP</t>
        </is>
      </c>
      <c r="J377" s="7" t="n">
        <v>83728671.83400001</v>
      </c>
      <c r="K377" t="inlineStr">
        <is>
          <t>SYRM</t>
        </is>
      </c>
      <c r="L377" t="inlineStr">
        <is>
          <t>Balance alignment</t>
        </is>
      </c>
      <c r="M377" s="8" t="n">
        <v>46253.4428587963</v>
      </c>
      <c r="N377" t="inlineStr">
        <is>
          <t>Finley Jennings</t>
        </is>
      </c>
      <c r="O377" s="8" t="n">
        <v>46253.4991087963</v>
      </c>
      <c r="P377" t="inlineStr">
        <is>
          <t>Devon Jennings</t>
        </is>
      </c>
      <c r="Q377" t="inlineStr">
        <is>
          <t>LEDGER_OR_CASHFLOW_RECEIVED</t>
        </is>
      </c>
      <c r="R377" t="inlineStr">
        <is>
          <t>SYRM_ACKNOWLEDGED</t>
        </is>
      </c>
      <c r="S377" t="inlineStr">
        <is>
          <t>View details</t>
        </is>
      </c>
    </row>
    <row r="378">
      <c r="A378" t="inlineStr">
        <is>
          <t>150316825069</t>
        </is>
      </c>
      <c r="B378" t="inlineStr">
        <is>
          <t>Wrenfield Clearing Frankfurt</t>
        </is>
      </c>
      <c r="C378" t="inlineStr">
        <is>
          <t>794226063698</t>
        </is>
      </c>
      <c r="D378" t="inlineStr">
        <is>
          <t>Redstart Commercial Bank Stockholm</t>
        </is>
      </c>
      <c r="E378" t="inlineStr">
        <is>
          <t>GBP</t>
        </is>
      </c>
      <c r="F378" t="inlineStr">
        <is>
          <t>NT26081900372</t>
        </is>
      </c>
      <c r="G378" s="6" t="n">
        <v>46253</v>
      </c>
      <c r="H378" s="7" t="n">
        <v>703639431.4338</v>
      </c>
      <c r="I378" t="inlineStr">
        <is>
          <t>GBP</t>
        </is>
      </c>
      <c r="J378" s="7" t="n">
        <v>703639431.434</v>
      </c>
      <c r="K378" t="inlineStr">
        <is>
          <t>SYRM</t>
        </is>
      </c>
      <c r="L378" t="inlineStr">
        <is>
          <t>Balance alignment</t>
        </is>
      </c>
      <c r="M378" s="8" t="n">
        <v>46253.41769675926</v>
      </c>
      <c r="N378" t="inlineStr">
        <is>
          <t>Wren Fairweather</t>
        </is>
      </c>
      <c r="O378" s="8" t="n">
        <v>46253.42811342593</v>
      </c>
      <c r="P378" t="inlineStr">
        <is>
          <t>Wren Delaney</t>
        </is>
      </c>
      <c r="Q378" t="inlineStr">
        <is>
          <t>LEDGER_OR_CASHFLOW_RECEIVED</t>
        </is>
      </c>
      <c r="R378" t="inlineStr">
        <is>
          <t>SYRM_PENDING</t>
        </is>
      </c>
      <c r="S378" t="inlineStr">
        <is>
          <t>View details</t>
        </is>
      </c>
    </row>
    <row r="379">
      <c r="A379" t="inlineStr">
        <is>
          <t>910703979141</t>
        </is>
      </c>
      <c r="B379" t="inlineStr">
        <is>
          <t>Yarrow Settlement Bank Oslo</t>
        </is>
      </c>
      <c r="C379" t="inlineStr">
        <is>
          <t>150316825069</t>
        </is>
      </c>
      <c r="D379" t="inlineStr">
        <is>
          <t>Wrenfield Bank Paris</t>
        </is>
      </c>
      <c r="E379" t="inlineStr">
        <is>
          <t>CHF</t>
        </is>
      </c>
      <c r="F379" t="inlineStr">
        <is>
          <t>NT26081900373</t>
        </is>
      </c>
      <c r="G379" s="6" t="n">
        <v>46253</v>
      </c>
      <c r="H379" s="7" t="n">
        <v>4473524.1996</v>
      </c>
      <c r="I379" t="inlineStr">
        <is>
          <t>GBP</t>
        </is>
      </c>
      <c r="J379" s="7" t="n">
        <v>4012751.207</v>
      </c>
      <c r="K379" t="inlineStr">
        <is>
          <t>SYRM</t>
        </is>
      </c>
      <c r="L379" t="inlineStr">
        <is>
          <t>Liquidity sweep</t>
        </is>
      </c>
      <c r="M379" s="8" t="n">
        <v>46253.74233796296</v>
      </c>
      <c r="N379" t="inlineStr">
        <is>
          <t>Ellis Gallagher</t>
        </is>
      </c>
      <c r="O379" s="8" t="n">
        <v>46253.76525462963</v>
      </c>
      <c r="P379" t="inlineStr">
        <is>
          <t>Lennox Ellison</t>
        </is>
      </c>
      <c r="Q379" t="inlineStr">
        <is>
          <t>LEDGER_OR_CASHFLOW_RECEIVED</t>
        </is>
      </c>
      <c r="R379" t="inlineStr">
        <is>
          <t>SYRM_ACKNOWLEDGED</t>
        </is>
      </c>
      <c r="S379" t="inlineStr">
        <is>
          <t>View details</t>
        </is>
      </c>
    </row>
    <row r="380">
      <c r="A380" t="inlineStr">
        <is>
          <t>499062838623</t>
        </is>
      </c>
      <c r="B380" t="inlineStr">
        <is>
          <t>Cedar Settlement Bank Hong Kong</t>
        </is>
      </c>
      <c r="C380" t="inlineStr">
        <is>
          <t>953625291146</t>
        </is>
      </c>
      <c r="D380" t="inlineStr">
        <is>
          <t>Wrenfield Trust Tokyo</t>
        </is>
      </c>
      <c r="E380" t="inlineStr">
        <is>
          <t>USD</t>
        </is>
      </c>
      <c r="F380" t="inlineStr">
        <is>
          <t>NT26081900374</t>
        </is>
      </c>
      <c r="G380" s="6" t="n">
        <v>46253</v>
      </c>
      <c r="H380" s="7" t="n">
        <v>18477463.5288</v>
      </c>
      <c r="I380" t="inlineStr">
        <is>
          <t>GBP</t>
        </is>
      </c>
      <c r="J380" s="7" t="n">
        <v>14486331.407</v>
      </c>
      <c r="K380" t="inlineStr">
        <is>
          <t>SYRM</t>
        </is>
      </c>
      <c r="L380" t="inlineStr">
        <is>
          <t>Intraday top-up</t>
        </is>
      </c>
      <c r="M380" s="8" t="n">
        <v>46253.42519675926</v>
      </c>
      <c r="N380" t="inlineStr">
        <is>
          <t>Oakley Rhodes</t>
        </is>
      </c>
      <c r="O380" s="8" t="n">
        <v>46253.43561342593</v>
      </c>
      <c r="P380" t="inlineStr">
        <is>
          <t>Ellis Gallagher</t>
        </is>
      </c>
      <c r="Q380" t="inlineStr">
        <is>
          <t>LEDGER_OR_CASHFLOW_RECEIVED</t>
        </is>
      </c>
      <c r="R380" t="inlineStr">
        <is>
          <t>SYRM_ACKNOWLEDGED</t>
        </is>
      </c>
      <c r="S380" t="inlineStr">
        <is>
          <t>View details</t>
        </is>
      </c>
    </row>
    <row r="381">
      <c r="A381" t="inlineStr">
        <is>
          <t>927538182434</t>
        </is>
      </c>
      <c r="B381" t="inlineStr">
        <is>
          <t>Ironbark Trust Dublin</t>
        </is>
      </c>
      <c r="C381" t="inlineStr">
        <is>
          <t>499062838623</t>
        </is>
      </c>
      <c r="D381" t="inlineStr">
        <is>
          <t>Wrenfield Bank Paris</t>
        </is>
      </c>
      <c r="E381" t="inlineStr">
        <is>
          <t>CNY</t>
        </is>
      </c>
      <c r="F381" t="inlineStr">
        <is>
          <t>NT26081900375</t>
        </is>
      </c>
      <c r="G381" s="6" t="n">
        <v>46253</v>
      </c>
      <c r="H381" s="7" t="n">
        <v>19680567.822</v>
      </c>
      <c r="I381" t="inlineStr">
        <is>
          <t>GBP</t>
        </is>
      </c>
      <c r="J381" s="7" t="n">
        <v>2145181.893</v>
      </c>
      <c r="K381" t="inlineStr">
        <is>
          <t>SYRM</t>
        </is>
      </c>
      <c r="L381" t="inlineStr">
        <is>
          <t>Funding move</t>
        </is>
      </c>
      <c r="M381" s="8" t="n">
        <v>46253.4559375</v>
      </c>
      <c r="N381" t="inlineStr">
        <is>
          <t>Oakley Rhodes</t>
        </is>
      </c>
      <c r="O381" s="8" t="n">
        <v>46253.47399305556</v>
      </c>
      <c r="P381" t="inlineStr">
        <is>
          <t>Oakley Delaney</t>
        </is>
      </c>
      <c r="Q381" t="inlineStr">
        <is>
          <t>LEDGER_OR_CASHFLOW_RECEIVED</t>
        </is>
      </c>
      <c r="R381" t="inlineStr">
        <is>
          <t>SYRM_ACKNOWLEDGED</t>
        </is>
      </c>
      <c r="S381" t="inlineStr">
        <is>
          <t>View details</t>
        </is>
      </c>
    </row>
    <row r="382">
      <c r="A382" t="inlineStr">
        <is>
          <t>120047354818</t>
        </is>
      </c>
      <c r="B382" t="inlineStr">
        <is>
          <t>Yarrow Bank Stockholm</t>
        </is>
      </c>
      <c r="C382" t="inlineStr">
        <is>
          <t>700726936098</t>
        </is>
      </c>
      <c r="D382" t="inlineStr">
        <is>
          <t>Bramble Bank Milan</t>
        </is>
      </c>
      <c r="E382" t="inlineStr">
        <is>
          <t>USD</t>
        </is>
      </c>
      <c r="F382" t="inlineStr">
        <is>
          <t>NT26081900376</t>
        </is>
      </c>
      <c r="G382" s="6" t="n">
        <v>46253</v>
      </c>
      <c r="H382" s="7" t="n">
        <v>10160861752.4796</v>
      </c>
      <c r="I382" t="inlineStr">
        <is>
          <t>GBP</t>
        </is>
      </c>
      <c r="J382" s="7" t="n">
        <v>7966115613.944</v>
      </c>
      <c r="K382" t="inlineStr">
        <is>
          <t>SWIFT</t>
        </is>
      </c>
      <c r="L382" t="inlineStr"/>
      <c r="M382" s="8" t="n">
        <v>46253.73954861111</v>
      </c>
      <c r="N382" t="inlineStr">
        <is>
          <t>Kai Merrick</t>
        </is>
      </c>
      <c r="O382" s="8" t="n">
        <v>46253.78190972222</v>
      </c>
      <c r="P382" t="inlineStr">
        <is>
          <t>Harper Hollis</t>
        </is>
      </c>
      <c r="Q382" t="inlineStr">
        <is>
          <t>LEDGER_OR_CASHFLOW_RECEIVED</t>
        </is>
      </c>
      <c r="R382" t="inlineStr">
        <is>
          <t>SYRM_REJECTED</t>
        </is>
      </c>
      <c r="S382" t="inlineStr">
        <is>
          <t>View details</t>
        </is>
      </c>
    </row>
    <row r="383">
      <c r="A383" t="inlineStr">
        <is>
          <t>265771593142</t>
        </is>
      </c>
      <c r="B383" t="inlineStr">
        <is>
          <t>Zephyr Settlement Bank New York</t>
        </is>
      </c>
      <c r="C383" t="inlineStr">
        <is>
          <t>794226063698</t>
        </is>
      </c>
      <c r="D383" t="inlineStr">
        <is>
          <t>Pinehurst Trust Toronto</t>
        </is>
      </c>
      <c r="E383" t="inlineStr">
        <is>
          <t>EUR</t>
        </is>
      </c>
      <c r="F383" t="inlineStr">
        <is>
          <t>NT26081900377</t>
        </is>
      </c>
      <c r="G383" s="6" t="n">
        <v>46253</v>
      </c>
      <c r="H383" s="7" t="n">
        <v>68639199.7086</v>
      </c>
      <c r="I383" t="inlineStr">
        <is>
          <t>GBP</t>
        </is>
      </c>
      <c r="J383" s="7" t="n">
        <v>58892433.35</v>
      </c>
      <c r="K383" t="inlineStr">
        <is>
          <t>SYRM</t>
        </is>
      </c>
      <c r="L383" t="inlineStr"/>
      <c r="M383" s="8" t="n">
        <v>46253.34542824074</v>
      </c>
      <c r="N383" t="inlineStr">
        <is>
          <t>Devon Delaney</t>
        </is>
      </c>
      <c r="O383" s="8" t="n">
        <v>46253.39820601852</v>
      </c>
      <c r="P383" t="inlineStr">
        <is>
          <t>Lennox Ellison</t>
        </is>
      </c>
      <c r="Q383" t="inlineStr">
        <is>
          <t>LEDGER_OR_CASHFLOW_RECEIVED</t>
        </is>
      </c>
      <c r="R383" t="inlineStr">
        <is>
          <t>SYRM_REJECTED</t>
        </is>
      </c>
      <c r="S383" t="inlineStr">
        <is>
          <t>View details</t>
        </is>
      </c>
    </row>
    <row r="384">
      <c r="A384" t="inlineStr">
        <is>
          <t>927538182434</t>
        </is>
      </c>
      <c r="B384" t="inlineStr">
        <is>
          <t>Sablewood Settlement Bank Oslo</t>
        </is>
      </c>
      <c r="C384" t="inlineStr">
        <is>
          <t>794226063698</t>
        </is>
      </c>
      <c r="D384" t="inlineStr">
        <is>
          <t>Wrenfield Trust Tokyo</t>
        </is>
      </c>
      <c r="E384" t="inlineStr">
        <is>
          <t>CNY</t>
        </is>
      </c>
      <c r="F384" t="inlineStr">
        <is>
          <t>NT26081900378</t>
        </is>
      </c>
      <c r="G384" s="6" t="n">
        <v>46253</v>
      </c>
      <c r="H384" s="7" t="n">
        <v>66326593.8348</v>
      </c>
      <c r="I384" t="inlineStr">
        <is>
          <t>GBP</t>
        </is>
      </c>
      <c r="J384" s="7" t="n">
        <v>7229598.728</v>
      </c>
      <c r="K384" t="inlineStr">
        <is>
          <t>SYRM</t>
        </is>
      </c>
      <c r="L384" t="inlineStr"/>
      <c r="M384" s="8" t="n">
        <v>46253.6027662037</v>
      </c>
      <c r="N384" t="inlineStr">
        <is>
          <t>Avery Sinclair</t>
        </is>
      </c>
      <c r="O384" s="8" t="n">
        <v>46253.63748842593</v>
      </c>
      <c r="P384" t="inlineStr">
        <is>
          <t>Quinn Kirby</t>
        </is>
      </c>
      <c r="Q384" t="inlineStr">
        <is>
          <t>CASHFLOW_RECEIVED</t>
        </is>
      </c>
      <c r="R384" t="inlineStr">
        <is>
          <t>SYRM_ACKNOWLEDGED</t>
        </is>
      </c>
      <c r="S384" t="inlineStr">
        <is>
          <t>View details</t>
        </is>
      </c>
    </row>
    <row r="385">
      <c r="A385" t="inlineStr">
        <is>
          <t>150316825069</t>
        </is>
      </c>
      <c r="B385" t="inlineStr">
        <is>
          <t>Ironbark Clearing Frankfurt</t>
        </is>
      </c>
      <c r="C385" t="inlineStr">
        <is>
          <t>468341071172</t>
        </is>
      </c>
      <c r="D385" t="inlineStr">
        <is>
          <t>Dunlin Commercial Bank Paris</t>
        </is>
      </c>
      <c r="E385" t="inlineStr">
        <is>
          <t>GBP</t>
        </is>
      </c>
      <c r="F385" t="inlineStr">
        <is>
          <t>NT26081900379</t>
        </is>
      </c>
      <c r="G385" s="6" t="n">
        <v>46253</v>
      </c>
      <c r="H385" s="7" t="n">
        <v>131784696.72</v>
      </c>
      <c r="I385" t="inlineStr">
        <is>
          <t>GBP</t>
        </is>
      </c>
      <c r="J385" s="7" t="n">
        <v>131784696.72</v>
      </c>
      <c r="K385" t="inlineStr">
        <is>
          <t>SYRM</t>
        </is>
      </c>
      <c r="L385" t="inlineStr">
        <is>
          <t>Funding move</t>
        </is>
      </c>
      <c r="M385" s="8" t="n">
        <v>46253.53282407407</v>
      </c>
      <c r="N385" t="inlineStr">
        <is>
          <t>Avery Prentice</t>
        </is>
      </c>
      <c r="O385" s="8" t="n">
        <v>46253.58421296296</v>
      </c>
      <c r="P385" t="inlineStr">
        <is>
          <t>Noor Brookes</t>
        </is>
      </c>
      <c r="Q385" t="inlineStr">
        <is>
          <t>LEDGER_OR_CASHFLOW_RECEIVED</t>
        </is>
      </c>
      <c r="R385" t="inlineStr">
        <is>
          <t>SYRM_ACKNOWLEDGED</t>
        </is>
      </c>
      <c r="S385" t="inlineStr">
        <is>
          <t>View details</t>
        </is>
      </c>
    </row>
    <row r="386">
      <c r="A386" t="inlineStr">
        <is>
          <t>113829985108</t>
        </is>
      </c>
      <c r="B386" t="inlineStr">
        <is>
          <t>Bramble Commercial Bank Toronto</t>
        </is>
      </c>
      <c r="C386" t="inlineStr">
        <is>
          <t>468341071172</t>
        </is>
      </c>
      <c r="D386" t="inlineStr">
        <is>
          <t>Zephyr Settlement Bank Sydney</t>
        </is>
      </c>
      <c r="E386" t="inlineStr">
        <is>
          <t>EUR</t>
        </is>
      </c>
      <c r="F386" t="inlineStr">
        <is>
          <t>NT26081900380</t>
        </is>
      </c>
      <c r="G386" s="6" t="n">
        <v>46253</v>
      </c>
      <c r="H386" s="7" t="n">
        <v>153010.9818</v>
      </c>
      <c r="I386" t="inlineStr">
        <is>
          <t>GBP</t>
        </is>
      </c>
      <c r="J386" s="7" t="n">
        <v>131283.422</v>
      </c>
      <c r="K386" t="inlineStr">
        <is>
          <t>SYRM</t>
        </is>
      </c>
      <c r="L386" t="inlineStr"/>
      <c r="M386" s="8" t="n">
        <v>46253.50935185186</v>
      </c>
      <c r="N386" t="inlineStr">
        <is>
          <t>Wren Hollis</t>
        </is>
      </c>
      <c r="O386" s="8" t="n">
        <v>46253.54337962963</v>
      </c>
      <c r="P386" t="inlineStr">
        <is>
          <t>Devon Calloway</t>
        </is>
      </c>
      <c r="Q386" t="inlineStr">
        <is>
          <t>LEDGER_OR_CASHFLOW_RECEIVED</t>
        </is>
      </c>
      <c r="R386" t="inlineStr">
        <is>
          <t>SYRM_ACKNOWLEDGED</t>
        </is>
      </c>
      <c r="S386" t="inlineStr">
        <is>
          <t>View details</t>
        </is>
      </c>
    </row>
    <row r="387">
      <c r="A387" t="inlineStr">
        <is>
          <t>150316825069</t>
        </is>
      </c>
      <c r="B387" t="inlineStr">
        <is>
          <t>Dunlin Commercial Bank Warsaw</t>
        </is>
      </c>
      <c r="C387" t="inlineStr">
        <is>
          <t>132544340094</t>
        </is>
      </c>
      <c r="D387" t="inlineStr">
        <is>
          <t>Harrow Bank Milan</t>
        </is>
      </c>
      <c r="E387" t="inlineStr">
        <is>
          <t>GBP</t>
        </is>
      </c>
      <c r="F387" t="inlineStr">
        <is>
          <t>NT26081900381</t>
        </is>
      </c>
      <c r="G387" s="6" t="n">
        <v>46253</v>
      </c>
      <c r="H387" s="7" t="n">
        <v>1109087469.837</v>
      </c>
      <c r="I387" t="inlineStr">
        <is>
          <t>GBP</t>
        </is>
      </c>
      <c r="J387" s="7" t="n">
        <v>1109087469.837</v>
      </c>
      <c r="K387" t="inlineStr">
        <is>
          <t>SYRM</t>
        </is>
      </c>
      <c r="L387" t="inlineStr">
        <is>
          <t>Liquidity sweep</t>
        </is>
      </c>
      <c r="M387" s="8" t="n">
        <v>46253.43550925926</v>
      </c>
      <c r="N387" t="inlineStr">
        <is>
          <t>Finley Jennings</t>
        </is>
      </c>
      <c r="O387" s="8" t="n">
        <v>46253.50148148148</v>
      </c>
      <c r="P387" t="inlineStr">
        <is>
          <t>Oakley Fairweather</t>
        </is>
      </c>
      <c r="Q387" t="inlineStr">
        <is>
          <t>LEDGER_OR_CASHFLOW_RECEIVED</t>
        </is>
      </c>
      <c r="R387" t="inlineStr">
        <is>
          <t>SYRM_ACKNOWLEDGED</t>
        </is>
      </c>
      <c r="S387" t="inlineStr">
        <is>
          <t>View details</t>
        </is>
      </c>
    </row>
    <row r="388">
      <c r="A388" t="inlineStr">
        <is>
          <t>910703979141</t>
        </is>
      </c>
      <c r="B388" t="inlineStr">
        <is>
          <t>Juniper Bank Warsaw</t>
        </is>
      </c>
      <c r="C388" t="inlineStr">
        <is>
          <t>794226063698</t>
        </is>
      </c>
      <c r="D388" t="inlineStr">
        <is>
          <t>Alder Settlement Bank Paris</t>
        </is>
      </c>
      <c r="E388" t="inlineStr">
        <is>
          <t>CHF</t>
        </is>
      </c>
      <c r="F388" t="inlineStr">
        <is>
          <t>NT26081900382</t>
        </is>
      </c>
      <c r="G388" s="6" t="n">
        <v>46253</v>
      </c>
      <c r="H388" s="7" t="n">
        <v>69770246.88600001</v>
      </c>
      <c r="I388" t="inlineStr">
        <is>
          <t>GBP</t>
        </is>
      </c>
      <c r="J388" s="7" t="n">
        <v>62583911.457</v>
      </c>
      <c r="K388" t="inlineStr">
        <is>
          <t>SYRM</t>
        </is>
      </c>
      <c r="L388" t="inlineStr">
        <is>
          <t>Funding move</t>
        </is>
      </c>
      <c r="M388" s="8" t="n">
        <v>46253.36385416667</v>
      </c>
      <c r="N388" t="inlineStr">
        <is>
          <t>Kai Merrick</t>
        </is>
      </c>
      <c r="O388" s="8" t="n">
        <v>46253.41802083333</v>
      </c>
      <c r="P388" t="inlineStr">
        <is>
          <t>Oakley Delaney</t>
        </is>
      </c>
      <c r="Q388" t="inlineStr">
        <is>
          <t>LEDGER_OR_CASHFLOW_RECEIVED</t>
        </is>
      </c>
      <c r="R388" t="inlineStr">
        <is>
          <t>SYRM_ACKNOWLEDGED</t>
        </is>
      </c>
      <c r="S388" t="inlineStr">
        <is>
          <t>View details</t>
        </is>
      </c>
    </row>
    <row r="389">
      <c r="A389" t="inlineStr">
        <is>
          <t>700726936098</t>
        </is>
      </c>
      <c r="B389" t="inlineStr">
        <is>
          <t>Larkspur Clearing New York</t>
        </is>
      </c>
      <c r="C389" t="inlineStr">
        <is>
          <t>898317028833</t>
        </is>
      </c>
      <c r="D389" t="inlineStr">
        <is>
          <t>Wrenfield Bank Paris</t>
        </is>
      </c>
      <c r="E389" t="inlineStr">
        <is>
          <t>SAR</t>
        </is>
      </c>
      <c r="F389" t="inlineStr">
        <is>
          <t>NT26081900383</t>
        </is>
      </c>
      <c r="G389" s="6" t="n">
        <v>46253</v>
      </c>
      <c r="H389" s="7" t="n">
        <v>157414822.335</v>
      </c>
      <c r="I389" t="inlineStr">
        <is>
          <t>GBP</t>
        </is>
      </c>
      <c r="J389" s="7" t="n">
        <v>32899697.868</v>
      </c>
      <c r="K389" t="inlineStr">
        <is>
          <t>SYRM</t>
        </is>
      </c>
      <c r="L389" t="inlineStr">
        <is>
          <t>Liquidity sweep</t>
        </is>
      </c>
      <c r="M389" s="8" t="n">
        <v>46253.64657407408</v>
      </c>
      <c r="N389" t="inlineStr">
        <is>
          <t>Devon Delaney</t>
        </is>
      </c>
      <c r="O389" s="8" t="n">
        <v>46253.64935185185</v>
      </c>
      <c r="P389" t="inlineStr">
        <is>
          <t>Oakley Prentice</t>
        </is>
      </c>
      <c r="Q389" t="inlineStr">
        <is>
          <t>LEDGER_OR_CASHFLOW_RECEIVED</t>
        </is>
      </c>
      <c r="R389" t="inlineStr">
        <is>
          <t>SYRM_ACKNOWLEDGED</t>
        </is>
      </c>
      <c r="S389" t="inlineStr">
        <is>
          <t>View details</t>
        </is>
      </c>
    </row>
    <row r="390">
      <c r="A390" t="inlineStr">
        <is>
          <t>150316825069</t>
        </is>
      </c>
      <c r="B390" t="inlineStr">
        <is>
          <t>Redstart Trust Mexico City</t>
        </is>
      </c>
      <c r="C390" t="inlineStr">
        <is>
          <t>284925023085</t>
        </is>
      </c>
      <c r="D390" t="inlineStr">
        <is>
          <t>Umberton Commercial Bank Mexico City</t>
        </is>
      </c>
      <c r="E390" t="inlineStr">
        <is>
          <t>GBP</t>
        </is>
      </c>
      <c r="F390" t="inlineStr">
        <is>
          <t>NT26081900384</t>
        </is>
      </c>
      <c r="G390" s="6" t="n">
        <v>46253</v>
      </c>
      <c r="H390" s="7" t="n">
        <v>3498081.516</v>
      </c>
      <c r="I390" t="inlineStr">
        <is>
          <t>GBP</t>
        </is>
      </c>
      <c r="J390" s="7" t="n">
        <v>3498081.516</v>
      </c>
      <c r="K390" t="inlineStr">
        <is>
          <t>SYRM</t>
        </is>
      </c>
      <c r="L390" t="inlineStr">
        <is>
          <t>Liquidity sweep</t>
        </is>
      </c>
      <c r="M390" s="8" t="n">
        <v>46253.62605324074</v>
      </c>
      <c r="N390" t="inlineStr">
        <is>
          <t>Quinn Kirby</t>
        </is>
      </c>
      <c r="O390" s="8" t="n">
        <v>46253.62813657407</v>
      </c>
      <c r="P390" t="inlineStr">
        <is>
          <t>Quinn Kirby</t>
        </is>
      </c>
      <c r="Q390" t="inlineStr">
        <is>
          <t>LEDGER_OR_CASHFLOW_RECEIVED</t>
        </is>
      </c>
      <c r="R390" t="inlineStr">
        <is>
          <t>SYRM_ACKNOWLEDGED</t>
        </is>
      </c>
      <c r="S390" t="inlineStr">
        <is>
          <t>View details</t>
        </is>
      </c>
    </row>
    <row r="391">
      <c r="A391" t="inlineStr">
        <is>
          <t>468341071172</t>
        </is>
      </c>
      <c r="B391" t="inlineStr">
        <is>
          <t>Juniper Clearing New York</t>
        </is>
      </c>
      <c r="C391" t="inlineStr">
        <is>
          <t>150316825069</t>
        </is>
      </c>
      <c r="D391" t="inlineStr">
        <is>
          <t>Bramble Clearing Milan</t>
        </is>
      </c>
      <c r="E391" t="inlineStr">
        <is>
          <t>EUR</t>
        </is>
      </c>
      <c r="F391" t="inlineStr">
        <is>
          <t>NT26081900385</t>
        </is>
      </c>
      <c r="G391" s="6" t="n">
        <v>46253</v>
      </c>
      <c r="H391" s="7" t="n">
        <v>77984695.845</v>
      </c>
      <c r="I391" t="inlineStr">
        <is>
          <t>GBP</t>
        </is>
      </c>
      <c r="J391" s="7" t="n">
        <v>66910869.035</v>
      </c>
      <c r="K391" t="inlineStr">
        <is>
          <t>SYRM</t>
        </is>
      </c>
      <c r="L391" t="inlineStr"/>
      <c r="M391" s="8" t="n">
        <v>46253.74247685185</v>
      </c>
      <c r="N391" t="inlineStr">
        <is>
          <t>Kai Merrick</t>
        </is>
      </c>
      <c r="O391" s="8" t="n">
        <v>46253.78414351852</v>
      </c>
      <c r="P391" t="inlineStr">
        <is>
          <t>Wren Hollis</t>
        </is>
      </c>
      <c r="Q391" t="inlineStr">
        <is>
          <t>LEDGER_OR_CASHFLOW_RECEIVED</t>
        </is>
      </c>
      <c r="R391" t="inlineStr">
        <is>
          <t>SYRM_ACKNOWLEDGED</t>
        </is>
      </c>
      <c r="S391" t="inlineStr">
        <is>
          <t>View details</t>
        </is>
      </c>
    </row>
    <row r="392">
      <c r="A392" t="inlineStr">
        <is>
          <t>265771593142</t>
        </is>
      </c>
      <c r="B392" t="inlineStr">
        <is>
          <t>Zephyr Bank Madrid</t>
        </is>
      </c>
      <c r="C392" t="inlineStr">
        <is>
          <t>150316825069</t>
        </is>
      </c>
      <c r="D392" t="inlineStr">
        <is>
          <t>Mallow Settlement Bank Oslo</t>
        </is>
      </c>
      <c r="E392" t="inlineStr">
        <is>
          <t>EUR</t>
        </is>
      </c>
      <c r="F392" t="inlineStr">
        <is>
          <t>NT26081900386</t>
        </is>
      </c>
      <c r="G392" s="6" t="n">
        <v>46253</v>
      </c>
      <c r="H392" s="7" t="n">
        <v>644610640.6188</v>
      </c>
      <c r="I392" t="inlineStr">
        <is>
          <t>GBP</t>
        </is>
      </c>
      <c r="J392" s="7" t="n">
        <v>553075929.651</v>
      </c>
      <c r="K392" t="inlineStr">
        <is>
          <t>SYRM</t>
        </is>
      </c>
      <c r="L392" t="inlineStr">
        <is>
          <t>Liquidity sweep</t>
        </is>
      </c>
      <c r="M392" s="8" t="n">
        <v>46253.63208333333</v>
      </c>
      <c r="N392" t="inlineStr">
        <is>
          <t>Greer Osgood</t>
        </is>
      </c>
      <c r="O392" s="8" t="n">
        <v>46253.63972222222</v>
      </c>
      <c r="P392" t="inlineStr">
        <is>
          <t>Noor Brookes</t>
        </is>
      </c>
      <c r="Q392" t="inlineStr">
        <is>
          <t>LEDGER_OR_CASHFLOW_RECEIVED</t>
        </is>
      </c>
      <c r="R392" t="inlineStr">
        <is>
          <t>SYRM_ACKNOWLEDGED</t>
        </is>
      </c>
      <c r="S392" t="inlineStr">
        <is>
          <t>View details</t>
        </is>
      </c>
    </row>
    <row r="393">
      <c r="A393" t="inlineStr">
        <is>
          <t>794226063698</t>
        </is>
      </c>
      <c r="B393" t="inlineStr">
        <is>
          <t>Cedar Clearing New York</t>
        </is>
      </c>
      <c r="C393" t="inlineStr">
        <is>
          <t>953625291146</t>
        </is>
      </c>
      <c r="D393" t="inlineStr">
        <is>
          <t>Wrenfield Trust Tokyo</t>
        </is>
      </c>
      <c r="E393" t="inlineStr">
        <is>
          <t>AED</t>
        </is>
      </c>
      <c r="F393" t="inlineStr">
        <is>
          <t>NT26081900387</t>
        </is>
      </c>
      <c r="G393" s="6" t="n">
        <v>46253</v>
      </c>
      <c r="H393" s="7" t="n">
        <v>372723.5556</v>
      </c>
      <c r="I393" t="inlineStr">
        <is>
          <t>GBP</t>
        </is>
      </c>
      <c r="J393" s="7" t="n">
        <v>79390.117</v>
      </c>
      <c r="K393" t="inlineStr">
        <is>
          <t>SWIFT</t>
        </is>
      </c>
      <c r="L393" t="inlineStr"/>
      <c r="M393" s="8" t="n">
        <v>46253.60924768518</v>
      </c>
      <c r="N393" t="inlineStr">
        <is>
          <t>Blake Fairweather</t>
        </is>
      </c>
      <c r="O393" s="8" t="n">
        <v>46253.6377199074</v>
      </c>
      <c r="P393" t="inlineStr">
        <is>
          <t>Kai Novak</t>
        </is>
      </c>
      <c r="Q393" t="inlineStr">
        <is>
          <t>CASHFLOW_RECEIVED</t>
        </is>
      </c>
      <c r="R393" t="inlineStr">
        <is>
          <t>SYRM_ACKNOWLEDGED</t>
        </is>
      </c>
      <c r="S393" t="inlineStr">
        <is>
          <t>View details</t>
        </is>
      </c>
    </row>
    <row r="394">
      <c r="A394" t="inlineStr">
        <is>
          <t>150316825069</t>
        </is>
      </c>
      <c r="B394" t="inlineStr">
        <is>
          <t>Pinehurst Trust Toronto</t>
        </is>
      </c>
      <c r="C394" t="inlineStr">
        <is>
          <t>953625291146</t>
        </is>
      </c>
      <c r="D394" t="inlineStr">
        <is>
          <t>Oriel Commercial Bank Toronto</t>
        </is>
      </c>
      <c r="E394" t="inlineStr">
        <is>
          <t>GBP</t>
        </is>
      </c>
      <c r="F394" t="inlineStr">
        <is>
          <t>NT26081900388</t>
        </is>
      </c>
      <c r="G394" s="6" t="n">
        <v>46253</v>
      </c>
      <c r="H394" s="7" t="n">
        <v>15406075.251</v>
      </c>
      <c r="I394" t="inlineStr">
        <is>
          <t>GBP</t>
        </is>
      </c>
      <c r="J394" s="7" t="n">
        <v>15406075.251</v>
      </c>
      <c r="K394" t="inlineStr">
        <is>
          <t>SYRM</t>
        </is>
      </c>
      <c r="L394" t="inlineStr"/>
      <c r="M394" s="8" t="n">
        <v>46253.39481481481</v>
      </c>
      <c r="N394" t="inlineStr">
        <is>
          <t>Wren Delaney</t>
        </is>
      </c>
      <c r="O394" s="8" t="n">
        <v>46253.41217592593</v>
      </c>
      <c r="P394" t="inlineStr">
        <is>
          <t>Noor Brookes</t>
        </is>
      </c>
      <c r="Q394" t="inlineStr">
        <is>
          <t>LEDGER_OR_CASHFLOW_RECEIVED</t>
        </is>
      </c>
      <c r="R394" t="inlineStr">
        <is>
          <t>SYRM_ACKNOWLEDGED</t>
        </is>
      </c>
      <c r="S394" t="inlineStr">
        <is>
          <t>View details</t>
        </is>
      </c>
    </row>
    <row r="395">
      <c r="A395" t="inlineStr">
        <is>
          <t>726928343448</t>
        </is>
      </c>
      <c r="B395" t="inlineStr">
        <is>
          <t>Mallow Settlement Bank Warsaw</t>
        </is>
      </c>
      <c r="C395" t="inlineStr">
        <is>
          <t>150316825069</t>
        </is>
      </c>
      <c r="D395" t="inlineStr">
        <is>
          <t>Wrenfield Trust Tokyo</t>
        </is>
      </c>
      <c r="E395" t="inlineStr">
        <is>
          <t>EUR</t>
        </is>
      </c>
      <c r="F395" t="inlineStr">
        <is>
          <t>NT26081900389</t>
        </is>
      </c>
      <c r="G395" s="6" t="n">
        <v>46253</v>
      </c>
      <c r="H395" s="7" t="n">
        <v>1781590720.608</v>
      </c>
      <c r="I395" t="inlineStr">
        <is>
          <t>GBP</t>
        </is>
      </c>
      <c r="J395" s="7" t="n">
        <v>1528604838.282</v>
      </c>
      <c r="K395" t="inlineStr">
        <is>
          <t>INTERNAL</t>
        </is>
      </c>
      <c r="L395" t="inlineStr">
        <is>
          <t>Liquidity sweep</t>
        </is>
      </c>
      <c r="M395" s="8" t="n">
        <v>46253.7081712963</v>
      </c>
      <c r="N395" t="inlineStr">
        <is>
          <t>Devon Calloway</t>
        </is>
      </c>
      <c r="O395" s="8" t="n">
        <v>46253.74636574074</v>
      </c>
      <c r="P395" t="inlineStr">
        <is>
          <t>Sawyer Calloway</t>
        </is>
      </c>
      <c r="Q395" t="inlineStr">
        <is>
          <t>LEDGER_OR_CASHFLOW_RECEIVED</t>
        </is>
      </c>
      <c r="R395" t="inlineStr">
        <is>
          <t>SYRM_ACKNOWLEDGED</t>
        </is>
      </c>
      <c r="S395" t="inlineStr">
        <is>
          <t>View details</t>
        </is>
      </c>
    </row>
    <row r="396">
      <c r="A396" t="inlineStr">
        <is>
          <t>794226063698</t>
        </is>
      </c>
      <c r="B396" t="inlineStr">
        <is>
          <t>Ironbark Clearing Frankfurt</t>
        </is>
      </c>
      <c r="C396" t="inlineStr">
        <is>
          <t>700726936098</t>
        </is>
      </c>
      <c r="D396" t="inlineStr">
        <is>
          <t>Yarrow Settlement Bank Oslo</t>
        </is>
      </c>
      <c r="E396" t="inlineStr">
        <is>
          <t>AED</t>
        </is>
      </c>
      <c r="F396" t="inlineStr">
        <is>
          <t>NT26081900390</t>
        </is>
      </c>
      <c r="G396" s="6" t="n">
        <v>46253</v>
      </c>
      <c r="H396" s="7" t="n">
        <v>624010037.1372</v>
      </c>
      <c r="I396" t="inlineStr">
        <is>
          <t>GBP</t>
        </is>
      </c>
      <c r="J396" s="7" t="n">
        <v>132914137.91</v>
      </c>
      <c r="K396" t="inlineStr">
        <is>
          <t>SYRM</t>
        </is>
      </c>
      <c r="L396" t="inlineStr">
        <is>
          <t>Balance alignment</t>
        </is>
      </c>
      <c r="M396" s="8" t="n">
        <v>46253.5691087963</v>
      </c>
      <c r="N396" t="inlineStr">
        <is>
          <t>Wren Fairweather</t>
        </is>
      </c>
      <c r="O396" s="8" t="n">
        <v>46253.61771990741</v>
      </c>
      <c r="P396" t="inlineStr">
        <is>
          <t>Marlow Sinclair</t>
        </is>
      </c>
      <c r="Q396" t="inlineStr">
        <is>
          <t>LEDGER_OR_CASHFLOW_RECEIVED</t>
        </is>
      </c>
      <c r="R396" t="inlineStr">
        <is>
          <t>SYRM_ACKNOWLEDGED</t>
        </is>
      </c>
      <c r="S396" t="inlineStr">
        <is>
          <t>View details</t>
        </is>
      </c>
    </row>
    <row r="397">
      <c r="A397" t="inlineStr">
        <is>
          <t>794226063698</t>
        </is>
      </c>
      <c r="B397" t="inlineStr">
        <is>
          <t>Wrenfield Bank Paris</t>
        </is>
      </c>
      <c r="C397" t="inlineStr">
        <is>
          <t>898317028833</t>
        </is>
      </c>
      <c r="D397" t="inlineStr">
        <is>
          <t>Mallow Trust Frankfurt</t>
        </is>
      </c>
      <c r="E397" t="inlineStr">
        <is>
          <t>AED</t>
        </is>
      </c>
      <c r="F397" t="inlineStr">
        <is>
          <t>NT26081900391</t>
        </is>
      </c>
      <c r="G397" s="6" t="n">
        <v>46253</v>
      </c>
      <c r="H397" s="7" t="n">
        <v>101068791.4098</v>
      </c>
      <c r="I397" t="inlineStr">
        <is>
          <t>GBP</t>
        </is>
      </c>
      <c r="J397" s="7" t="n">
        <v>21527652.57</v>
      </c>
      <c r="K397" t="inlineStr">
        <is>
          <t>SWIFT</t>
        </is>
      </c>
      <c r="L397" t="inlineStr"/>
      <c r="M397" s="8" t="n">
        <v>46253.80740740741</v>
      </c>
      <c r="N397" t="inlineStr">
        <is>
          <t>Wren Delaney</t>
        </is>
      </c>
      <c r="O397" s="8" t="n">
        <v>46253.86643518518</v>
      </c>
      <c r="P397" t="inlineStr">
        <is>
          <t>Finley Sinclair</t>
        </is>
      </c>
      <c r="Q397" t="inlineStr">
        <is>
          <t>LEDGER_OR_CASHFLOW_RECEIVED</t>
        </is>
      </c>
      <c r="R397" t="inlineStr">
        <is>
          <t>SYRM_ACKNOWLEDGED</t>
        </is>
      </c>
      <c r="S397" t="inlineStr">
        <is>
          <t>View details</t>
        </is>
      </c>
    </row>
    <row r="398">
      <c r="A398" t="inlineStr">
        <is>
          <t>968942362772</t>
        </is>
      </c>
      <c r="B398" t="inlineStr">
        <is>
          <t>Juniper Trust London</t>
        </is>
      </c>
      <c r="C398" t="inlineStr">
        <is>
          <t>468341071172</t>
        </is>
      </c>
      <c r="D398" t="inlineStr">
        <is>
          <t>Bramble Settlement Bank Hong Kong</t>
        </is>
      </c>
      <c r="E398" t="inlineStr">
        <is>
          <t>EUR</t>
        </is>
      </c>
      <c r="F398" t="inlineStr">
        <is>
          <t>NT26081900392</t>
        </is>
      </c>
      <c r="G398" s="6" t="n">
        <v>46253</v>
      </c>
      <c r="H398" s="7" t="n">
        <v>1051972474.8294</v>
      </c>
      <c r="I398" t="inlineStr">
        <is>
          <t>GBP</t>
        </is>
      </c>
      <c r="J398" s="7" t="n">
        <v>902592383.404</v>
      </c>
      <c r="K398" t="inlineStr">
        <is>
          <t>SYRM</t>
        </is>
      </c>
      <c r="L398" t="inlineStr">
        <is>
          <t>Balance alignment</t>
        </is>
      </c>
      <c r="M398" s="8" t="n">
        <v>46253.42688657407</v>
      </c>
      <c r="N398" t="inlineStr">
        <is>
          <t>Kai Merrick</t>
        </is>
      </c>
      <c r="O398" s="8" t="n">
        <v>46253.4741087963</v>
      </c>
      <c r="P398" t="inlineStr">
        <is>
          <t>Kai Novak</t>
        </is>
      </c>
      <c r="Q398" t="inlineStr">
        <is>
          <t>LEDGER_RECEIVED</t>
        </is>
      </c>
      <c r="R398" t="inlineStr">
        <is>
          <t>SYRM_ACKNOWLEDGED</t>
        </is>
      </c>
      <c r="S398" t="inlineStr">
        <is>
          <t>View details</t>
        </is>
      </c>
    </row>
    <row r="399">
      <c r="A399" t="inlineStr">
        <is>
          <t>150316825069</t>
        </is>
      </c>
      <c r="B399" t="inlineStr">
        <is>
          <t>Yarrow Trust Oslo</t>
        </is>
      </c>
      <c r="C399" t="inlineStr">
        <is>
          <t>927538182434</t>
        </is>
      </c>
      <c r="D399" t="inlineStr">
        <is>
          <t>Wrenfield Bank Paris</t>
        </is>
      </c>
      <c r="E399" t="inlineStr">
        <is>
          <t>GBP</t>
        </is>
      </c>
      <c r="F399" t="inlineStr">
        <is>
          <t>NT26081900393</t>
        </is>
      </c>
      <c r="G399" s="6" t="n">
        <v>46253</v>
      </c>
      <c r="H399" s="7" t="n">
        <v>565984395.3150001</v>
      </c>
      <c r="I399" t="inlineStr">
        <is>
          <t>GBP</t>
        </is>
      </c>
      <c r="J399" s="7" t="n">
        <v>565984395.3150001</v>
      </c>
      <c r="K399" t="inlineStr">
        <is>
          <t>SWIFT</t>
        </is>
      </c>
      <c r="L399" t="inlineStr">
        <is>
          <t>Balance alignment</t>
        </is>
      </c>
      <c r="M399" s="8" t="n">
        <v>46253.34388888889</v>
      </c>
      <c r="N399" t="inlineStr">
        <is>
          <t>Kai Calloway</t>
        </is>
      </c>
      <c r="O399" s="8" t="n">
        <v>46253.39319444444</v>
      </c>
      <c r="P399" t="inlineStr">
        <is>
          <t>Avery Prentice</t>
        </is>
      </c>
      <c r="Q399" t="inlineStr">
        <is>
          <t>LEDGER_OR_CASHFLOW_RECEIVED</t>
        </is>
      </c>
      <c r="R399" t="inlineStr">
        <is>
          <t>SYRM_PENDING</t>
        </is>
      </c>
      <c r="S399" t="inlineStr">
        <is>
          <t>View details</t>
        </is>
      </c>
    </row>
    <row r="400">
      <c r="A400" t="inlineStr">
        <is>
          <t>150316825069</t>
        </is>
      </c>
      <c r="B400" t="inlineStr">
        <is>
          <t>Juniper Bank Warsaw</t>
        </is>
      </c>
      <c r="C400" t="inlineStr">
        <is>
          <t>150316825069</t>
        </is>
      </c>
      <c r="D400" t="inlineStr">
        <is>
          <t>Kestrel Clearing Oslo</t>
        </is>
      </c>
      <c r="E400" t="inlineStr">
        <is>
          <t>GBP</t>
        </is>
      </c>
      <c r="F400" t="inlineStr">
        <is>
          <t>NT26081900394</t>
        </is>
      </c>
      <c r="G400" s="6" t="n">
        <v>46253</v>
      </c>
      <c r="H400" s="7" t="n">
        <v>242786.178</v>
      </c>
      <c r="I400" t="inlineStr">
        <is>
          <t>GBP</t>
        </is>
      </c>
      <c r="J400" s="7" t="n">
        <v>242786.178</v>
      </c>
      <c r="K400" t="inlineStr">
        <is>
          <t>SYRM</t>
        </is>
      </c>
      <c r="L400" t="inlineStr"/>
      <c r="M400" s="8" t="n">
        <v>46253.34944444444</v>
      </c>
      <c r="N400" t="inlineStr">
        <is>
          <t>Lennox Ellison</t>
        </is>
      </c>
      <c r="O400" s="8" t="n">
        <v>46253.40569444445</v>
      </c>
      <c r="P400" t="inlineStr">
        <is>
          <t>Ellis Delaney</t>
        </is>
      </c>
      <c r="Q400" t="inlineStr">
        <is>
          <t>LEDGER_OR_CASHFLOW_RECEIVED</t>
        </is>
      </c>
      <c r="R400" t="inlineStr">
        <is>
          <t>SYRM_ACKNOWLEDGED</t>
        </is>
      </c>
      <c r="S400" t="inlineStr">
        <is>
          <t>View details</t>
        </is>
      </c>
    </row>
    <row r="401">
      <c r="A401" t="inlineStr">
        <is>
          <t>910703979141</t>
        </is>
      </c>
      <c r="B401" t="inlineStr">
        <is>
          <t>Redstart Commercial Bank Dublin</t>
        </is>
      </c>
      <c r="C401" t="inlineStr">
        <is>
          <t>968942362772</t>
        </is>
      </c>
      <c r="D401" t="inlineStr">
        <is>
          <t>Bramble Clearing Milan</t>
        </is>
      </c>
      <c r="E401" t="inlineStr">
        <is>
          <t>CHF</t>
        </is>
      </c>
      <c r="F401" t="inlineStr">
        <is>
          <t>NT26081900395</t>
        </is>
      </c>
      <c r="G401" s="6" t="n">
        <v>46253</v>
      </c>
      <c r="H401" s="7" t="n">
        <v>56317375.5912</v>
      </c>
      <c r="I401" t="inlineStr">
        <is>
          <t>GBP</t>
        </is>
      </c>
      <c r="J401" s="7" t="n">
        <v>50516685.905</v>
      </c>
      <c r="K401" t="inlineStr">
        <is>
          <t>SYRM</t>
        </is>
      </c>
      <c r="L401" t="inlineStr">
        <is>
          <t>Balance alignment</t>
        </is>
      </c>
      <c r="M401" s="8" t="n">
        <v>46253.62324074074</v>
      </c>
      <c r="N401" t="inlineStr">
        <is>
          <t>Finley Hollis</t>
        </is>
      </c>
      <c r="O401" s="8" t="n">
        <v>46253.6537962963</v>
      </c>
      <c r="P401" t="inlineStr">
        <is>
          <t>Finley Hollis</t>
        </is>
      </c>
      <c r="Q401" t="inlineStr">
        <is>
          <t>LEDGER_OR_CASHFLOW_RECEIVED</t>
        </is>
      </c>
      <c r="R401" t="inlineStr">
        <is>
          <t>SYRM_ACKNOWLEDGED</t>
        </is>
      </c>
      <c r="S401" t="inlineStr">
        <is>
          <t>View details</t>
        </is>
      </c>
    </row>
    <row r="402">
      <c r="A402" t="inlineStr">
        <is>
          <t>910703979141</t>
        </is>
      </c>
      <c r="B402" t="inlineStr">
        <is>
          <t>Nightjar Clearing Dublin</t>
        </is>
      </c>
      <c r="C402" t="inlineStr">
        <is>
          <t>499062838623</t>
        </is>
      </c>
      <c r="D402" t="inlineStr">
        <is>
          <t>Redstart Commercial Bank Stockholm</t>
        </is>
      </c>
      <c r="E402" t="inlineStr">
        <is>
          <t>CHF</t>
        </is>
      </c>
      <c r="F402" t="inlineStr">
        <is>
          <t>NT26081900396</t>
        </is>
      </c>
      <c r="G402" s="6" t="n">
        <v>46253</v>
      </c>
      <c r="H402" s="7" t="n">
        <v>2826696694.1868</v>
      </c>
      <c r="I402" t="inlineStr">
        <is>
          <t>GBP</t>
        </is>
      </c>
      <c r="J402" s="7" t="n">
        <v>2535546934.686</v>
      </c>
      <c r="K402" t="inlineStr">
        <is>
          <t>SWIFT</t>
        </is>
      </c>
      <c r="L402" t="inlineStr">
        <is>
          <t>Funding move</t>
        </is>
      </c>
      <c r="M402" s="8" t="n">
        <v>46253.66668981482</v>
      </c>
      <c r="N402" t="inlineStr">
        <is>
          <t>Harper Calloway</t>
        </is>
      </c>
      <c r="O402" s="8" t="n">
        <v>46253.69724537037</v>
      </c>
      <c r="P402" t="inlineStr">
        <is>
          <t>Oakley Delaney</t>
        </is>
      </c>
      <c r="Q402" t="inlineStr">
        <is>
          <t>LEDGER_OR_CASHFLOW_RECEIVED</t>
        </is>
      </c>
      <c r="R402" t="inlineStr">
        <is>
          <t>SYRM_ACKNOWLEDGED</t>
        </is>
      </c>
      <c r="S402" t="inlineStr">
        <is>
          <t>View details</t>
        </is>
      </c>
    </row>
    <row r="403">
      <c r="A403" t="inlineStr">
        <is>
          <t>910703979141</t>
        </is>
      </c>
      <c r="B403" t="inlineStr">
        <is>
          <t>Granite Trust Frankfurt</t>
        </is>
      </c>
      <c r="C403" t="inlineStr">
        <is>
          <t>265771593142</t>
        </is>
      </c>
      <c r="D403" t="inlineStr">
        <is>
          <t>Pinehurst Settlement Bank Frankfurt</t>
        </is>
      </c>
      <c r="E403" t="inlineStr">
        <is>
          <t>CHF</t>
        </is>
      </c>
      <c r="F403" t="inlineStr">
        <is>
          <t>NT26081900397</t>
        </is>
      </c>
      <c r="G403" s="6" t="n">
        <v>46253</v>
      </c>
      <c r="H403" s="7" t="n">
        <v>893324075.1642001</v>
      </c>
      <c r="I403" t="inlineStr">
        <is>
          <t>GBP</t>
        </is>
      </c>
      <c r="J403" s="7" t="n">
        <v>801311695.4220001</v>
      </c>
      <c r="K403" t="inlineStr">
        <is>
          <t>SYRM</t>
        </is>
      </c>
      <c r="L403" t="inlineStr">
        <is>
          <t>Intraday top-up</t>
        </is>
      </c>
      <c r="M403" s="8" t="n">
        <v>46253.47965277778</v>
      </c>
      <c r="N403" t="inlineStr">
        <is>
          <t>Lennox Ellison</t>
        </is>
      </c>
      <c r="O403" s="8" t="n">
        <v>46253.50673611111</v>
      </c>
      <c r="P403" t="inlineStr">
        <is>
          <t>Devon Calloway</t>
        </is>
      </c>
      <c r="Q403" t="inlineStr">
        <is>
          <t>LEDGER_OR_CASHFLOW_RECEIVED</t>
        </is>
      </c>
      <c r="R403" t="inlineStr">
        <is>
          <t>SYRM_ACKNOWLEDGED</t>
        </is>
      </c>
      <c r="S403" t="inlineStr">
        <is>
          <t>View details</t>
        </is>
      </c>
    </row>
    <row r="404">
      <c r="A404" t="inlineStr">
        <is>
          <t>953625291146</t>
        </is>
      </c>
      <c r="B404" t="inlineStr">
        <is>
          <t>Zephyr Bank Singapore</t>
        </is>
      </c>
      <c r="C404" t="inlineStr">
        <is>
          <t>794226063698</t>
        </is>
      </c>
      <c r="D404" t="inlineStr">
        <is>
          <t>Larkspur Clearing New York</t>
        </is>
      </c>
      <c r="E404" t="inlineStr">
        <is>
          <t>USD</t>
        </is>
      </c>
      <c r="F404" t="inlineStr">
        <is>
          <t>NT26081900398</t>
        </is>
      </c>
      <c r="G404" s="6" t="n">
        <v>46253</v>
      </c>
      <c r="H404" s="7" t="n">
        <v>94632941.2878</v>
      </c>
      <c r="I404" t="inlineStr">
        <is>
          <t>GBP</t>
        </is>
      </c>
      <c r="J404" s="7" t="n">
        <v>74192225.97</v>
      </c>
      <c r="K404" t="inlineStr">
        <is>
          <t>SYRM</t>
        </is>
      </c>
      <c r="L404" t="inlineStr"/>
      <c r="M404" s="8" t="n">
        <v>46253.36143518519</v>
      </c>
      <c r="N404" t="inlineStr">
        <is>
          <t>Ellis Delaney</t>
        </is>
      </c>
      <c r="O404" s="8" t="n">
        <v>46253.42671296297</v>
      </c>
      <c r="P404" t="inlineStr">
        <is>
          <t>Devon Jennings</t>
        </is>
      </c>
      <c r="Q404" t="inlineStr">
        <is>
          <t>LEDGER_OR_CASHFLOW_RECEIVED</t>
        </is>
      </c>
      <c r="R404" t="inlineStr">
        <is>
          <t>SYRM_PENDING</t>
        </is>
      </c>
      <c r="S404" t="inlineStr">
        <is>
          <t>View details</t>
        </is>
      </c>
    </row>
    <row r="405">
      <c r="A405" t="inlineStr">
        <is>
          <t>150316825069</t>
        </is>
      </c>
      <c r="B405" t="inlineStr">
        <is>
          <t>Ironbark Trust Dublin</t>
        </is>
      </c>
      <c r="C405" t="inlineStr">
        <is>
          <t>113829985108</t>
        </is>
      </c>
      <c r="D405" t="inlineStr">
        <is>
          <t>Wrenfield Clearing Frankfurt</t>
        </is>
      </c>
      <c r="E405" t="inlineStr">
        <is>
          <t>GBP</t>
        </is>
      </c>
      <c r="F405" t="inlineStr">
        <is>
          <t>NT26081900399</t>
        </is>
      </c>
      <c r="G405" s="6" t="n">
        <v>46253</v>
      </c>
      <c r="H405" s="7" t="n">
        <v>252965146.3866</v>
      </c>
      <c r="I405" t="inlineStr">
        <is>
          <t>GBP</t>
        </is>
      </c>
      <c r="J405" s="7" t="n">
        <v>252965146.387</v>
      </c>
      <c r="K405" t="inlineStr">
        <is>
          <t>SWIFT</t>
        </is>
      </c>
      <c r="L405" t="inlineStr"/>
      <c r="M405" s="8" t="n">
        <v>46253.40695601852</v>
      </c>
      <c r="N405" t="inlineStr">
        <is>
          <t>Tatum Ashford</t>
        </is>
      </c>
      <c r="O405" s="8" t="n">
        <v>46253.41806712963</v>
      </c>
      <c r="P405" t="inlineStr">
        <is>
          <t>Noor Brookes</t>
        </is>
      </c>
      <c r="Q405" t="inlineStr">
        <is>
          <t>CASHFLOW_RECEIVED</t>
        </is>
      </c>
      <c r="R405" t="inlineStr">
        <is>
          <t>SYRM_ACKNOWLEDGED</t>
        </is>
      </c>
      <c r="S405" t="inlineStr">
        <is>
          <t>View details</t>
        </is>
      </c>
    </row>
    <row r="406">
      <c r="A406" t="inlineStr">
        <is>
          <t>968942362772</t>
        </is>
      </c>
      <c r="B406" t="inlineStr">
        <is>
          <t>Mallow Settlement Bank Warsaw</t>
        </is>
      </c>
      <c r="C406" t="inlineStr">
        <is>
          <t>468341071172</t>
        </is>
      </c>
      <c r="D406" t="inlineStr">
        <is>
          <t>Kestrel Bank Frankfurt</t>
        </is>
      </c>
      <c r="E406" t="inlineStr">
        <is>
          <t>EUR</t>
        </is>
      </c>
      <c r="F406" t="inlineStr">
        <is>
          <t>NT26081900400</t>
        </is>
      </c>
      <c r="G406" s="6" t="n">
        <v>46253</v>
      </c>
      <c r="H406" s="7" t="n">
        <v>776.961</v>
      </c>
      <c r="I406" t="inlineStr">
        <is>
          <t>GBP</t>
        </is>
      </c>
      <c r="J406" s="7" t="n">
        <v>666.633</v>
      </c>
      <c r="K406" t="inlineStr">
        <is>
          <t>SYRM</t>
        </is>
      </c>
      <c r="L406" t="inlineStr">
        <is>
          <t>Balance alignment</t>
        </is>
      </c>
      <c r="M406" s="8" t="n">
        <v>46253.35414351852</v>
      </c>
      <c r="N406" t="inlineStr">
        <is>
          <t>Oakley Delaney</t>
        </is>
      </c>
      <c r="O406" s="8" t="n">
        <v>46253.37636574074</v>
      </c>
      <c r="P406" t="inlineStr">
        <is>
          <t>Avery Prentice</t>
        </is>
      </c>
      <c r="Q406" t="inlineStr">
        <is>
          <t>LEDGER_OR_CASHFLOW_RECEIVED</t>
        </is>
      </c>
      <c r="R406" t="inlineStr">
        <is>
          <t>SYRM_ACKNOWLEDGED</t>
        </is>
      </c>
      <c r="S406" t="inlineStr">
        <is>
          <t>View details</t>
        </is>
      </c>
    </row>
    <row r="407">
      <c r="A407" t="inlineStr">
        <is>
          <t>700726936098</t>
        </is>
      </c>
      <c r="B407" t="inlineStr">
        <is>
          <t>Juniper Bank Warsaw</t>
        </is>
      </c>
      <c r="C407" t="inlineStr">
        <is>
          <t>284925023085</t>
        </is>
      </c>
      <c r="D407" t="inlineStr">
        <is>
          <t>Dunlin Commercial Bank Paris</t>
        </is>
      </c>
      <c r="E407" t="inlineStr">
        <is>
          <t>SAR</t>
        </is>
      </c>
      <c r="F407" t="inlineStr">
        <is>
          <t>NT26081900401</t>
        </is>
      </c>
      <c r="G407" s="6" t="n">
        <v>46253</v>
      </c>
      <c r="H407" s="7" t="n">
        <v>81611546.0598</v>
      </c>
      <c r="I407" t="inlineStr">
        <is>
          <t>GBP</t>
        </is>
      </c>
      <c r="J407" s="7" t="n">
        <v>17056813.126</v>
      </c>
      <c r="K407" t="inlineStr">
        <is>
          <t>SYRM</t>
        </is>
      </c>
      <c r="L407" t="inlineStr">
        <is>
          <t>Balance alignment</t>
        </is>
      </c>
      <c r="M407" s="8" t="n">
        <v>46253.67614583333</v>
      </c>
      <c r="N407" t="inlineStr">
        <is>
          <t>Oakley Novak</t>
        </is>
      </c>
      <c r="O407" s="8" t="n">
        <v>46253.6928125</v>
      </c>
      <c r="P407" t="inlineStr">
        <is>
          <t>Oakley Novak</t>
        </is>
      </c>
      <c r="Q407" t="inlineStr">
        <is>
          <t>LEDGER_OR_CASHFLOW_RECEIVED</t>
        </is>
      </c>
      <c r="R407" t="inlineStr">
        <is>
          <t>SYRM_ACKNOWLEDGED</t>
        </is>
      </c>
      <c r="S407" t="inlineStr">
        <is>
          <t>View details</t>
        </is>
      </c>
    </row>
    <row r="408">
      <c r="A408" t="inlineStr">
        <is>
          <t>468341071172</t>
        </is>
      </c>
      <c r="B408" t="inlineStr">
        <is>
          <t>Umberton Trust Tokyo</t>
        </is>
      </c>
      <c r="C408" t="inlineStr">
        <is>
          <t>794226063698</t>
        </is>
      </c>
      <c r="D408" t="inlineStr">
        <is>
          <t>Nightjar Clearing Dublin</t>
        </is>
      </c>
      <c r="E408" t="inlineStr">
        <is>
          <t>EUR</t>
        </is>
      </c>
      <c r="F408" t="inlineStr">
        <is>
          <t>NT26081900402</t>
        </is>
      </c>
      <c r="G408" s="6" t="n">
        <v>46253</v>
      </c>
      <c r="H408" s="7" t="n">
        <v>232053792.5754</v>
      </c>
      <c r="I408" t="inlineStr">
        <is>
          <t>GBP</t>
        </is>
      </c>
      <c r="J408" s="7" t="n">
        <v>199102154.03</v>
      </c>
      <c r="K408" t="inlineStr">
        <is>
          <t>SYRM</t>
        </is>
      </c>
      <c r="L408" t="inlineStr">
        <is>
          <t>Funding move</t>
        </is>
      </c>
      <c r="M408" s="8" t="n">
        <v>46253.41788194444</v>
      </c>
      <c r="N408" t="inlineStr">
        <is>
          <t>Kai Merrick</t>
        </is>
      </c>
      <c r="O408" s="8" t="n">
        <v>46253.44427083333</v>
      </c>
      <c r="P408" t="inlineStr">
        <is>
          <t>Quinn Lindqvist</t>
        </is>
      </c>
      <c r="Q408" t="inlineStr">
        <is>
          <t>LEDGER_OR_CASHFLOW_RECEIVED</t>
        </is>
      </c>
      <c r="R408" t="inlineStr">
        <is>
          <t>SYRM_ACKNOWLEDGED</t>
        </is>
      </c>
      <c r="S408" t="inlineStr">
        <is>
          <t>View details</t>
        </is>
      </c>
    </row>
    <row r="409">
      <c r="A409" t="inlineStr">
        <is>
          <t>898317028833</t>
        </is>
      </c>
      <c r="B409" t="inlineStr">
        <is>
          <t>Nightjar Clearing Dublin</t>
        </is>
      </c>
      <c r="C409" t="inlineStr">
        <is>
          <t>794226063698</t>
        </is>
      </c>
      <c r="D409" t="inlineStr">
        <is>
          <t>Wrenfield Commercial Bank Oslo</t>
        </is>
      </c>
      <c r="E409" t="inlineStr">
        <is>
          <t>GBP</t>
        </is>
      </c>
      <c r="F409" t="inlineStr">
        <is>
          <t>NT26081900403</t>
        </is>
      </c>
      <c r="G409" s="6" t="n">
        <v>46253</v>
      </c>
      <c r="H409" s="7" t="n">
        <v>752931540.2196</v>
      </c>
      <c r="I409" t="inlineStr">
        <is>
          <t>GBP</t>
        </is>
      </c>
      <c r="J409" s="7" t="n">
        <v>752931540.22</v>
      </c>
      <c r="K409" t="inlineStr">
        <is>
          <t>SYRM</t>
        </is>
      </c>
      <c r="L409" t="inlineStr">
        <is>
          <t>Funding move</t>
        </is>
      </c>
      <c r="M409" s="8" t="n">
        <v>46253.50063657408</v>
      </c>
      <c r="N409" t="inlineStr">
        <is>
          <t>Oakley Delaney</t>
        </is>
      </c>
      <c r="O409" s="8" t="n">
        <v>46253.5541087963</v>
      </c>
      <c r="P409" t="inlineStr">
        <is>
          <t>Oakley Novak</t>
        </is>
      </c>
      <c r="Q409" t="inlineStr">
        <is>
          <t>LEDGER_OR_CASHFLOW_RECEIVED</t>
        </is>
      </c>
      <c r="R409" t="inlineStr">
        <is>
          <t>SYRM_ACKNOWLEDGED</t>
        </is>
      </c>
      <c r="S409" t="inlineStr">
        <is>
          <t>View details</t>
        </is>
      </c>
    </row>
    <row r="410">
      <c r="A410" t="inlineStr">
        <is>
          <t>150316825069</t>
        </is>
      </c>
      <c r="B410" t="inlineStr">
        <is>
          <t>Zephyr Bank Singapore</t>
        </is>
      </c>
      <c r="C410" t="inlineStr">
        <is>
          <t>499062838623</t>
        </is>
      </c>
      <c r="D410" t="inlineStr">
        <is>
          <t>Juniper Clearing New York</t>
        </is>
      </c>
      <c r="E410" t="inlineStr">
        <is>
          <t>GBP</t>
        </is>
      </c>
      <c r="F410" t="inlineStr">
        <is>
          <t>NT26081900404</t>
        </is>
      </c>
      <c r="G410" s="6" t="n">
        <v>46253</v>
      </c>
      <c r="H410" s="7" t="n">
        <v>32267004.1614</v>
      </c>
      <c r="I410" t="inlineStr">
        <is>
          <t>GBP</t>
        </is>
      </c>
      <c r="J410" s="7" t="n">
        <v>32267004.161</v>
      </c>
      <c r="K410" t="inlineStr">
        <is>
          <t>SWIFT</t>
        </is>
      </c>
      <c r="L410" t="inlineStr">
        <is>
          <t>Balance alignment</t>
        </is>
      </c>
      <c r="M410" s="8" t="n">
        <v>46253.17920138889</v>
      </c>
      <c r="N410" t="inlineStr">
        <is>
          <t>Harper Hollis</t>
        </is>
      </c>
      <c r="O410" s="8" t="n">
        <v>46253.18128472222</v>
      </c>
      <c r="P410" t="inlineStr">
        <is>
          <t>Finley Hollis</t>
        </is>
      </c>
      <c r="Q410" t="inlineStr">
        <is>
          <t>CASHFLOW_RECEIVED</t>
        </is>
      </c>
      <c r="R410" t="inlineStr">
        <is>
          <t>SYRM_ACKNOWLEDGED</t>
        </is>
      </c>
      <c r="S410" t="inlineStr">
        <is>
          <t>View details</t>
        </is>
      </c>
    </row>
    <row r="411">
      <c r="A411" t="inlineStr">
        <is>
          <t>359365220160</t>
        </is>
      </c>
      <c r="B411" t="inlineStr">
        <is>
          <t>Juniper Commercial Bank Warsaw</t>
        </is>
      </c>
      <c r="C411" t="inlineStr">
        <is>
          <t>910703979141</t>
        </is>
      </c>
      <c r="D411" t="inlineStr">
        <is>
          <t>Mallow Trust Frankfurt</t>
        </is>
      </c>
      <c r="E411" t="inlineStr">
        <is>
          <t>EUR</t>
        </is>
      </c>
      <c r="F411" t="inlineStr">
        <is>
          <t>NT26081900405</t>
        </is>
      </c>
      <c r="G411" s="6" t="n">
        <v>46253</v>
      </c>
      <c r="H411" s="7" t="n">
        <v>162216268.9398</v>
      </c>
      <c r="I411" t="inlineStr">
        <is>
          <t>GBP</t>
        </is>
      </c>
      <c r="J411" s="7" t="n">
        <v>139181558.75</v>
      </c>
      <c r="K411" t="inlineStr">
        <is>
          <t>SYRM</t>
        </is>
      </c>
      <c r="L411" t="inlineStr"/>
      <c r="M411" s="8" t="n">
        <v>46253.28238425926</v>
      </c>
      <c r="N411" t="inlineStr">
        <is>
          <t>Oakley Prentice</t>
        </is>
      </c>
      <c r="O411" s="8" t="n">
        <v>46253.32960648148</v>
      </c>
      <c r="P411" t="inlineStr">
        <is>
          <t>Noor Sinclair</t>
        </is>
      </c>
      <c r="Q411" t="inlineStr">
        <is>
          <t>LEDGER_OR_CASHFLOW_RECEIVED</t>
        </is>
      </c>
      <c r="R411" t="inlineStr">
        <is>
          <t>SYRM_ACKNOWLEDGED</t>
        </is>
      </c>
      <c r="S411" t="inlineStr">
        <is>
          <t>View details</t>
        </is>
      </c>
    </row>
    <row r="412">
      <c r="A412" t="inlineStr">
        <is>
          <t>968942362772</t>
        </is>
      </c>
      <c r="B412" t="inlineStr">
        <is>
          <t>Yarrow Settlement Bank Oslo</t>
        </is>
      </c>
      <c r="C412" t="inlineStr">
        <is>
          <t>621381112674</t>
        </is>
      </c>
      <c r="D412" t="inlineStr">
        <is>
          <t>Bramble Bank Milan</t>
        </is>
      </c>
      <c r="E412" t="inlineStr">
        <is>
          <t>EUR</t>
        </is>
      </c>
      <c r="F412" t="inlineStr">
        <is>
          <t>NT26081900406</t>
        </is>
      </c>
      <c r="G412" s="6" t="n">
        <v>46253</v>
      </c>
      <c r="H412" s="7" t="n">
        <v>13432309.4664</v>
      </c>
      <c r="I412" t="inlineStr">
        <is>
          <t>GBP</t>
        </is>
      </c>
      <c r="J412" s="7" t="n">
        <v>11524921.522</v>
      </c>
      <c r="K412" t="inlineStr">
        <is>
          <t>SYRM</t>
        </is>
      </c>
      <c r="L412" t="inlineStr"/>
      <c r="M412" s="8" t="n">
        <v>46253.73556712963</v>
      </c>
      <c r="N412" t="inlineStr">
        <is>
          <t>Oakley Prentice</t>
        </is>
      </c>
      <c r="O412" s="8" t="n">
        <v>46253.76890046296</v>
      </c>
      <c r="P412" t="inlineStr">
        <is>
          <t>Wren Delaney</t>
        </is>
      </c>
      <c r="Q412" t="inlineStr">
        <is>
          <t>LEDGER_OR_CASHFLOW_RECEIVED</t>
        </is>
      </c>
      <c r="R412" t="inlineStr">
        <is>
          <t>SYRM_ACKNOWLEDGED</t>
        </is>
      </c>
      <c r="S412" t="inlineStr">
        <is>
          <t>View details</t>
        </is>
      </c>
    </row>
    <row r="413">
      <c r="A413" t="inlineStr">
        <is>
          <t>171857983160</t>
        </is>
      </c>
      <c r="B413" t="inlineStr">
        <is>
          <t>Wrenfield Bank Paris</t>
        </is>
      </c>
      <c r="C413" t="inlineStr">
        <is>
          <t>150316825069</t>
        </is>
      </c>
      <c r="D413" t="inlineStr">
        <is>
          <t>Oriel Commercial Bank Toronto</t>
        </is>
      </c>
      <c r="E413" t="inlineStr">
        <is>
          <t>AUD</t>
        </is>
      </c>
      <c r="F413" t="inlineStr">
        <is>
          <t>NT26081900407</t>
        </is>
      </c>
      <c r="G413" s="6" t="n">
        <v>46253</v>
      </c>
      <c r="H413" s="7" t="n">
        <v>133315961.013</v>
      </c>
      <c r="I413" t="inlineStr">
        <is>
          <t>GBP</t>
        </is>
      </c>
      <c r="J413" s="7" t="n">
        <v>68391088</v>
      </c>
      <c r="K413" t="inlineStr">
        <is>
          <t>SWIFT</t>
        </is>
      </c>
      <c r="L413" t="inlineStr">
        <is>
          <t>Balance alignment</t>
        </is>
      </c>
      <c r="M413" s="8" t="n">
        <v>46253.52947916667</v>
      </c>
      <c r="N413" t="inlineStr">
        <is>
          <t>Finley Hollis</t>
        </is>
      </c>
      <c r="O413" s="8" t="n">
        <v>46253.59197916667</v>
      </c>
      <c r="P413" t="inlineStr">
        <is>
          <t>Quinn Kirby</t>
        </is>
      </c>
      <c r="Q413" t="inlineStr">
        <is>
          <t>LEDGER_OR_CASHFLOW_RECEIVED</t>
        </is>
      </c>
      <c r="R413" t="inlineStr">
        <is>
          <t>SYRM_ACKNOWLEDGED</t>
        </is>
      </c>
      <c r="S413" t="inlineStr">
        <is>
          <t>View details</t>
        </is>
      </c>
    </row>
    <row r="414">
      <c r="A414" t="inlineStr">
        <is>
          <t>898317028833</t>
        </is>
      </c>
      <c r="B414" t="inlineStr">
        <is>
          <t>Juniper Clearing New York</t>
        </is>
      </c>
      <c r="C414" t="inlineStr">
        <is>
          <t>150316825069</t>
        </is>
      </c>
      <c r="D414" t="inlineStr">
        <is>
          <t>Granite Commercial Bank Milan</t>
        </is>
      </c>
      <c r="E414" t="inlineStr">
        <is>
          <t>GBP</t>
        </is>
      </c>
      <c r="F414" t="inlineStr">
        <is>
          <t>NT26081900408</t>
        </is>
      </c>
      <c r="G414" s="6" t="n">
        <v>46253</v>
      </c>
      <c r="H414" s="7" t="n">
        <v>7018318.8018</v>
      </c>
      <c r="I414" t="inlineStr">
        <is>
          <t>GBP</t>
        </is>
      </c>
      <c r="J414" s="7" t="n">
        <v>7018318.802</v>
      </c>
      <c r="K414" t="inlineStr">
        <is>
          <t>SYRM</t>
        </is>
      </c>
      <c r="L414" t="inlineStr">
        <is>
          <t>Funding move</t>
        </is>
      </c>
      <c r="M414" s="8" t="n">
        <v>46253.58847222223</v>
      </c>
      <c r="N414" t="inlineStr">
        <is>
          <t>Wren Delaney</t>
        </is>
      </c>
      <c r="O414" s="8" t="n">
        <v>46253.62527777778</v>
      </c>
      <c r="P414" t="inlineStr">
        <is>
          <t>Oakley Prentice</t>
        </is>
      </c>
      <c r="Q414" t="inlineStr">
        <is>
          <t>LEDGER_OR_CASHFLOW_RECEIVED</t>
        </is>
      </c>
      <c r="R414" t="inlineStr">
        <is>
          <t>SYRM_ACKNOWLEDGED</t>
        </is>
      </c>
      <c r="S414" t="inlineStr">
        <is>
          <t>View details</t>
        </is>
      </c>
    </row>
    <row r="415">
      <c r="A415" t="inlineStr">
        <is>
          <t>968942362772</t>
        </is>
      </c>
      <c r="B415" t="inlineStr">
        <is>
          <t>Granite Trust Frankfurt</t>
        </is>
      </c>
      <c r="C415" t="inlineStr">
        <is>
          <t>898317028833</t>
        </is>
      </c>
      <c r="D415" t="inlineStr">
        <is>
          <t>Pinehurst Commercial Bank Stockholm</t>
        </is>
      </c>
      <c r="E415" t="inlineStr">
        <is>
          <t>EUR</t>
        </is>
      </c>
      <c r="F415" t="inlineStr">
        <is>
          <t>NT26081900409</t>
        </is>
      </c>
      <c r="G415" s="6" t="n">
        <v>46253</v>
      </c>
      <c r="H415" s="7" t="n">
        <v>27746973457.776</v>
      </c>
      <c r="I415" t="inlineStr">
        <is>
          <t>GBP</t>
        </is>
      </c>
      <c r="J415" s="7" t="n">
        <v>23806903226.772</v>
      </c>
      <c r="K415" t="inlineStr">
        <is>
          <t>SYRM</t>
        </is>
      </c>
      <c r="L415" t="inlineStr">
        <is>
          <t>Liquidity sweep</t>
        </is>
      </c>
      <c r="M415" s="8" t="n">
        <v>46253.65052083333</v>
      </c>
      <c r="N415" t="inlineStr">
        <is>
          <t>Noor Thorne</t>
        </is>
      </c>
      <c r="O415" s="8" t="n">
        <v>46253.6921875</v>
      </c>
      <c r="P415" t="inlineStr">
        <is>
          <t>Oakley Fairweather</t>
        </is>
      </c>
      <c r="Q415" t="inlineStr">
        <is>
          <t>LEDGER_OR_CASHFLOW_RECEIVED</t>
        </is>
      </c>
      <c r="R415" t="inlineStr">
        <is>
          <t>SYRM_ACKNOWLEDGED</t>
        </is>
      </c>
      <c r="S415" t="inlineStr">
        <is>
          <t>View details</t>
        </is>
      </c>
    </row>
    <row r="416">
      <c r="A416" t="inlineStr">
        <is>
          <t>621381112674</t>
        </is>
      </c>
      <c r="B416" t="inlineStr">
        <is>
          <t>Bramble Bank Milan</t>
        </is>
      </c>
      <c r="C416" t="inlineStr">
        <is>
          <t>794226063698</t>
        </is>
      </c>
      <c r="D416" t="inlineStr">
        <is>
          <t>Sablewood Settlement Bank Oslo</t>
        </is>
      </c>
      <c r="E416" t="inlineStr">
        <is>
          <t>PLN</t>
        </is>
      </c>
      <c r="F416" t="inlineStr">
        <is>
          <t>NT26081900410</t>
        </is>
      </c>
      <c r="G416" s="6" t="n">
        <v>46253</v>
      </c>
      <c r="H416" s="7" t="n">
        <v>3187958437.3428</v>
      </c>
      <c r="I416" t="inlineStr">
        <is>
          <t>GBP</t>
        </is>
      </c>
      <c r="J416" s="7" t="n">
        <v>631215770.594</v>
      </c>
      <c r="K416" t="inlineStr">
        <is>
          <t>SWIFT</t>
        </is>
      </c>
      <c r="L416" t="inlineStr">
        <is>
          <t>Liquidity sweep</t>
        </is>
      </c>
      <c r="M416" s="8" t="n">
        <v>46253.58480324074</v>
      </c>
      <c r="N416" t="inlineStr">
        <is>
          <t>Kai Merrick</t>
        </is>
      </c>
      <c r="O416" s="8" t="n">
        <v>46253.6403587963</v>
      </c>
      <c r="P416" t="inlineStr">
        <is>
          <t>Quinn Brookes</t>
        </is>
      </c>
      <c r="Q416" t="inlineStr">
        <is>
          <t>CASHFLOW_RECEIVED</t>
        </is>
      </c>
      <c r="R416" t="inlineStr">
        <is>
          <t>SYRM_ACKNOWLEDGED</t>
        </is>
      </c>
      <c r="S416" t="inlineStr">
        <is>
          <t>View details</t>
        </is>
      </c>
    </row>
    <row r="417">
      <c r="A417" t="inlineStr">
        <is>
          <t>700726936098</t>
        </is>
      </c>
      <c r="B417" t="inlineStr">
        <is>
          <t>Granite Trust Frankfurt</t>
        </is>
      </c>
      <c r="C417" t="inlineStr">
        <is>
          <t>150316825069</t>
        </is>
      </c>
      <c r="D417" t="inlineStr">
        <is>
          <t>Alder Settlement Bank Paris</t>
        </is>
      </c>
      <c r="E417" t="inlineStr">
        <is>
          <t>SAR</t>
        </is>
      </c>
      <c r="F417" t="inlineStr">
        <is>
          <t>NT26081900411</t>
        </is>
      </c>
      <c r="G417" s="6" t="n">
        <v>46253</v>
      </c>
      <c r="H417" s="7" t="n">
        <v>519.2550000000001</v>
      </c>
      <c r="I417" t="inlineStr">
        <is>
          <t>GBP</t>
        </is>
      </c>
      <c r="J417" s="7" t="n">
        <v>108.524</v>
      </c>
      <c r="K417" t="inlineStr">
        <is>
          <t>SYRM</t>
        </is>
      </c>
      <c r="L417" t="inlineStr">
        <is>
          <t>Liquidity sweep</t>
        </is>
      </c>
      <c r="M417" s="8" t="n">
        <v>46253.73938657407</v>
      </c>
      <c r="N417" t="inlineStr">
        <is>
          <t>Quinn Lindqvist</t>
        </is>
      </c>
      <c r="O417" s="8" t="n">
        <v>46253.79910879629</v>
      </c>
      <c r="P417" t="inlineStr">
        <is>
          <t>Avery Sinclair</t>
        </is>
      </c>
      <c r="Q417" t="inlineStr">
        <is>
          <t>LEDGER_OR_CASHFLOW_RECEIVED</t>
        </is>
      </c>
      <c r="R417" t="inlineStr">
        <is>
          <t>SYRM_ACKNOWLEDGED</t>
        </is>
      </c>
      <c r="S417" t="inlineStr">
        <is>
          <t>View details</t>
        </is>
      </c>
    </row>
    <row r="418">
      <c r="A418" t="inlineStr">
        <is>
          <t>150316825069</t>
        </is>
      </c>
      <c r="B418" t="inlineStr">
        <is>
          <t>Juniper Clearing New York</t>
        </is>
      </c>
      <c r="C418" t="inlineStr">
        <is>
          <t>150316825069</t>
        </is>
      </c>
      <c r="D418" t="inlineStr">
        <is>
          <t>Juniper Commercial Bank Warsaw</t>
        </is>
      </c>
      <c r="E418" t="inlineStr">
        <is>
          <t>GBP</t>
        </is>
      </c>
      <c r="F418" t="inlineStr">
        <is>
          <t>NT26081900412</t>
        </is>
      </c>
      <c r="G418" s="6" t="n">
        <v>46253</v>
      </c>
      <c r="H418" s="7" t="n">
        <v>9029089.243799999</v>
      </c>
      <c r="I418" t="inlineStr">
        <is>
          <t>GBP</t>
        </is>
      </c>
      <c r="J418" s="7" t="n">
        <v>9029089.244000001</v>
      </c>
      <c r="K418" t="inlineStr">
        <is>
          <t>SWIFT</t>
        </is>
      </c>
      <c r="L418" t="inlineStr">
        <is>
          <t>Funding move</t>
        </is>
      </c>
      <c r="M418" s="8" t="n">
        <v>46253.40443287037</v>
      </c>
      <c r="N418" t="inlineStr">
        <is>
          <t>Kai Novak</t>
        </is>
      </c>
      <c r="O418" s="8" t="n">
        <v>46253.41068287037</v>
      </c>
      <c r="P418" t="inlineStr">
        <is>
          <t>Ellis Delaney</t>
        </is>
      </c>
      <c r="Q418" t="inlineStr">
        <is>
          <t>LEDGER_OR_CASHFLOW_RECEIVED</t>
        </is>
      </c>
      <c r="R418" t="inlineStr">
        <is>
          <t>SYRM_ACKNOWLEDGED</t>
        </is>
      </c>
      <c r="S418" t="inlineStr">
        <is>
          <t>View details</t>
        </is>
      </c>
    </row>
    <row r="419">
      <c r="A419" t="inlineStr">
        <is>
          <t>910703979141</t>
        </is>
      </c>
      <c r="B419" t="inlineStr">
        <is>
          <t>Mallow Settlement Bank Oslo</t>
        </is>
      </c>
      <c r="C419" t="inlineStr">
        <is>
          <t>150316825069</t>
        </is>
      </c>
      <c r="D419" t="inlineStr">
        <is>
          <t>Zephyr Bank Madrid</t>
        </is>
      </c>
      <c r="E419" t="inlineStr">
        <is>
          <t>CHF</t>
        </is>
      </c>
      <c r="F419" t="inlineStr">
        <is>
          <t>NT26081900413</t>
        </is>
      </c>
      <c r="G419" s="6" t="n">
        <v>46253</v>
      </c>
      <c r="H419" s="7" t="n">
        <v>671669579.9682</v>
      </c>
      <c r="I419" t="inlineStr">
        <is>
          <t>GBP</t>
        </is>
      </c>
      <c r="J419" s="7" t="n">
        <v>602487613.2309999</v>
      </c>
      <c r="K419" t="inlineStr">
        <is>
          <t>INTERNAL</t>
        </is>
      </c>
      <c r="L419" t="inlineStr"/>
      <c r="M419" s="8" t="n">
        <v>46253.29409722222</v>
      </c>
      <c r="N419" t="inlineStr">
        <is>
          <t>Marlow Sinclair</t>
        </is>
      </c>
      <c r="O419" s="8" t="n">
        <v>46253.34201388889</v>
      </c>
      <c r="P419" t="inlineStr">
        <is>
          <t>Oakley Fairweather</t>
        </is>
      </c>
      <c r="Q419" t="inlineStr">
        <is>
          <t>LEDGER_OR_CASHFLOW_RECEIVED</t>
        </is>
      </c>
      <c r="R419" t="inlineStr">
        <is>
          <t>SYRM_ACKNOWLEDGED</t>
        </is>
      </c>
      <c r="S419" t="inlineStr">
        <is>
          <t>View details</t>
        </is>
      </c>
    </row>
    <row r="420">
      <c r="A420" t="inlineStr">
        <is>
          <t>265771593142</t>
        </is>
      </c>
      <c r="B420" t="inlineStr">
        <is>
          <t>Zephyr Bank Madrid</t>
        </is>
      </c>
      <c r="C420" t="inlineStr">
        <is>
          <t>968942362772</t>
        </is>
      </c>
      <c r="D420" t="inlineStr">
        <is>
          <t>Pinehurst Trust Toronto</t>
        </is>
      </c>
      <c r="E420" t="inlineStr">
        <is>
          <t>EUR</t>
        </is>
      </c>
      <c r="F420" t="inlineStr">
        <is>
          <t>NT26081900414</t>
        </is>
      </c>
      <c r="G420" s="6" t="n">
        <v>46253</v>
      </c>
      <c r="H420" s="7" t="n">
        <v>33217651.0134</v>
      </c>
      <c r="I420" t="inlineStr">
        <is>
          <t>GBP</t>
        </is>
      </c>
      <c r="J420" s="7" t="n">
        <v>28500744.569</v>
      </c>
      <c r="K420" t="inlineStr">
        <is>
          <t>SYRM</t>
        </is>
      </c>
      <c r="L420" t="inlineStr">
        <is>
          <t>Intraday top-up</t>
        </is>
      </c>
      <c r="M420" s="8" t="n">
        <v>46253.50109953704</v>
      </c>
      <c r="N420" t="inlineStr">
        <is>
          <t>Devon Calloway</t>
        </is>
      </c>
      <c r="O420" s="8" t="n">
        <v>46253.5240162037</v>
      </c>
      <c r="P420" t="inlineStr">
        <is>
          <t>Oakley Rhodes</t>
        </is>
      </c>
      <c r="Q420" t="inlineStr">
        <is>
          <t>LEDGER_OR_CASHFLOW_RECEIVED</t>
        </is>
      </c>
      <c r="R420" t="inlineStr">
        <is>
          <t>SYRM_PENDING</t>
        </is>
      </c>
      <c r="S420" t="inlineStr">
        <is>
          <t>View details</t>
        </is>
      </c>
    </row>
    <row r="421">
      <c r="A421" t="inlineStr">
        <is>
          <t>898317028833</t>
        </is>
      </c>
      <c r="B421" t="inlineStr">
        <is>
          <t>Mallow Trust Frankfurt</t>
        </is>
      </c>
      <c r="C421" t="inlineStr">
        <is>
          <t>898317028833</t>
        </is>
      </c>
      <c r="D421" t="inlineStr">
        <is>
          <t>Wrenfield Clearing Mexico City</t>
        </is>
      </c>
      <c r="E421" t="inlineStr">
        <is>
          <t>GBP</t>
        </is>
      </c>
      <c r="F421" t="inlineStr">
        <is>
          <t>NT26081900415</t>
        </is>
      </c>
      <c r="G421" s="6" t="n">
        <v>46253</v>
      </c>
      <c r="H421" s="7" t="n">
        <v>31115963.3814</v>
      </c>
      <c r="I421" t="inlineStr">
        <is>
          <t>GBP</t>
        </is>
      </c>
      <c r="J421" s="7" t="n">
        <v>31115963.381</v>
      </c>
      <c r="K421" t="inlineStr">
        <is>
          <t>SYRM</t>
        </is>
      </c>
      <c r="L421" t="inlineStr">
        <is>
          <t>Funding move</t>
        </is>
      </c>
      <c r="M421" s="8" t="n">
        <v>46253.38818287037</v>
      </c>
      <c r="N421" t="inlineStr">
        <is>
          <t>Oakley Novak</t>
        </is>
      </c>
      <c r="O421" s="8" t="n">
        <v>46253.40346064815</v>
      </c>
      <c r="P421" t="inlineStr">
        <is>
          <t>Wren Hollis</t>
        </is>
      </c>
      <c r="Q421" t="inlineStr">
        <is>
          <t>LEDGER_OR_CASHFLOW_RECEIVED</t>
        </is>
      </c>
      <c r="R421" t="inlineStr">
        <is>
          <t>SYRM_ACKNOWLEDGED</t>
        </is>
      </c>
      <c r="S421" t="inlineStr">
        <is>
          <t>View details</t>
        </is>
      </c>
    </row>
    <row r="422">
      <c r="A422" t="inlineStr">
        <is>
          <t>150316825069</t>
        </is>
      </c>
      <c r="B422" t="inlineStr">
        <is>
          <t>Yarrow Trust Oslo</t>
        </is>
      </c>
      <c r="C422" t="inlineStr">
        <is>
          <t>150316825069</t>
        </is>
      </c>
      <c r="D422" t="inlineStr">
        <is>
          <t>Wrenfield Clearing Frankfurt</t>
        </is>
      </c>
      <c r="E422" t="inlineStr">
        <is>
          <t>GBP</t>
        </is>
      </c>
      <c r="F422" t="inlineStr">
        <is>
          <t>NT26081900416</t>
        </is>
      </c>
      <c r="G422" s="6" t="n">
        <v>46253</v>
      </c>
      <c r="H422" s="7" t="n">
        <v>445058038.0134</v>
      </c>
      <c r="I422" t="inlineStr">
        <is>
          <t>GBP</t>
        </is>
      </c>
      <c r="J422" s="7" t="n">
        <v>445058038.013</v>
      </c>
      <c r="K422" t="inlineStr">
        <is>
          <t>SYRM</t>
        </is>
      </c>
      <c r="L422" t="inlineStr">
        <is>
          <t>Funding move</t>
        </is>
      </c>
      <c r="M422" s="8" t="n">
        <v>46253.33063657407</v>
      </c>
      <c r="N422" t="inlineStr">
        <is>
          <t>Devon Delaney</t>
        </is>
      </c>
      <c r="O422" s="8" t="n">
        <v>46253.34521990741</v>
      </c>
      <c r="P422" t="inlineStr">
        <is>
          <t>Quinn Lindqvist</t>
        </is>
      </c>
      <c r="Q422" t="inlineStr">
        <is>
          <t>LEDGER_OR_CASHFLOW_RECEIVED</t>
        </is>
      </c>
      <c r="R422" t="inlineStr">
        <is>
          <t>SYRM_PENDING</t>
        </is>
      </c>
      <c r="S422" t="inlineStr">
        <is>
          <t>View details</t>
        </is>
      </c>
    </row>
    <row r="423">
      <c r="A423" t="inlineStr">
        <is>
          <t>150316825069</t>
        </is>
      </c>
      <c r="B423" t="inlineStr">
        <is>
          <t>Bramble Commercial Bank Toronto</t>
        </is>
      </c>
      <c r="C423" t="inlineStr">
        <is>
          <t>150316825069</t>
        </is>
      </c>
      <c r="D423" t="inlineStr">
        <is>
          <t>Bramble Commercial Bank Toronto</t>
        </is>
      </c>
      <c r="E423" t="inlineStr">
        <is>
          <t>GBP</t>
        </is>
      </c>
      <c r="F423" t="inlineStr">
        <is>
          <t>NT26081900417</t>
        </is>
      </c>
      <c r="G423" s="6" t="n">
        <v>46253</v>
      </c>
      <c r="H423" s="7" t="n">
        <v>29734234.101</v>
      </c>
      <c r="I423" t="inlineStr">
        <is>
          <t>GBP</t>
        </is>
      </c>
      <c r="J423" s="7" t="n">
        <v>29734234.101</v>
      </c>
      <c r="K423" t="inlineStr">
        <is>
          <t>SYRM</t>
        </is>
      </c>
      <c r="L423" t="inlineStr">
        <is>
          <t>Intraday top-up</t>
        </is>
      </c>
      <c r="M423" s="8" t="n">
        <v>46253.62601851852</v>
      </c>
      <c r="N423" t="inlineStr">
        <is>
          <t>Devon Jennings</t>
        </is>
      </c>
      <c r="O423" s="8" t="n">
        <v>46253.65032407407</v>
      </c>
      <c r="P423" t="inlineStr">
        <is>
          <t>Quinn Hollis</t>
        </is>
      </c>
      <c r="Q423" t="inlineStr">
        <is>
          <t>LEDGER_OR_CASHFLOW_RECEIVED</t>
        </is>
      </c>
      <c r="R423" t="inlineStr">
        <is>
          <t>SYRM_REJECTED</t>
        </is>
      </c>
      <c r="S423" t="inlineStr">
        <is>
          <t>View details</t>
        </is>
      </c>
    </row>
    <row r="424">
      <c r="A424" t="inlineStr">
        <is>
          <t>910703979141</t>
        </is>
      </c>
      <c r="B424" t="inlineStr">
        <is>
          <t>Mallow Settlement Bank Warsaw</t>
        </is>
      </c>
      <c r="C424" t="inlineStr">
        <is>
          <t>265771593142</t>
        </is>
      </c>
      <c r="D424" t="inlineStr">
        <is>
          <t>Ironbark Trust Dublin</t>
        </is>
      </c>
      <c r="E424" t="inlineStr">
        <is>
          <t>CHF</t>
        </is>
      </c>
      <c r="F424" t="inlineStr">
        <is>
          <t>NT26081900418</t>
        </is>
      </c>
      <c r="G424" s="6" t="n">
        <v>46253</v>
      </c>
      <c r="H424" s="7" t="n">
        <v>2784146.9076</v>
      </c>
      <c r="I424" t="inlineStr">
        <is>
          <t>GBP</t>
        </is>
      </c>
      <c r="J424" s="7" t="n">
        <v>2497379.776</v>
      </c>
      <c r="K424" t="inlineStr">
        <is>
          <t>SYRM</t>
        </is>
      </c>
      <c r="L424" t="inlineStr">
        <is>
          <t>Balance alignment</t>
        </is>
      </c>
      <c r="M424" s="8" t="n">
        <v>46253.44033564815</v>
      </c>
      <c r="N424" t="inlineStr">
        <is>
          <t>Quinn Brookes</t>
        </is>
      </c>
      <c r="O424" s="8" t="n">
        <v>46253.44728009259</v>
      </c>
      <c r="P424" t="inlineStr">
        <is>
          <t>Quinn Brookes</t>
        </is>
      </c>
      <c r="Q424" t="inlineStr">
        <is>
          <t>LEDGER_RECEIVED</t>
        </is>
      </c>
      <c r="R424" t="inlineStr">
        <is>
          <t>SYRM_ACKNOWLEDGED</t>
        </is>
      </c>
      <c r="S424" t="inlineStr">
        <is>
          <t>View details</t>
        </is>
      </c>
    </row>
    <row r="425">
      <c r="A425" t="inlineStr">
        <is>
          <t>150316825069</t>
        </is>
      </c>
      <c r="B425" t="inlineStr">
        <is>
          <t>Wrenfield Trust Tokyo</t>
        </is>
      </c>
      <c r="C425" t="inlineStr">
        <is>
          <t>468341071172</t>
        </is>
      </c>
      <c r="D425" t="inlineStr">
        <is>
          <t>Zephyr Settlement Bank New York</t>
        </is>
      </c>
      <c r="E425" t="inlineStr">
        <is>
          <t>GBP</t>
        </is>
      </c>
      <c r="F425" t="inlineStr">
        <is>
          <t>NT26081900419</t>
        </is>
      </c>
      <c r="G425" s="6" t="n">
        <v>46253</v>
      </c>
      <c r="H425" s="7" t="n">
        <v>48677638.9302</v>
      </c>
      <c r="I425" t="inlineStr">
        <is>
          <t>GBP</t>
        </is>
      </c>
      <c r="J425" s="7" t="n">
        <v>48677638.93</v>
      </c>
      <c r="K425" t="inlineStr">
        <is>
          <t>SYRM</t>
        </is>
      </c>
      <c r="L425" t="inlineStr">
        <is>
          <t>Balance alignment</t>
        </is>
      </c>
      <c r="M425" s="8" t="n">
        <v>46253.25097222222</v>
      </c>
      <c r="N425" t="inlineStr">
        <is>
          <t>Devon Calloway</t>
        </is>
      </c>
      <c r="O425" s="8" t="n">
        <v>46253.27944444444</v>
      </c>
      <c r="P425" t="inlineStr">
        <is>
          <t>Devon Delaney</t>
        </is>
      </c>
      <c r="Q425" t="inlineStr">
        <is>
          <t>LEDGER_OR_CASHFLOW_RECEIVED</t>
        </is>
      </c>
      <c r="R425" t="inlineStr">
        <is>
          <t>SYRM_ACKNOWLEDGED</t>
        </is>
      </c>
      <c r="S425" t="inlineStr">
        <is>
          <t>View details</t>
        </is>
      </c>
    </row>
    <row r="426">
      <c r="A426" t="inlineStr">
        <is>
          <t>953625291146</t>
        </is>
      </c>
      <c r="B426" t="inlineStr">
        <is>
          <t>Zephyr Commercial Bank Oslo</t>
        </is>
      </c>
      <c r="C426" t="inlineStr">
        <is>
          <t>171857983160</t>
        </is>
      </c>
      <c r="D426" t="inlineStr">
        <is>
          <t>Granite Commercial Bank Milan</t>
        </is>
      </c>
      <c r="E426" t="inlineStr">
        <is>
          <t>USD</t>
        </is>
      </c>
      <c r="F426" t="inlineStr">
        <is>
          <t>NT26081900420</t>
        </is>
      </c>
      <c r="G426" s="6" t="n">
        <v>46253</v>
      </c>
      <c r="H426" s="7" t="n">
        <v>905171018.9328001</v>
      </c>
      <c r="I426" t="inlineStr">
        <is>
          <t>GBP</t>
        </is>
      </c>
      <c r="J426" s="7" t="n">
        <v>709654078.8430001</v>
      </c>
      <c r="K426" t="inlineStr">
        <is>
          <t>SWIFT</t>
        </is>
      </c>
      <c r="L426" t="inlineStr">
        <is>
          <t>Intraday top-up</t>
        </is>
      </c>
      <c r="M426" s="8" t="n">
        <v>46253.26789351852</v>
      </c>
      <c r="N426" t="inlineStr">
        <is>
          <t>Quinn Lindqvist</t>
        </is>
      </c>
      <c r="O426" s="8" t="n">
        <v>46253.31581018519</v>
      </c>
      <c r="P426" t="inlineStr">
        <is>
          <t>Oakley Delaney</t>
        </is>
      </c>
      <c r="Q426" t="inlineStr">
        <is>
          <t>LEDGER_OR_CASHFLOW_RECEIVED</t>
        </is>
      </c>
      <c r="R426" t="inlineStr">
        <is>
          <t>SYRM_ACKNOWLEDGED</t>
        </is>
      </c>
      <c r="S426" t="inlineStr">
        <is>
          <t>View details</t>
        </is>
      </c>
    </row>
    <row r="427">
      <c r="A427" t="inlineStr">
        <is>
          <t>150316825069</t>
        </is>
      </c>
      <c r="B427" t="inlineStr">
        <is>
          <t>Sablewood Settlement Bank Oslo</t>
        </is>
      </c>
      <c r="C427" t="inlineStr">
        <is>
          <t>499062838623</t>
        </is>
      </c>
      <c r="D427" t="inlineStr">
        <is>
          <t>Bramble Bank Milan</t>
        </is>
      </c>
      <c r="E427" t="inlineStr">
        <is>
          <t>GBP</t>
        </is>
      </c>
      <c r="F427" t="inlineStr">
        <is>
          <t>NT26081900421</t>
        </is>
      </c>
      <c r="G427" s="6" t="n">
        <v>46253</v>
      </c>
      <c r="H427" s="7" t="n">
        <v>311275.0908</v>
      </c>
      <c r="I427" t="inlineStr">
        <is>
          <t>GBP</t>
        </is>
      </c>
      <c r="J427" s="7" t="n">
        <v>311275.091</v>
      </c>
      <c r="K427" t="inlineStr">
        <is>
          <t>SYRM</t>
        </is>
      </c>
      <c r="L427" t="inlineStr">
        <is>
          <t>Liquidity sweep</t>
        </is>
      </c>
      <c r="M427" s="8" t="n">
        <v>46253.66358796296</v>
      </c>
      <c r="N427" t="inlineStr">
        <is>
          <t>Quinn Brookes</t>
        </is>
      </c>
      <c r="O427" s="8" t="n">
        <v>46253.68858796296</v>
      </c>
      <c r="P427" t="inlineStr">
        <is>
          <t>Quinn Brookes</t>
        </is>
      </c>
      <c r="Q427" t="inlineStr">
        <is>
          <t>LEDGER_OR_CASHFLOW_RECEIVED</t>
        </is>
      </c>
      <c r="R427" t="inlineStr">
        <is>
          <t>SYRM_ACKNOWLEDGED</t>
        </is>
      </c>
      <c r="S427" t="inlineStr">
        <is>
          <t>View details</t>
        </is>
      </c>
    </row>
    <row r="428">
      <c r="A428" t="inlineStr">
        <is>
          <t>468341071172</t>
        </is>
      </c>
      <c r="B428" t="inlineStr">
        <is>
          <t>Cedar Settlement Bank Hong Kong</t>
        </is>
      </c>
      <c r="C428" t="inlineStr">
        <is>
          <t>150316825069</t>
        </is>
      </c>
      <c r="D428" t="inlineStr">
        <is>
          <t>Pinehurst Commercial Bank Sydney</t>
        </is>
      </c>
      <c r="E428" t="inlineStr">
        <is>
          <t>EUR</t>
        </is>
      </c>
      <c r="F428" t="inlineStr">
        <is>
          <t>NT26081900422</t>
        </is>
      </c>
      <c r="G428" s="6" t="n">
        <v>46253</v>
      </c>
      <c r="H428" s="7" t="n">
        <v>6014203.1262</v>
      </c>
      <c r="I428" t="inlineStr">
        <is>
          <t>GBP</t>
        </is>
      </c>
      <c r="J428" s="7" t="n">
        <v>5160186.282</v>
      </c>
      <c r="K428" t="inlineStr">
        <is>
          <t>SYRM</t>
        </is>
      </c>
      <c r="L428" t="inlineStr">
        <is>
          <t>Balance alignment</t>
        </is>
      </c>
      <c r="M428" s="8" t="n">
        <v>46253.36686342592</v>
      </c>
      <c r="N428" t="inlineStr">
        <is>
          <t>Greer Prentice</t>
        </is>
      </c>
      <c r="O428" s="8" t="n">
        <v>46253.37866898148</v>
      </c>
      <c r="P428" t="inlineStr">
        <is>
          <t>Tatum Ashford</t>
        </is>
      </c>
      <c r="Q428" t="inlineStr">
        <is>
          <t>LEDGER_OR_CASHFLOW_RECEIVED</t>
        </is>
      </c>
      <c r="R428" t="inlineStr">
        <is>
          <t>SYRM_ACKNOWLEDGED</t>
        </is>
      </c>
      <c r="S428" t="inlineStr">
        <is>
          <t>View details</t>
        </is>
      </c>
    </row>
    <row r="429">
      <c r="A429" t="inlineStr">
        <is>
          <t>150316825069</t>
        </is>
      </c>
      <c r="B429" t="inlineStr">
        <is>
          <t>Yarrow Settlement Bank Oslo</t>
        </is>
      </c>
      <c r="C429" t="inlineStr">
        <is>
          <t>794226063698</t>
        </is>
      </c>
      <c r="D429" t="inlineStr">
        <is>
          <t>Bramble Commercial Bank Toronto</t>
        </is>
      </c>
      <c r="E429" t="inlineStr">
        <is>
          <t>GBP</t>
        </is>
      </c>
      <c r="F429" t="inlineStr">
        <is>
          <t>NT26081900423</t>
        </is>
      </c>
      <c r="G429" s="6" t="n">
        <v>46253</v>
      </c>
      <c r="H429" s="7" t="n">
        <v>13716396.864</v>
      </c>
      <c r="I429" t="inlineStr">
        <is>
          <t>GBP</t>
        </is>
      </c>
      <c r="J429" s="7" t="n">
        <v>13716396.864</v>
      </c>
      <c r="K429" t="inlineStr">
        <is>
          <t>SYRM</t>
        </is>
      </c>
      <c r="L429" t="inlineStr">
        <is>
          <t>Liquidity sweep</t>
        </is>
      </c>
      <c r="M429" s="8" t="n">
        <v>46253.45206018518</v>
      </c>
      <c r="N429" t="inlineStr">
        <is>
          <t>Oakley Rhodes</t>
        </is>
      </c>
      <c r="O429" s="8" t="n">
        <v>46253.50414351852</v>
      </c>
      <c r="P429" t="inlineStr">
        <is>
          <t>Quinn Hollis</t>
        </is>
      </c>
      <c r="Q429" t="inlineStr">
        <is>
          <t>LEDGER_OR_CASHFLOW_RECEIVED</t>
        </is>
      </c>
      <c r="R429" t="inlineStr">
        <is>
          <t>SYRM_ACKNOWLEDGED</t>
        </is>
      </c>
      <c r="S429" t="inlineStr">
        <is>
          <t>View details</t>
        </is>
      </c>
    </row>
    <row r="430">
      <c r="A430" t="inlineStr">
        <is>
          <t>468341071172</t>
        </is>
      </c>
      <c r="B430" t="inlineStr">
        <is>
          <t>Granite Trust Frankfurt</t>
        </is>
      </c>
      <c r="C430" t="inlineStr">
        <is>
          <t>794226063698</t>
        </is>
      </c>
      <c r="D430" t="inlineStr">
        <is>
          <t>Thornbury Commercial Bank London</t>
        </is>
      </c>
      <c r="E430" t="inlineStr">
        <is>
          <t>EUR</t>
        </is>
      </c>
      <c r="F430" t="inlineStr">
        <is>
          <t>NT26081900424</t>
        </is>
      </c>
      <c r="G430" s="6" t="n">
        <v>46253</v>
      </c>
      <c r="H430" s="7" t="n">
        <v>302036228.7912</v>
      </c>
      <c r="I430" t="inlineStr">
        <is>
          <t>GBP</t>
        </is>
      </c>
      <c r="J430" s="7" t="n">
        <v>259147084.303</v>
      </c>
      <c r="K430" t="inlineStr">
        <is>
          <t>SYRM</t>
        </is>
      </c>
      <c r="L430" t="inlineStr"/>
      <c r="M430" s="8" t="n">
        <v>46253.4243287037</v>
      </c>
      <c r="N430" t="inlineStr">
        <is>
          <t>Quinn Brookes</t>
        </is>
      </c>
      <c r="O430" s="8" t="n">
        <v>46253.47849537037</v>
      </c>
      <c r="P430" t="inlineStr">
        <is>
          <t>Lennox Ellison</t>
        </is>
      </c>
      <c r="Q430" t="inlineStr">
        <is>
          <t>LEDGER_RECEIVED</t>
        </is>
      </c>
      <c r="R430" t="inlineStr">
        <is>
          <t>SYRM_PENDING</t>
        </is>
      </c>
      <c r="S430" t="inlineStr">
        <is>
          <t>View details</t>
        </is>
      </c>
    </row>
    <row r="431">
      <c r="A431" t="inlineStr">
        <is>
          <t>898317028833</t>
        </is>
      </c>
      <c r="B431" t="inlineStr">
        <is>
          <t>Zephyr Settlement Bank New York</t>
        </is>
      </c>
      <c r="C431" t="inlineStr">
        <is>
          <t>927538182434</t>
        </is>
      </c>
      <c r="D431" t="inlineStr">
        <is>
          <t>Nightjar Bank Stockholm</t>
        </is>
      </c>
      <c r="E431" t="inlineStr">
        <is>
          <t>GBP</t>
        </is>
      </c>
      <c r="F431" t="inlineStr">
        <is>
          <t>NT26081900425</t>
        </is>
      </c>
      <c r="G431" s="6" t="n">
        <v>46253</v>
      </c>
      <c r="H431" s="7" t="n">
        <v>23688828.117</v>
      </c>
      <c r="I431" t="inlineStr">
        <is>
          <t>GBP</t>
        </is>
      </c>
      <c r="J431" s="7" t="n">
        <v>23688828.117</v>
      </c>
      <c r="K431" t="inlineStr">
        <is>
          <t>SYRM</t>
        </is>
      </c>
      <c r="L431" t="inlineStr">
        <is>
          <t>Intraday top-up</t>
        </is>
      </c>
      <c r="M431" s="8" t="n">
        <v>46253.42774305555</v>
      </c>
      <c r="N431" t="inlineStr">
        <is>
          <t>Tatum Ashford</t>
        </is>
      </c>
      <c r="O431" s="8" t="n">
        <v>46253.4596875</v>
      </c>
      <c r="P431" t="inlineStr">
        <is>
          <t>Noor Sinclair</t>
        </is>
      </c>
      <c r="Q431" t="inlineStr">
        <is>
          <t>LEDGER_OR_CASHFLOW_RECEIVED</t>
        </is>
      </c>
      <c r="R431" t="inlineStr">
        <is>
          <t>SYRM_ACKNOWLEDGED</t>
        </is>
      </c>
      <c r="S431" t="inlineStr">
        <is>
          <t>View details</t>
        </is>
      </c>
    </row>
    <row r="432">
      <c r="A432" t="inlineStr">
        <is>
          <t>700726936098</t>
        </is>
      </c>
      <c r="B432" t="inlineStr">
        <is>
          <t>Alder Settlement Bank Paris</t>
        </is>
      </c>
      <c r="C432" t="inlineStr">
        <is>
          <t>700726936098</t>
        </is>
      </c>
      <c r="D432" t="inlineStr">
        <is>
          <t>Nightjar Bank Stockholm</t>
        </is>
      </c>
      <c r="E432" t="inlineStr">
        <is>
          <t>SAR</t>
        </is>
      </c>
      <c r="F432" t="inlineStr">
        <is>
          <t>NT26081900426</t>
        </is>
      </c>
      <c r="G432" s="6" t="n">
        <v>46253</v>
      </c>
      <c r="H432" s="7" t="n">
        <v>505053800.7156</v>
      </c>
      <c r="I432" t="inlineStr">
        <is>
          <t>GBP</t>
        </is>
      </c>
      <c r="J432" s="7" t="n">
        <v>105556244.35</v>
      </c>
      <c r="K432" t="inlineStr">
        <is>
          <t>SWIFT</t>
        </is>
      </c>
      <c r="L432" t="inlineStr">
        <is>
          <t>Liquidity sweep</t>
        </is>
      </c>
      <c r="M432" s="8" t="n">
        <v>46253.25545138889</v>
      </c>
      <c r="N432" t="inlineStr">
        <is>
          <t>Finley Jennings</t>
        </is>
      </c>
      <c r="O432" s="8" t="n">
        <v>46253.31309027778</v>
      </c>
      <c r="P432" t="inlineStr">
        <is>
          <t>Avery Sinclair</t>
        </is>
      </c>
      <c r="Q432" t="inlineStr">
        <is>
          <t>LEDGER_OR_CASHFLOW_RECEIVED</t>
        </is>
      </c>
      <c r="R432" t="inlineStr">
        <is>
          <t>SYRM_ACKNOWLEDGED</t>
        </is>
      </c>
      <c r="S432" t="inlineStr">
        <is>
          <t>View details</t>
        </is>
      </c>
    </row>
    <row r="433">
      <c r="A433" t="inlineStr">
        <is>
          <t>284925023085</t>
        </is>
      </c>
      <c r="B433" t="inlineStr">
        <is>
          <t>Bramble Commercial Bank Toronto</t>
        </is>
      </c>
      <c r="C433" t="inlineStr">
        <is>
          <t>794226063698</t>
        </is>
      </c>
      <c r="D433" t="inlineStr">
        <is>
          <t>Mallow Settlement Bank Oslo</t>
        </is>
      </c>
      <c r="E433" t="inlineStr">
        <is>
          <t>MXN</t>
        </is>
      </c>
      <c r="F433" t="inlineStr">
        <is>
          <t>NT26081900427</t>
        </is>
      </c>
      <c r="G433" s="6" t="n">
        <v>46253</v>
      </c>
      <c r="H433" s="7" t="n">
        <v>2281019196.3138</v>
      </c>
      <c r="I433" t="inlineStr">
        <is>
          <t>GBP</t>
        </is>
      </c>
      <c r="J433" s="7" t="n">
        <v>97627621.602</v>
      </c>
      <c r="K433" t="inlineStr">
        <is>
          <t>INTERNAL</t>
        </is>
      </c>
      <c r="L433" t="inlineStr">
        <is>
          <t>Funding move</t>
        </is>
      </c>
      <c r="M433" s="8" t="n">
        <v>46253.7271412037</v>
      </c>
      <c r="N433" t="inlineStr">
        <is>
          <t>Avery Sinclair</t>
        </is>
      </c>
      <c r="O433" s="8" t="n">
        <v>46253.75005787037</v>
      </c>
      <c r="P433" t="inlineStr">
        <is>
          <t>Marlow Sinclair</t>
        </is>
      </c>
      <c r="Q433" t="inlineStr">
        <is>
          <t>LEDGER_OR_CASHFLOW_RECEIVED</t>
        </is>
      </c>
      <c r="R433" t="inlineStr">
        <is>
          <t>SYRM_ACKNOWLEDGED</t>
        </is>
      </c>
      <c r="S433" t="inlineStr">
        <is>
          <t>View details</t>
        </is>
      </c>
    </row>
    <row r="434">
      <c r="A434" t="inlineStr">
        <is>
          <t>910703979141</t>
        </is>
      </c>
      <c r="B434" t="inlineStr">
        <is>
          <t>Mallow Settlement Bank Warsaw</t>
        </is>
      </c>
      <c r="C434" t="inlineStr">
        <is>
          <t>120047354818</t>
        </is>
      </c>
      <c r="D434" t="inlineStr">
        <is>
          <t>Juniper Clearing New York</t>
        </is>
      </c>
      <c r="E434" t="inlineStr">
        <is>
          <t>CHF</t>
        </is>
      </c>
      <c r="F434" t="inlineStr">
        <is>
          <t>NT26081900428</t>
        </is>
      </c>
      <c r="G434" s="6" t="n">
        <v>46253</v>
      </c>
      <c r="H434" s="7" t="n">
        <v>41623372.4382</v>
      </c>
      <c r="I434" t="inlineStr">
        <is>
          <t>GBP</t>
        </is>
      </c>
      <c r="J434" s="7" t="n">
        <v>37336165.077</v>
      </c>
      <c r="K434" t="inlineStr">
        <is>
          <t>SYRM</t>
        </is>
      </c>
      <c r="L434" t="inlineStr">
        <is>
          <t>Intraday top-up</t>
        </is>
      </c>
      <c r="M434" s="8" t="n">
        <v>46253.56590277778</v>
      </c>
      <c r="N434" t="inlineStr">
        <is>
          <t>Quinn Lindqvist</t>
        </is>
      </c>
      <c r="O434" s="8" t="n">
        <v>46253.62423611111</v>
      </c>
      <c r="P434" t="inlineStr">
        <is>
          <t>Oakley Novak</t>
        </is>
      </c>
      <c r="Q434" t="inlineStr">
        <is>
          <t>LEDGER_OR_CASHFLOW_RECEIVED</t>
        </is>
      </c>
      <c r="R434" t="inlineStr">
        <is>
          <t>SYRM_ACKNOWLEDGED</t>
        </is>
      </c>
      <c r="S434" t="inlineStr">
        <is>
          <t>View details</t>
        </is>
      </c>
    </row>
    <row r="435">
      <c r="A435" t="inlineStr">
        <is>
          <t>953625291146</t>
        </is>
      </c>
      <c r="B435" t="inlineStr">
        <is>
          <t>Dunlin Commercial Bank Paris</t>
        </is>
      </c>
      <c r="C435" t="inlineStr">
        <is>
          <t>794226063698</t>
        </is>
      </c>
      <c r="D435" t="inlineStr">
        <is>
          <t>Pinehurst Clearing Oslo</t>
        </is>
      </c>
      <c r="E435" t="inlineStr">
        <is>
          <t>USD</t>
        </is>
      </c>
      <c r="F435" t="inlineStr">
        <is>
          <t>NT26081900429</t>
        </is>
      </c>
      <c r="G435" s="6" t="n">
        <v>46253</v>
      </c>
      <c r="H435" s="7" t="n">
        <v>5202730.6326</v>
      </c>
      <c r="I435" t="inlineStr">
        <is>
          <t>GBP</t>
        </is>
      </c>
      <c r="J435" s="7" t="n">
        <v>4078940.816</v>
      </c>
      <c r="K435" t="inlineStr">
        <is>
          <t>SYRM</t>
        </is>
      </c>
      <c r="L435" t="inlineStr">
        <is>
          <t>Funding move</t>
        </is>
      </c>
      <c r="M435" s="8" t="n">
        <v>46253.42732638889</v>
      </c>
      <c r="N435" t="inlineStr">
        <is>
          <t>Harper Calloway</t>
        </is>
      </c>
      <c r="O435" s="8" t="n">
        <v>46253.47940972223</v>
      </c>
      <c r="P435" t="inlineStr">
        <is>
          <t>Noor Sinclair</t>
        </is>
      </c>
      <c r="Q435" t="inlineStr">
        <is>
          <t>LEDGER_OR_CASHFLOW_RECEIVED</t>
        </is>
      </c>
      <c r="R435" t="inlineStr">
        <is>
          <t>SYRM_ACKNOWLEDGED</t>
        </is>
      </c>
      <c r="S435" t="inlineStr">
        <is>
          <t>View details</t>
        </is>
      </c>
    </row>
    <row r="436">
      <c r="A436" t="inlineStr">
        <is>
          <t>621381112674</t>
        </is>
      </c>
      <c r="B436" t="inlineStr">
        <is>
          <t>Redstart Trust Mexico City</t>
        </is>
      </c>
      <c r="C436" t="inlineStr">
        <is>
          <t>968942362772</t>
        </is>
      </c>
      <c r="D436" t="inlineStr">
        <is>
          <t>Wrenfield Bank Paris</t>
        </is>
      </c>
      <c r="E436" t="inlineStr">
        <is>
          <t>PLN</t>
        </is>
      </c>
      <c r="F436" t="inlineStr">
        <is>
          <t>NT26081900430</t>
        </is>
      </c>
      <c r="G436" s="6" t="n">
        <v>46253</v>
      </c>
      <c r="H436" s="7" t="n">
        <v>674844093.351</v>
      </c>
      <c r="I436" t="inlineStr">
        <is>
          <t>GBP</t>
        </is>
      </c>
      <c r="J436" s="7" t="n">
        <v>133619130.483</v>
      </c>
      <c r="K436" t="inlineStr">
        <is>
          <t>SYRM</t>
        </is>
      </c>
      <c r="L436" t="inlineStr">
        <is>
          <t>Balance alignment</t>
        </is>
      </c>
      <c r="M436" s="8" t="n">
        <v>46253.39128472222</v>
      </c>
      <c r="N436" t="inlineStr">
        <is>
          <t>Quinn Kirby</t>
        </is>
      </c>
      <c r="O436" s="8" t="n">
        <v>46253.44336805555</v>
      </c>
      <c r="P436" t="inlineStr">
        <is>
          <t>Harper Hollis</t>
        </is>
      </c>
      <c r="Q436" t="inlineStr">
        <is>
          <t>LEDGER_OR_CASHFLOW_RECEIVED</t>
        </is>
      </c>
      <c r="R436" t="inlineStr">
        <is>
          <t>SYRM_ACKNOWLEDGED</t>
        </is>
      </c>
      <c r="S436" t="inlineStr">
        <is>
          <t>View details</t>
        </is>
      </c>
    </row>
    <row r="437">
      <c r="A437" t="inlineStr">
        <is>
          <t>910703979141</t>
        </is>
      </c>
      <c r="B437" t="inlineStr">
        <is>
          <t>Pinehurst Settlement Bank Frankfurt</t>
        </is>
      </c>
      <c r="C437" t="inlineStr">
        <is>
          <t>265771593142</t>
        </is>
      </c>
      <c r="D437" t="inlineStr">
        <is>
          <t>Mallow Trust Frankfurt</t>
        </is>
      </c>
      <c r="E437" t="inlineStr">
        <is>
          <t>CHF</t>
        </is>
      </c>
      <c r="F437" t="inlineStr">
        <is>
          <t>NT26081900431</t>
        </is>
      </c>
      <c r="G437" s="6" t="n">
        <v>46253</v>
      </c>
      <c r="H437" s="7" t="n">
        <v>268875075.4758</v>
      </c>
      <c r="I437" t="inlineStr">
        <is>
          <t>GBP</t>
        </is>
      </c>
      <c r="J437" s="7" t="n">
        <v>241180942.702</v>
      </c>
      <c r="K437" t="inlineStr">
        <is>
          <t>SWIFT</t>
        </is>
      </c>
      <c r="L437" t="inlineStr">
        <is>
          <t>Funding move</t>
        </is>
      </c>
      <c r="M437" s="8" t="n">
        <v>46253.67376157407</v>
      </c>
      <c r="N437" t="inlineStr">
        <is>
          <t>Marlow Rhodes</t>
        </is>
      </c>
      <c r="O437" s="8" t="n">
        <v>46253.67515046296</v>
      </c>
      <c r="P437" t="inlineStr">
        <is>
          <t>Kai Calloway</t>
        </is>
      </c>
      <c r="Q437" t="inlineStr">
        <is>
          <t>LEDGER_OR_CASHFLOW_RECEIVED</t>
        </is>
      </c>
      <c r="R437" t="inlineStr">
        <is>
          <t>SYRM_ACKNOWLEDGED</t>
        </is>
      </c>
      <c r="S437" t="inlineStr">
        <is>
          <t>View details</t>
        </is>
      </c>
    </row>
    <row r="438">
      <c r="A438" t="inlineStr">
        <is>
          <t>499062838623</t>
        </is>
      </c>
      <c r="B438" t="inlineStr">
        <is>
          <t>Fernway Trust Tokyo</t>
        </is>
      </c>
      <c r="C438" t="inlineStr">
        <is>
          <t>824840705580</t>
        </is>
      </c>
      <c r="D438" t="inlineStr">
        <is>
          <t>Larkspur Trust Hong Kong</t>
        </is>
      </c>
      <c r="E438" t="inlineStr">
        <is>
          <t>USD</t>
        </is>
      </c>
      <c r="F438" t="inlineStr">
        <is>
          <t>NT26081900432</t>
        </is>
      </c>
      <c r="G438" s="6" t="n">
        <v>46253</v>
      </c>
      <c r="H438" s="7" t="n">
        <v>72654705.09719999</v>
      </c>
      <c r="I438" t="inlineStr">
        <is>
          <t>GBP</t>
        </is>
      </c>
      <c r="J438" s="7" t="n">
        <v>56961288.796</v>
      </c>
      <c r="K438" t="inlineStr">
        <is>
          <t>SWIFT</t>
        </is>
      </c>
      <c r="L438" t="inlineStr"/>
      <c r="M438" s="8" t="n">
        <v>46253.27855324074</v>
      </c>
      <c r="N438" t="inlineStr">
        <is>
          <t>Wren Hollis</t>
        </is>
      </c>
      <c r="O438" s="8" t="n">
        <v>46253.30980324074</v>
      </c>
      <c r="P438" t="inlineStr">
        <is>
          <t>Kai Calloway</t>
        </is>
      </c>
      <c r="Q438" t="inlineStr">
        <is>
          <t>LEDGER_OR_CASHFLOW_RECEIVED</t>
        </is>
      </c>
      <c r="R438" t="inlineStr">
        <is>
          <t>SYRM_ACKNOWLEDGED</t>
        </is>
      </c>
      <c r="S438" t="inlineStr">
        <is>
          <t>View details</t>
        </is>
      </c>
    </row>
    <row r="439">
      <c r="A439" t="inlineStr">
        <is>
          <t>499062838623</t>
        </is>
      </c>
      <c r="B439" t="inlineStr">
        <is>
          <t>Juniper Clearing New York</t>
        </is>
      </c>
      <c r="C439" t="inlineStr">
        <is>
          <t>700726936098</t>
        </is>
      </c>
      <c r="D439" t="inlineStr">
        <is>
          <t>Mallow Trust Frankfurt</t>
        </is>
      </c>
      <c r="E439" t="inlineStr">
        <is>
          <t>USD</t>
        </is>
      </c>
      <c r="F439" t="inlineStr">
        <is>
          <t>NT26081900433</t>
        </is>
      </c>
      <c r="G439" s="6" t="n">
        <v>46253</v>
      </c>
      <c r="H439" s="7" t="n">
        <v>22823828.7354</v>
      </c>
      <c r="I439" t="inlineStr">
        <is>
          <t>GBP</t>
        </is>
      </c>
      <c r="J439" s="7" t="n">
        <v>17893881.729</v>
      </c>
      <c r="K439" t="inlineStr">
        <is>
          <t>SYRM</t>
        </is>
      </c>
      <c r="L439" t="inlineStr"/>
      <c r="M439" s="8" t="n">
        <v>46253.66736111111</v>
      </c>
      <c r="N439" t="inlineStr">
        <is>
          <t>Noor Brookes</t>
        </is>
      </c>
      <c r="O439" s="8" t="n">
        <v>46253.72152777778</v>
      </c>
      <c r="P439" t="inlineStr">
        <is>
          <t>Avery Sinclair</t>
        </is>
      </c>
      <c r="Q439" t="inlineStr">
        <is>
          <t>LEDGER_OR_CASHFLOW_RECEIVED</t>
        </is>
      </c>
      <c r="R439" t="inlineStr">
        <is>
          <t>SYRM_ACKNOWLEDGED</t>
        </is>
      </c>
      <c r="S439" t="inlineStr">
        <is>
          <t>View details</t>
        </is>
      </c>
    </row>
    <row r="440">
      <c r="A440" t="inlineStr">
        <is>
          <t>898317028833</t>
        </is>
      </c>
      <c r="B440" t="inlineStr">
        <is>
          <t>Granite Trust Frankfurt</t>
        </is>
      </c>
      <c r="C440" t="inlineStr">
        <is>
          <t>150316825069</t>
        </is>
      </c>
      <c r="D440" t="inlineStr">
        <is>
          <t>Yarrow Settlement Bank Oslo</t>
        </is>
      </c>
      <c r="E440" t="inlineStr">
        <is>
          <t>GBP</t>
        </is>
      </c>
      <c r="F440" t="inlineStr">
        <is>
          <t>NT26081900434</t>
        </is>
      </c>
      <c r="G440" s="6" t="n">
        <v>46253</v>
      </c>
      <c r="H440" s="7" t="n">
        <v>549780236.2404001</v>
      </c>
      <c r="I440" t="inlineStr">
        <is>
          <t>GBP</t>
        </is>
      </c>
      <c r="J440" s="7" t="n">
        <v>549780236.24</v>
      </c>
      <c r="K440" t="inlineStr">
        <is>
          <t>SYRM</t>
        </is>
      </c>
      <c r="L440" t="inlineStr">
        <is>
          <t>Liquidity sweep</t>
        </is>
      </c>
      <c r="M440" s="8" t="n">
        <v>46253.79337962963</v>
      </c>
      <c r="N440" t="inlineStr">
        <is>
          <t>Noor Brookes</t>
        </is>
      </c>
      <c r="O440" s="8" t="n">
        <v>46253.82185185186</v>
      </c>
      <c r="P440" t="inlineStr">
        <is>
          <t>Marlow Sinclair</t>
        </is>
      </c>
      <c r="Q440" t="inlineStr">
        <is>
          <t>LEDGER_OR_CASHFLOW_RECEIVED</t>
        </is>
      </c>
      <c r="R440" t="inlineStr">
        <is>
          <t>SYRM_ACKNOWLEDGED</t>
        </is>
      </c>
      <c r="S440" t="inlineStr">
        <is>
          <t>View details</t>
        </is>
      </c>
    </row>
    <row r="441">
      <c r="A441" t="inlineStr">
        <is>
          <t>150316825069</t>
        </is>
      </c>
      <c r="B441" t="inlineStr">
        <is>
          <t>Pinehurst Settlement Bank Frankfurt</t>
        </is>
      </c>
      <c r="C441" t="inlineStr">
        <is>
          <t>910703979141</t>
        </is>
      </c>
      <c r="D441" t="inlineStr">
        <is>
          <t>Pinehurst Commercial Bank Sydney</t>
        </is>
      </c>
      <c r="E441" t="inlineStr">
        <is>
          <t>GBP</t>
        </is>
      </c>
      <c r="F441" t="inlineStr">
        <is>
          <t>NT26081900435</t>
        </is>
      </c>
      <c r="G441" s="6" t="n">
        <v>46253</v>
      </c>
      <c r="H441" s="7" t="n">
        <v>572648062.959</v>
      </c>
      <c r="I441" t="inlineStr">
        <is>
          <t>GBP</t>
        </is>
      </c>
      <c r="J441" s="7" t="n">
        <v>572648062.959</v>
      </c>
      <c r="K441" t="inlineStr">
        <is>
          <t>SYRM</t>
        </is>
      </c>
      <c r="L441" t="inlineStr"/>
      <c r="M441" s="8" t="n">
        <v>46253.62553240741</v>
      </c>
      <c r="N441" t="inlineStr">
        <is>
          <t>Kai Calloway</t>
        </is>
      </c>
      <c r="O441" s="8" t="n">
        <v>46253.67900462963</v>
      </c>
      <c r="P441" t="inlineStr">
        <is>
          <t>Marlow Thorne</t>
        </is>
      </c>
      <c r="Q441" t="inlineStr">
        <is>
          <t>LEDGER_OR_CASHFLOW_RECEIVED</t>
        </is>
      </c>
      <c r="R441" t="inlineStr">
        <is>
          <t>SYRM_PENDING</t>
        </is>
      </c>
      <c r="S441" t="inlineStr">
        <is>
          <t>View details</t>
        </is>
      </c>
    </row>
    <row r="442">
      <c r="A442" t="inlineStr">
        <is>
          <t>927538182434</t>
        </is>
      </c>
      <c r="B442" t="inlineStr">
        <is>
          <t>Pinehurst Commercial Bank Sydney</t>
        </is>
      </c>
      <c r="C442" t="inlineStr">
        <is>
          <t>927538182434</t>
        </is>
      </c>
      <c r="D442" t="inlineStr">
        <is>
          <t>Granite Trust Frankfurt</t>
        </is>
      </c>
      <c r="E442" t="inlineStr">
        <is>
          <t>CNY</t>
        </is>
      </c>
      <c r="F442" t="inlineStr">
        <is>
          <t>NT26081900436</t>
        </is>
      </c>
      <c r="G442" s="6" t="n">
        <v>46253</v>
      </c>
      <c r="H442" s="7" t="n">
        <v>107402673.0024</v>
      </c>
      <c r="I442" t="inlineStr">
        <is>
          <t>GBP</t>
        </is>
      </c>
      <c r="J442" s="7" t="n">
        <v>11706891.357</v>
      </c>
      <c r="K442" t="inlineStr">
        <is>
          <t>INTERNAL</t>
        </is>
      </c>
      <c r="L442" t="inlineStr">
        <is>
          <t>Funding move</t>
        </is>
      </c>
      <c r="M442" s="8" t="n">
        <v>46253.44300925926</v>
      </c>
      <c r="N442" t="inlineStr">
        <is>
          <t>Devon Delaney</t>
        </is>
      </c>
      <c r="O442" s="8" t="n">
        <v>46253.49231481482</v>
      </c>
      <c r="P442" t="inlineStr">
        <is>
          <t>Kai Merrick</t>
        </is>
      </c>
      <c r="Q442" t="inlineStr">
        <is>
          <t>LEDGER_OR_CASHFLOW_RECEIVED</t>
        </is>
      </c>
      <c r="R442" t="inlineStr">
        <is>
          <t>SYRM_ACKNOWLEDGED</t>
        </is>
      </c>
      <c r="S442" t="inlineStr">
        <is>
          <t>View details</t>
        </is>
      </c>
    </row>
    <row r="443">
      <c r="A443" t="inlineStr">
        <is>
          <t>968942362772</t>
        </is>
      </c>
      <c r="B443" t="inlineStr">
        <is>
          <t>Yarrow Settlement Bank Oslo</t>
        </is>
      </c>
      <c r="C443" t="inlineStr">
        <is>
          <t>794226063698</t>
        </is>
      </c>
      <c r="D443" t="inlineStr">
        <is>
          <t>Redstart Commercial Bank Stockholm</t>
        </is>
      </c>
      <c r="E443" t="inlineStr">
        <is>
          <t>EUR</t>
        </is>
      </c>
      <c r="F443" t="inlineStr">
        <is>
          <t>NT26081900437</t>
        </is>
      </c>
      <c r="G443" s="6" t="n">
        <v>46253</v>
      </c>
      <c r="H443" s="7" t="n">
        <v>1043853592.6044</v>
      </c>
      <c r="I443" t="inlineStr">
        <is>
          <t>GBP</t>
        </is>
      </c>
      <c r="J443" s="7" t="n">
        <v>895626382.455</v>
      </c>
      <c r="K443" t="inlineStr">
        <is>
          <t>SYRM</t>
        </is>
      </c>
      <c r="L443" t="inlineStr">
        <is>
          <t>Balance alignment</t>
        </is>
      </c>
      <c r="M443" s="8" t="n">
        <v>46253.67634259259</v>
      </c>
      <c r="N443" t="inlineStr">
        <is>
          <t>Quinn Osgood</t>
        </is>
      </c>
      <c r="O443" s="8" t="n">
        <v>46253.68189814815</v>
      </c>
      <c r="P443" t="inlineStr">
        <is>
          <t>Quinn Osgood</t>
        </is>
      </c>
      <c r="Q443" t="inlineStr">
        <is>
          <t>LEDGER_OR_CASHFLOW_RECEIVED</t>
        </is>
      </c>
      <c r="R443" t="inlineStr">
        <is>
          <t>SYRM_ACKNOWLEDGED</t>
        </is>
      </c>
      <c r="S443" t="inlineStr">
        <is>
          <t>View details</t>
        </is>
      </c>
    </row>
    <row r="444">
      <c r="A444" t="inlineStr">
        <is>
          <t>824840705580</t>
        </is>
      </c>
      <c r="B444" t="inlineStr">
        <is>
          <t>Bramble Settlement Bank Hong Kong</t>
        </is>
      </c>
      <c r="C444" t="inlineStr">
        <is>
          <t>968942362772</t>
        </is>
      </c>
      <c r="D444" t="inlineStr">
        <is>
          <t>Kestrel Bank Frankfurt</t>
        </is>
      </c>
      <c r="E444" t="inlineStr">
        <is>
          <t>EUR</t>
        </is>
      </c>
      <c r="F444" t="inlineStr">
        <is>
          <t>NT26081900438</t>
        </is>
      </c>
      <c r="G444" s="6" t="n">
        <v>46253</v>
      </c>
      <c r="H444" s="7" t="n">
        <v>83759988.7368</v>
      </c>
      <c r="I444" t="inlineStr">
        <is>
          <t>GBP</t>
        </is>
      </c>
      <c r="J444" s="7" t="n">
        <v>71866070.336</v>
      </c>
      <c r="K444" t="inlineStr">
        <is>
          <t>INTERNAL</t>
        </is>
      </c>
      <c r="L444" t="inlineStr"/>
      <c r="M444" s="8" t="n">
        <v>46253.75298611111</v>
      </c>
      <c r="N444" t="inlineStr">
        <is>
          <t>Finley Sinclair</t>
        </is>
      </c>
      <c r="O444" s="8" t="n">
        <v>46253.77590277778</v>
      </c>
      <c r="P444" t="inlineStr">
        <is>
          <t>Lennox Ellison</t>
        </is>
      </c>
      <c r="Q444" t="inlineStr">
        <is>
          <t>LEDGER_RECEIVED</t>
        </is>
      </c>
      <c r="R444" t="inlineStr">
        <is>
          <t>SYRM_ACKNOWLEDGED</t>
        </is>
      </c>
      <c r="S444" t="inlineStr">
        <is>
          <t>View details</t>
        </is>
      </c>
    </row>
    <row r="445">
      <c r="A445" t="inlineStr">
        <is>
          <t>794226063698</t>
        </is>
      </c>
      <c r="B445" t="inlineStr">
        <is>
          <t>Cedar Settlement Bank Hong Kong</t>
        </is>
      </c>
      <c r="C445" t="inlineStr">
        <is>
          <t>468341071172</t>
        </is>
      </c>
      <c r="D445" t="inlineStr">
        <is>
          <t>Cedar Settlement Bank Hong Kong</t>
        </is>
      </c>
      <c r="E445" t="inlineStr">
        <is>
          <t>AED</t>
        </is>
      </c>
      <c r="F445" t="inlineStr">
        <is>
          <t>NT26081900439</t>
        </is>
      </c>
      <c r="G445" s="6" t="n">
        <v>46253</v>
      </c>
      <c r="H445" s="7" t="n">
        <v>586549220.3226</v>
      </c>
      <c r="I445" t="inlineStr">
        <is>
          <t>GBP</t>
        </is>
      </c>
      <c r="J445" s="7" t="n">
        <v>124934983.929</v>
      </c>
      <c r="K445" t="inlineStr">
        <is>
          <t>SYRM</t>
        </is>
      </c>
      <c r="L445" t="inlineStr">
        <is>
          <t>Liquidity sweep</t>
        </is>
      </c>
      <c r="M445" s="8" t="n">
        <v>46253.73167824074</v>
      </c>
      <c r="N445" t="inlineStr">
        <is>
          <t>Avery Prentice</t>
        </is>
      </c>
      <c r="O445" s="8" t="n">
        <v>46253.76570601852</v>
      </c>
      <c r="P445" t="inlineStr">
        <is>
          <t>Greer Osgood</t>
        </is>
      </c>
      <c r="Q445" t="inlineStr">
        <is>
          <t>LEDGER_OR_CASHFLOW_RECEIVED</t>
        </is>
      </c>
      <c r="R445" t="inlineStr">
        <is>
          <t>SYRM_ACKNOWLEDGED</t>
        </is>
      </c>
      <c r="S445" t="inlineStr">
        <is>
          <t>View details</t>
        </is>
      </c>
    </row>
    <row r="446">
      <c r="A446" t="inlineStr">
        <is>
          <t>910703979141</t>
        </is>
      </c>
      <c r="B446" t="inlineStr">
        <is>
          <t>Bramble Trust Zurich</t>
        </is>
      </c>
      <c r="C446" t="inlineStr">
        <is>
          <t>898317028833</t>
        </is>
      </c>
      <c r="D446" t="inlineStr">
        <is>
          <t>Sablewood Settlement Bank Oslo</t>
        </is>
      </c>
      <c r="E446" t="inlineStr">
        <is>
          <t>CHF</t>
        </is>
      </c>
      <c r="F446" t="inlineStr">
        <is>
          <t>NT26081900440</t>
        </is>
      </c>
      <c r="G446" s="6" t="n">
        <v>46253</v>
      </c>
      <c r="H446" s="7" t="n">
        <v>1437.5286</v>
      </c>
      <c r="I446" t="inlineStr">
        <is>
          <t>GBP</t>
        </is>
      </c>
      <c r="J446" s="7" t="n">
        <v>1289.463</v>
      </c>
      <c r="K446" t="inlineStr">
        <is>
          <t>SWIFT</t>
        </is>
      </c>
      <c r="L446" t="inlineStr">
        <is>
          <t>Liquidity sweep</t>
        </is>
      </c>
      <c r="M446" s="8" t="n">
        <v>46253.474375</v>
      </c>
      <c r="N446" t="inlineStr">
        <is>
          <t>Oakley Rhodes</t>
        </is>
      </c>
      <c r="O446" s="8" t="n">
        <v>46253.49451388889</v>
      </c>
      <c r="P446" t="inlineStr">
        <is>
          <t>Blake Fairweather</t>
        </is>
      </c>
      <c r="Q446" t="inlineStr">
        <is>
          <t>LEDGER_OR_CASHFLOW_RECEIVED</t>
        </is>
      </c>
      <c r="R446" t="inlineStr">
        <is>
          <t>SYRM_ACKNOWLEDGED</t>
        </is>
      </c>
      <c r="S446" t="inlineStr">
        <is>
          <t>View details</t>
        </is>
      </c>
    </row>
    <row r="447">
      <c r="A447" t="inlineStr">
        <is>
          <t>150316825069</t>
        </is>
      </c>
      <c r="B447" t="inlineStr">
        <is>
          <t>Granite Trust Frankfurt</t>
        </is>
      </c>
      <c r="C447" t="inlineStr">
        <is>
          <t>968942362772</t>
        </is>
      </c>
      <c r="D447" t="inlineStr">
        <is>
          <t>Redstart Commercial Bank Dublin</t>
        </is>
      </c>
      <c r="E447" t="inlineStr">
        <is>
          <t>GBP</t>
        </is>
      </c>
      <c r="F447" t="inlineStr">
        <is>
          <t>NT26081900441</t>
        </is>
      </c>
      <c r="G447" s="6" t="n">
        <v>46253</v>
      </c>
      <c r="H447" s="7" t="n">
        <v>5146.6932</v>
      </c>
      <c r="I447" t="inlineStr">
        <is>
          <t>GBP</t>
        </is>
      </c>
      <c r="J447" s="7" t="n">
        <v>5146.693</v>
      </c>
      <c r="K447" t="inlineStr">
        <is>
          <t>SYRM</t>
        </is>
      </c>
      <c r="L447" t="inlineStr">
        <is>
          <t>Intraday top-up</t>
        </is>
      </c>
      <c r="M447" s="8" t="n">
        <v>46253.58818287037</v>
      </c>
      <c r="N447" t="inlineStr">
        <is>
          <t>Lennox Ellison</t>
        </is>
      </c>
      <c r="O447" s="8" t="n">
        <v>46253.63957175926</v>
      </c>
      <c r="P447" t="inlineStr">
        <is>
          <t>Devon Jennings</t>
        </is>
      </c>
      <c r="Q447" t="inlineStr">
        <is>
          <t>CASHFLOW_RECEIVED</t>
        </is>
      </c>
      <c r="R447" t="inlineStr">
        <is>
          <t>SYRM_ACKNOWLEDGED</t>
        </is>
      </c>
      <c r="S447" t="inlineStr">
        <is>
          <t>View details</t>
        </is>
      </c>
    </row>
    <row r="448">
      <c r="A448" t="inlineStr">
        <is>
          <t>120047354818</t>
        </is>
      </c>
      <c r="B448" t="inlineStr">
        <is>
          <t>Yarrow Trust Oslo</t>
        </is>
      </c>
      <c r="C448" t="inlineStr">
        <is>
          <t>968942362772</t>
        </is>
      </c>
      <c r="D448" t="inlineStr">
        <is>
          <t>Juniper Clearing Hong Kong</t>
        </is>
      </c>
      <c r="E448" t="inlineStr">
        <is>
          <t>USD</t>
        </is>
      </c>
      <c r="F448" t="inlineStr">
        <is>
          <t>NT26081900442</t>
        </is>
      </c>
      <c r="G448" s="6" t="n">
        <v>46253</v>
      </c>
      <c r="H448" s="7" t="n">
        <v>4873.0968</v>
      </c>
      <c r="I448" t="inlineStr">
        <is>
          <t>GBP</t>
        </is>
      </c>
      <c r="J448" s="7" t="n">
        <v>3820.508</v>
      </c>
      <c r="K448" t="inlineStr">
        <is>
          <t>SYRM</t>
        </is>
      </c>
      <c r="L448" t="inlineStr">
        <is>
          <t>Funding move</t>
        </is>
      </c>
      <c r="M448" s="8" t="n">
        <v>46253.39489583333</v>
      </c>
      <c r="N448" t="inlineStr">
        <is>
          <t>Quinn Hollis</t>
        </is>
      </c>
      <c r="O448" s="8" t="n">
        <v>46253.42197916667</v>
      </c>
      <c r="P448" t="inlineStr">
        <is>
          <t>Greer Prentice</t>
        </is>
      </c>
      <c r="Q448" t="inlineStr">
        <is>
          <t>LEDGER_OR_CASHFLOW_RECEIVED</t>
        </is>
      </c>
      <c r="R448" t="inlineStr">
        <is>
          <t>SYRM_ACKNOWLEDGED</t>
        </is>
      </c>
      <c r="S448" t="inlineStr">
        <is>
          <t>View details</t>
        </is>
      </c>
    </row>
    <row r="449">
      <c r="A449" t="inlineStr">
        <is>
          <t>953625291146</t>
        </is>
      </c>
      <c r="B449" t="inlineStr">
        <is>
          <t>Zephyr Settlement Bank Sydney</t>
        </is>
      </c>
      <c r="C449" t="inlineStr">
        <is>
          <t>794226063698</t>
        </is>
      </c>
      <c r="D449" t="inlineStr">
        <is>
          <t>Pinehurst Commercial Bank Stockholm</t>
        </is>
      </c>
      <c r="E449" t="inlineStr">
        <is>
          <t>USD</t>
        </is>
      </c>
      <c r="F449" t="inlineStr">
        <is>
          <t>NT26081900443</t>
        </is>
      </c>
      <c r="G449" s="6" t="n">
        <v>46253</v>
      </c>
      <c r="H449" s="7" t="n">
        <v>1718216.595</v>
      </c>
      <c r="I449" t="inlineStr">
        <is>
          <t>GBP</t>
        </is>
      </c>
      <c r="J449" s="7" t="n">
        <v>1347081.81</v>
      </c>
      <c r="K449" t="inlineStr">
        <is>
          <t>SWIFT</t>
        </is>
      </c>
      <c r="L449" t="inlineStr">
        <is>
          <t>Liquidity sweep</t>
        </is>
      </c>
      <c r="M449" s="8" t="n">
        <v>46253.47450231481</v>
      </c>
      <c r="N449" t="inlineStr">
        <is>
          <t>Wren Hollis</t>
        </is>
      </c>
      <c r="O449" s="8" t="n">
        <v>46253.52380787037</v>
      </c>
      <c r="P449" t="inlineStr">
        <is>
          <t>Avery Sinclair</t>
        </is>
      </c>
      <c r="Q449" t="inlineStr">
        <is>
          <t>CASHFLOW_RECEIVED</t>
        </is>
      </c>
      <c r="R449" t="inlineStr">
        <is>
          <t>SYRM_ACKNOWLEDGED</t>
        </is>
      </c>
      <c r="S449" t="inlineStr">
        <is>
          <t>View details</t>
        </is>
      </c>
    </row>
    <row r="450">
      <c r="A450" t="inlineStr">
        <is>
          <t>898317028833</t>
        </is>
      </c>
      <c r="B450" t="inlineStr">
        <is>
          <t>Pinehurst Commercial Bank Sydney</t>
        </is>
      </c>
      <c r="C450" t="inlineStr">
        <is>
          <t>953625291146</t>
        </is>
      </c>
      <c r="D450" t="inlineStr">
        <is>
          <t>Redstart Commercial Bank Dublin</t>
        </is>
      </c>
      <c r="E450" t="inlineStr">
        <is>
          <t>GBP</t>
        </is>
      </c>
      <c r="F450" t="inlineStr">
        <is>
          <t>NT26081900444</t>
        </is>
      </c>
      <c r="G450" s="6" t="n">
        <v>46253</v>
      </c>
      <c r="H450" s="7" t="n">
        <v>35451033.4728</v>
      </c>
      <c r="I450" t="inlineStr">
        <is>
          <t>GBP</t>
        </is>
      </c>
      <c r="J450" s="7" t="n">
        <v>35451033.473</v>
      </c>
      <c r="K450" t="inlineStr">
        <is>
          <t>SYRM</t>
        </is>
      </c>
      <c r="L450" t="inlineStr">
        <is>
          <t>Funding move</t>
        </is>
      </c>
      <c r="M450" s="8" t="n">
        <v>46253.42716435185</v>
      </c>
      <c r="N450" t="inlineStr">
        <is>
          <t>Oakley Fairweather</t>
        </is>
      </c>
      <c r="O450" s="8" t="n">
        <v>46253.45355324074</v>
      </c>
      <c r="P450" t="inlineStr">
        <is>
          <t>Lennox Ellison</t>
        </is>
      </c>
      <c r="Q450" t="inlineStr">
        <is>
          <t>LEDGER_OR_CASHFLOW_RECEIVED</t>
        </is>
      </c>
      <c r="R450" t="inlineStr">
        <is>
          <t>SYRM_ACKNOWLEDGED</t>
        </is>
      </c>
      <c r="S450" t="inlineStr">
        <is>
          <t>View details</t>
        </is>
      </c>
    </row>
    <row r="451">
      <c r="A451" t="inlineStr">
        <is>
          <t>700726936098</t>
        </is>
      </c>
      <c r="B451" t="inlineStr">
        <is>
          <t>Juniper Clearing Hong Kong</t>
        </is>
      </c>
      <c r="C451" t="inlineStr">
        <is>
          <t>468341071172</t>
        </is>
      </c>
      <c r="D451" t="inlineStr">
        <is>
          <t>Zephyr Bank Madrid</t>
        </is>
      </c>
      <c r="E451" t="inlineStr">
        <is>
          <t>SAR</t>
        </is>
      </c>
      <c r="F451" t="inlineStr">
        <is>
          <t>NT26081900445</t>
        </is>
      </c>
      <c r="G451" s="6" t="n">
        <v>46253</v>
      </c>
      <c r="H451" s="7" t="n">
        <v>9104303.102399999</v>
      </c>
      <c r="I451" t="inlineStr">
        <is>
          <t>GBP</t>
        </is>
      </c>
      <c r="J451" s="7" t="n">
        <v>1902799.348</v>
      </c>
      <c r="K451" t="inlineStr">
        <is>
          <t>SYRM</t>
        </is>
      </c>
      <c r="L451" t="inlineStr">
        <is>
          <t>Funding move</t>
        </is>
      </c>
      <c r="M451" s="8" t="n">
        <v>46253.75760416667</v>
      </c>
      <c r="N451" t="inlineStr">
        <is>
          <t>Oakley Fairweather</t>
        </is>
      </c>
      <c r="O451" s="8" t="n">
        <v>46253.76454861111</v>
      </c>
      <c r="P451" t="inlineStr">
        <is>
          <t>Wren Hollis</t>
        </is>
      </c>
      <c r="Q451" t="inlineStr">
        <is>
          <t>LEDGER_OR_CASHFLOW_RECEIVED</t>
        </is>
      </c>
      <c r="R451" t="inlineStr">
        <is>
          <t>SYRM_ACKNOWLEDGED</t>
        </is>
      </c>
      <c r="S451" t="inlineStr">
        <is>
          <t>View details</t>
        </is>
      </c>
    </row>
    <row r="452">
      <c r="A452" t="inlineStr">
        <is>
          <t>150316825069</t>
        </is>
      </c>
      <c r="B452" t="inlineStr">
        <is>
          <t>Redstart Commercial Bank Dublin</t>
        </is>
      </c>
      <c r="C452" t="inlineStr">
        <is>
          <t>171857983160</t>
        </is>
      </c>
      <c r="D452" t="inlineStr">
        <is>
          <t>Redstart Trust Mexico City</t>
        </is>
      </c>
      <c r="E452" t="inlineStr">
        <is>
          <t>GBP</t>
        </is>
      </c>
      <c r="F452" t="inlineStr">
        <is>
          <t>NT26081900446</t>
        </is>
      </c>
      <c r="G452" s="6" t="n">
        <v>46253</v>
      </c>
      <c r="H452" s="7" t="n">
        <v>467191459.1682</v>
      </c>
      <c r="I452" t="inlineStr">
        <is>
          <t>GBP</t>
        </is>
      </c>
      <c r="J452" s="7" t="n">
        <v>467191459.168</v>
      </c>
      <c r="K452" t="inlineStr">
        <is>
          <t>SYRM</t>
        </is>
      </c>
      <c r="L452" t="inlineStr"/>
      <c r="M452" s="8" t="n">
        <v>46253.4321875</v>
      </c>
      <c r="N452" t="inlineStr">
        <is>
          <t>Wren Fairweather</t>
        </is>
      </c>
      <c r="O452" s="8" t="n">
        <v>46253.46899305555</v>
      </c>
      <c r="P452" t="inlineStr">
        <is>
          <t>Lennox Ellison</t>
        </is>
      </c>
      <c r="Q452" t="inlineStr">
        <is>
          <t>LEDGER_OR_CASHFLOW_RECEIVED</t>
        </is>
      </c>
      <c r="R452" t="inlineStr">
        <is>
          <t>SYRM_ACKNOWLEDGED</t>
        </is>
      </c>
      <c r="S452" t="inlineStr">
        <is>
          <t>View details</t>
        </is>
      </c>
    </row>
    <row r="453">
      <c r="A453" t="inlineStr">
        <is>
          <t>910703979141</t>
        </is>
      </c>
      <c r="B453" t="inlineStr">
        <is>
          <t>Bramble Trust Zurich</t>
        </is>
      </c>
      <c r="C453" t="inlineStr">
        <is>
          <t>150316825069</t>
        </is>
      </c>
      <c r="D453" t="inlineStr">
        <is>
          <t>Pinehurst Commercial Bank Stockholm</t>
        </is>
      </c>
      <c r="E453" t="inlineStr">
        <is>
          <t>CHF</t>
        </is>
      </c>
      <c r="F453" t="inlineStr">
        <is>
          <t>NT26081900447</t>
        </is>
      </c>
      <c r="G453" s="6" t="n">
        <v>46253</v>
      </c>
      <c r="H453" s="7" t="n">
        <v>78248574.54719999</v>
      </c>
      <c r="I453" t="inlineStr">
        <is>
          <t>GBP</t>
        </is>
      </c>
      <c r="J453" s="7" t="n">
        <v>70188971.369</v>
      </c>
      <c r="K453" t="inlineStr">
        <is>
          <t>SYRM</t>
        </is>
      </c>
      <c r="L453" t="inlineStr">
        <is>
          <t>Liquidity sweep</t>
        </is>
      </c>
      <c r="M453" s="8" t="n">
        <v>46253.54583333333</v>
      </c>
      <c r="N453" t="inlineStr">
        <is>
          <t>Finley Sinclair</t>
        </is>
      </c>
      <c r="O453" s="8" t="n">
        <v>46253.55</v>
      </c>
      <c r="P453" t="inlineStr">
        <is>
          <t>Quinn Brookes</t>
        </is>
      </c>
      <c r="Q453" t="inlineStr">
        <is>
          <t>LEDGER_OR_CASHFLOW_RECEIVED</t>
        </is>
      </c>
      <c r="R453" t="inlineStr">
        <is>
          <t>SYRM_ACKNOWLEDGED</t>
        </is>
      </c>
      <c r="S453" t="inlineStr">
        <is>
          <t>View details</t>
        </is>
      </c>
    </row>
    <row r="454">
      <c r="A454" t="inlineStr">
        <is>
          <t>910703979141</t>
        </is>
      </c>
      <c r="B454" t="inlineStr">
        <is>
          <t>Redstart Commercial Bank Stockholm</t>
        </is>
      </c>
      <c r="C454" t="inlineStr">
        <is>
          <t>910703979141</t>
        </is>
      </c>
      <c r="D454" t="inlineStr">
        <is>
          <t>Mallow Trust Frankfurt</t>
        </is>
      </c>
      <c r="E454" t="inlineStr">
        <is>
          <t>CHF</t>
        </is>
      </c>
      <c r="F454" t="inlineStr">
        <is>
          <t>NT26081900448</t>
        </is>
      </c>
      <c r="G454" s="6" t="n">
        <v>46253</v>
      </c>
      <c r="H454" s="7" t="n">
        <v>6787125944.3124</v>
      </c>
      <c r="I454" t="inlineStr">
        <is>
          <t>GBP</t>
        </is>
      </c>
      <c r="J454" s="7" t="n">
        <v>6088051972.048</v>
      </c>
      <c r="K454" t="inlineStr">
        <is>
          <t>SYRM</t>
        </is>
      </c>
      <c r="L454" t="inlineStr">
        <is>
          <t>Balance alignment</t>
        </is>
      </c>
      <c r="M454" s="8" t="n">
        <v>46253.40008101852</v>
      </c>
      <c r="N454" t="inlineStr">
        <is>
          <t>Devon Delaney</t>
        </is>
      </c>
      <c r="O454" s="8" t="n">
        <v>46253.43202546296</v>
      </c>
      <c r="P454" t="inlineStr">
        <is>
          <t>Greer Osgood</t>
        </is>
      </c>
      <c r="Q454" t="inlineStr">
        <is>
          <t>LEDGER_OR_CASHFLOW_RECEIVED</t>
        </is>
      </c>
      <c r="R454" t="inlineStr">
        <is>
          <t>SYRM_ACKNOWLEDGED</t>
        </is>
      </c>
      <c r="S454" t="inlineStr">
        <is>
          <t>View details</t>
        </is>
      </c>
    </row>
    <row r="455">
      <c r="A455" t="inlineStr">
        <is>
          <t>284925023085</t>
        </is>
      </c>
      <c r="B455" t="inlineStr">
        <is>
          <t>Zephyr Commercial Bank Oslo</t>
        </is>
      </c>
      <c r="C455" t="inlineStr">
        <is>
          <t>953625291146</t>
        </is>
      </c>
      <c r="D455" t="inlineStr">
        <is>
          <t>Wrenfield Commercial Bank Oslo</t>
        </is>
      </c>
      <c r="E455" t="inlineStr">
        <is>
          <t>MXN</t>
        </is>
      </c>
      <c r="F455" t="inlineStr">
        <is>
          <t>NT26081900449</t>
        </is>
      </c>
      <c r="G455" s="6" t="n">
        <v>46253</v>
      </c>
      <c r="H455" s="7" t="n">
        <v>57009665.187</v>
      </c>
      <c r="I455" t="inlineStr">
        <is>
          <t>GBP</t>
        </is>
      </c>
      <c r="J455" s="7" t="n">
        <v>2440013.67</v>
      </c>
      <c r="K455" t="inlineStr">
        <is>
          <t>SWIFT</t>
        </is>
      </c>
      <c r="L455" t="inlineStr">
        <is>
          <t>Funding move</t>
        </is>
      </c>
      <c r="M455" s="8" t="n">
        <v>46253.6362037037</v>
      </c>
      <c r="N455" t="inlineStr">
        <is>
          <t>Kai Merrick</t>
        </is>
      </c>
      <c r="O455" s="8" t="n">
        <v>46253.66537037037</v>
      </c>
      <c r="P455" t="inlineStr">
        <is>
          <t>Tatum Ashford</t>
        </is>
      </c>
      <c r="Q455" t="inlineStr">
        <is>
          <t>LEDGER_OR_CASHFLOW_RECEIVED</t>
        </is>
      </c>
      <c r="R455" t="inlineStr">
        <is>
          <t>SYRM_ACKNOWLEDGED</t>
        </is>
      </c>
      <c r="S455" t="inlineStr">
        <is>
          <t>View details</t>
        </is>
      </c>
    </row>
    <row r="456">
      <c r="A456" t="inlineStr">
        <is>
          <t>898317028833</t>
        </is>
      </c>
      <c r="B456" t="inlineStr">
        <is>
          <t>Cedar Clearing New York</t>
        </is>
      </c>
      <c r="C456" t="inlineStr">
        <is>
          <t>953625291146</t>
        </is>
      </c>
      <c r="D456" t="inlineStr">
        <is>
          <t>Pinehurst Settlement Bank Frankfurt</t>
        </is>
      </c>
      <c r="E456" t="inlineStr">
        <is>
          <t>GBP</t>
        </is>
      </c>
      <c r="F456" t="inlineStr">
        <is>
          <t>NT26081900450</t>
        </is>
      </c>
      <c r="G456" s="6" t="n">
        <v>46253</v>
      </c>
      <c r="H456" s="7" t="n">
        <v>280676298.249</v>
      </c>
      <c r="I456" t="inlineStr">
        <is>
          <t>GBP</t>
        </is>
      </c>
      <c r="J456" s="7" t="n">
        <v>280676298.249</v>
      </c>
      <c r="K456" t="inlineStr">
        <is>
          <t>SWIFT</t>
        </is>
      </c>
      <c r="L456" t="inlineStr">
        <is>
          <t>Balance alignment</t>
        </is>
      </c>
      <c r="M456" s="8" t="n">
        <v>46253.23770833333</v>
      </c>
      <c r="N456" t="inlineStr">
        <is>
          <t>Kai Novak</t>
        </is>
      </c>
      <c r="O456" s="8" t="n">
        <v>46253.260625</v>
      </c>
      <c r="P456" t="inlineStr">
        <is>
          <t>Quinn Kirby</t>
        </is>
      </c>
      <c r="Q456" t="inlineStr">
        <is>
          <t>LEDGER_OR_CASHFLOW_RECEIVED</t>
        </is>
      </c>
      <c r="R456" t="inlineStr">
        <is>
          <t>SYRM_ACKNOWLEDGED</t>
        </is>
      </c>
      <c r="S456" t="inlineStr">
        <is>
          <t>View details</t>
        </is>
      </c>
    </row>
    <row r="457">
      <c r="A457" t="inlineStr">
        <is>
          <t>150316825069</t>
        </is>
      </c>
      <c r="B457" t="inlineStr">
        <is>
          <t>Zephyr Commercial Bank Oslo</t>
        </is>
      </c>
      <c r="C457" t="inlineStr">
        <is>
          <t>265771593142</t>
        </is>
      </c>
      <c r="D457" t="inlineStr">
        <is>
          <t>Cedar Settlement Bank Hong Kong</t>
        </is>
      </c>
      <c r="E457" t="inlineStr">
        <is>
          <t>GBP</t>
        </is>
      </c>
      <c r="F457" t="inlineStr">
        <is>
          <t>NT26081900451</t>
        </is>
      </c>
      <c r="G457" s="6" t="n">
        <v>46253</v>
      </c>
      <c r="H457" s="7" t="n">
        <v>86880785.12460001</v>
      </c>
      <c r="I457" t="inlineStr">
        <is>
          <t>GBP</t>
        </is>
      </c>
      <c r="J457" s="7" t="n">
        <v>86880785.125</v>
      </c>
      <c r="K457" t="inlineStr">
        <is>
          <t>INTERNAL</t>
        </is>
      </c>
      <c r="L457" t="inlineStr">
        <is>
          <t>Intraday top-up</t>
        </is>
      </c>
      <c r="M457" s="8" t="n">
        <v>46253.38642361111</v>
      </c>
      <c r="N457" t="inlineStr">
        <is>
          <t>Avery Prentice</t>
        </is>
      </c>
      <c r="O457" s="8" t="n">
        <v>46253.39545138889</v>
      </c>
      <c r="P457" t="inlineStr">
        <is>
          <t>Lennox Ellison</t>
        </is>
      </c>
      <c r="Q457" t="inlineStr">
        <is>
          <t>LEDGER_OR_CASHFLOW_RECEIVED</t>
        </is>
      </c>
      <c r="R457" t="inlineStr">
        <is>
          <t>SYRM_ACKNOWLEDGED</t>
        </is>
      </c>
      <c r="S457" t="inlineStr">
        <is>
          <t>View details</t>
        </is>
      </c>
    </row>
    <row r="458">
      <c r="A458" t="inlineStr">
        <is>
          <t>132544340094</t>
        </is>
      </c>
      <c r="B458" t="inlineStr">
        <is>
          <t>Mallow Settlement Bank Oslo</t>
        </is>
      </c>
      <c r="C458" t="inlineStr">
        <is>
          <t>359365220160</t>
        </is>
      </c>
      <c r="D458" t="inlineStr">
        <is>
          <t>Harrow Bank Milan</t>
        </is>
      </c>
      <c r="E458" t="inlineStr">
        <is>
          <t>CZK</t>
        </is>
      </c>
      <c r="F458" t="inlineStr">
        <is>
          <t>NT26081900452</t>
        </is>
      </c>
      <c r="G458" s="6" t="n">
        <v>46253</v>
      </c>
      <c r="H458" s="7" t="n">
        <v>342341390.5506</v>
      </c>
      <c r="I458" t="inlineStr">
        <is>
          <t>GBP</t>
        </is>
      </c>
      <c r="J458" s="7" t="n">
        <v>11605373.14</v>
      </c>
      <c r="K458" t="inlineStr">
        <is>
          <t>SYRM</t>
        </is>
      </c>
      <c r="L458" t="inlineStr">
        <is>
          <t>Liquidity sweep</t>
        </is>
      </c>
      <c r="M458" s="8" t="n">
        <v>46253.6603125</v>
      </c>
      <c r="N458" t="inlineStr">
        <is>
          <t>Kai Novak</t>
        </is>
      </c>
      <c r="O458" s="8" t="n">
        <v>46253.69017361111</v>
      </c>
      <c r="P458" t="inlineStr">
        <is>
          <t>Finley Jennings</t>
        </is>
      </c>
      <c r="Q458" t="inlineStr">
        <is>
          <t>LEDGER_OR_CASHFLOW_RECEIVED</t>
        </is>
      </c>
      <c r="R458" t="inlineStr">
        <is>
          <t>SYRM_ACKNOWLEDGED</t>
        </is>
      </c>
      <c r="S458" t="inlineStr">
        <is>
          <t>View details</t>
        </is>
      </c>
    </row>
    <row r="459">
      <c r="A459" t="inlineStr">
        <is>
          <t>499062838623</t>
        </is>
      </c>
      <c r="B459" t="inlineStr">
        <is>
          <t>Pinehurst Settlement Bank Frankfurt</t>
        </is>
      </c>
      <c r="C459" t="inlineStr">
        <is>
          <t>150316825069</t>
        </is>
      </c>
      <c r="D459" t="inlineStr">
        <is>
          <t>Nightjar Clearing Dublin</t>
        </is>
      </c>
      <c r="E459" t="inlineStr">
        <is>
          <t>USD</t>
        </is>
      </c>
      <c r="F459" t="inlineStr">
        <is>
          <t>NT26081900453</t>
        </is>
      </c>
      <c r="G459" s="6" t="n">
        <v>46253</v>
      </c>
      <c r="H459" s="7" t="n">
        <v>57834325.34100001</v>
      </c>
      <c r="I459" t="inlineStr">
        <is>
          <t>GBP</t>
        </is>
      </c>
      <c r="J459" s="7" t="n">
        <v>45342111.067</v>
      </c>
      <c r="K459" t="inlineStr">
        <is>
          <t>SYRM</t>
        </is>
      </c>
      <c r="L459" t="inlineStr"/>
      <c r="M459" s="8" t="n">
        <v>46253.62681712963</v>
      </c>
      <c r="N459" t="inlineStr">
        <is>
          <t>Devon Delaney</t>
        </is>
      </c>
      <c r="O459" s="8" t="n">
        <v>46253.66292824074</v>
      </c>
      <c r="P459" t="inlineStr">
        <is>
          <t>Finley Sinclair</t>
        </is>
      </c>
      <c r="Q459" t="inlineStr">
        <is>
          <t>CASHFLOW_RECEIVED</t>
        </is>
      </c>
      <c r="R459" t="inlineStr">
        <is>
          <t>SYRM_PENDING</t>
        </is>
      </c>
      <c r="S459" t="inlineStr">
        <is>
          <t>View details</t>
        </is>
      </c>
    </row>
    <row r="460">
      <c r="A460" t="inlineStr">
        <is>
          <t>113829985108</t>
        </is>
      </c>
      <c r="B460" t="inlineStr">
        <is>
          <t>Umberton Commercial Bank Mexico City</t>
        </is>
      </c>
      <c r="C460" t="inlineStr">
        <is>
          <t>499062838623</t>
        </is>
      </c>
      <c r="D460" t="inlineStr">
        <is>
          <t>Larkspur Trust Hong Kong</t>
        </is>
      </c>
      <c r="E460" t="inlineStr">
        <is>
          <t>EUR</t>
        </is>
      </c>
      <c r="F460" t="inlineStr">
        <is>
          <t>NT26081900454</t>
        </is>
      </c>
      <c r="G460" s="6" t="n">
        <v>46253</v>
      </c>
      <c r="H460" s="7" t="n">
        <v>605206.8774</v>
      </c>
      <c r="I460" t="inlineStr">
        <is>
          <t>GBP</t>
        </is>
      </c>
      <c r="J460" s="7" t="n">
        <v>519267.501</v>
      </c>
      <c r="K460" t="inlineStr">
        <is>
          <t>SYRM</t>
        </is>
      </c>
      <c r="L460" t="inlineStr">
        <is>
          <t>Funding move</t>
        </is>
      </c>
      <c r="M460" s="8" t="n">
        <v>46253.24842592593</v>
      </c>
      <c r="N460" t="inlineStr">
        <is>
          <t>Oakley Prentice</t>
        </is>
      </c>
      <c r="O460" s="8" t="n">
        <v>46253.2775925926</v>
      </c>
      <c r="P460" t="inlineStr">
        <is>
          <t>Quinn Osgood</t>
        </is>
      </c>
      <c r="Q460" t="inlineStr">
        <is>
          <t>LEDGER_OR_CASHFLOW_RECEIVED</t>
        </is>
      </c>
      <c r="R460" t="inlineStr">
        <is>
          <t>SYRM_ACKNOWLEDGED</t>
        </is>
      </c>
      <c r="S460" t="inlineStr">
        <is>
          <t>View details</t>
        </is>
      </c>
    </row>
    <row r="461">
      <c r="A461" t="inlineStr">
        <is>
          <t>284925023085</t>
        </is>
      </c>
      <c r="B461" t="inlineStr">
        <is>
          <t>Juniper Trust London</t>
        </is>
      </c>
      <c r="C461" t="inlineStr">
        <is>
          <t>499062838623</t>
        </is>
      </c>
      <c r="D461" t="inlineStr">
        <is>
          <t>Zephyr Bank Madrid</t>
        </is>
      </c>
      <c r="E461" t="inlineStr">
        <is>
          <t>MXN</t>
        </is>
      </c>
      <c r="F461" t="inlineStr">
        <is>
          <t>NT26081900455</t>
        </is>
      </c>
      <c r="G461" s="6" t="n">
        <v>46253</v>
      </c>
      <c r="H461" s="7" t="n">
        <v>1753187490.5256</v>
      </c>
      <c r="I461" t="inlineStr">
        <is>
          <t>GBP</t>
        </is>
      </c>
      <c r="J461" s="7" t="n">
        <v>75036424.594</v>
      </c>
      <c r="K461" t="inlineStr">
        <is>
          <t>SYRM</t>
        </is>
      </c>
      <c r="L461" t="inlineStr"/>
      <c r="M461" s="8" t="n">
        <v>46253.64921296296</v>
      </c>
      <c r="N461" t="inlineStr">
        <is>
          <t>Quinn Hollis</t>
        </is>
      </c>
      <c r="O461" s="8" t="n">
        <v>46253.67351851852</v>
      </c>
      <c r="P461" t="inlineStr">
        <is>
          <t>Greer Osgood</t>
        </is>
      </c>
      <c r="Q461" t="inlineStr">
        <is>
          <t>CASHFLOW_RECEIVED</t>
        </is>
      </c>
      <c r="R461" t="inlineStr">
        <is>
          <t>SYRM_ACKNOWLEDGED</t>
        </is>
      </c>
      <c r="S461" t="inlineStr">
        <is>
          <t>View details</t>
        </is>
      </c>
    </row>
    <row r="462">
      <c r="A462" t="inlineStr">
        <is>
          <t>726928343448</t>
        </is>
      </c>
      <c r="B462" t="inlineStr">
        <is>
          <t>Pinehurst Trust Toronto</t>
        </is>
      </c>
      <c r="C462" t="inlineStr">
        <is>
          <t>265771593142</t>
        </is>
      </c>
      <c r="D462" t="inlineStr">
        <is>
          <t>Kestrel Clearing Oslo</t>
        </is>
      </c>
      <c r="E462" t="inlineStr">
        <is>
          <t>EUR</t>
        </is>
      </c>
      <c r="F462" t="inlineStr">
        <is>
          <t>NT26081900456</t>
        </is>
      </c>
      <c r="G462" s="6" t="n">
        <v>46253</v>
      </c>
      <c r="H462" s="7" t="n">
        <v>1172764.026</v>
      </c>
      <c r="I462" t="inlineStr">
        <is>
          <t>GBP</t>
        </is>
      </c>
      <c r="J462" s="7" t="n">
        <v>1006231.534</v>
      </c>
      <c r="K462" t="inlineStr">
        <is>
          <t>SYRM</t>
        </is>
      </c>
      <c r="L462" t="inlineStr">
        <is>
          <t>Liquidity sweep</t>
        </is>
      </c>
      <c r="M462" s="8" t="n">
        <v>46253.44640046296</v>
      </c>
      <c r="N462" t="inlineStr">
        <is>
          <t>Quinn Brookes</t>
        </is>
      </c>
      <c r="O462" s="8" t="n">
        <v>46253.5109837963</v>
      </c>
      <c r="P462" t="inlineStr">
        <is>
          <t>Quinn Hollis</t>
        </is>
      </c>
      <c r="Q462" t="inlineStr">
        <is>
          <t>LEDGER_OR_CASHFLOW_RECEIVED</t>
        </is>
      </c>
      <c r="R462" t="inlineStr">
        <is>
          <t>SYRM_ACKNOWLEDGED</t>
        </is>
      </c>
      <c r="S462" t="inlineStr">
        <is>
          <t>View details</t>
        </is>
      </c>
    </row>
    <row r="463">
      <c r="A463" t="inlineStr">
        <is>
          <t>120047354818</t>
        </is>
      </c>
      <c r="B463" t="inlineStr">
        <is>
          <t>Bramble Settlement Bank Hong Kong</t>
        </is>
      </c>
      <c r="C463" t="inlineStr">
        <is>
          <t>113829985108</t>
        </is>
      </c>
      <c r="D463" t="inlineStr">
        <is>
          <t>Wrenfield Clearing Mexico City</t>
        </is>
      </c>
      <c r="E463" t="inlineStr">
        <is>
          <t>USD</t>
        </is>
      </c>
      <c r="F463" t="inlineStr">
        <is>
          <t>NT26081900457</t>
        </is>
      </c>
      <c r="G463" s="6" t="n">
        <v>46253</v>
      </c>
      <c r="H463" s="7" t="n">
        <v>688465190.3454</v>
      </c>
      <c r="I463" t="inlineStr">
        <is>
          <t>GBP</t>
        </is>
      </c>
      <c r="J463" s="7" t="n">
        <v>539756709.2309999</v>
      </c>
      <c r="K463" t="inlineStr">
        <is>
          <t>SWIFT</t>
        </is>
      </c>
      <c r="L463" t="inlineStr"/>
      <c r="M463" s="8" t="n">
        <v>46253.65508101852</v>
      </c>
      <c r="N463" t="inlineStr">
        <is>
          <t>Noor Brookes</t>
        </is>
      </c>
      <c r="O463" s="8" t="n">
        <v>46253.68424768518</v>
      </c>
      <c r="P463" t="inlineStr">
        <is>
          <t>Quinn Kirby</t>
        </is>
      </c>
      <c r="Q463" t="inlineStr">
        <is>
          <t>LEDGER_OR_CASHFLOW_RECEIVED</t>
        </is>
      </c>
      <c r="R463" t="inlineStr">
        <is>
          <t>SYRM_ACKNOWLEDGED</t>
        </is>
      </c>
      <c r="S463" t="inlineStr">
        <is>
          <t>View details</t>
        </is>
      </c>
    </row>
    <row r="464">
      <c r="A464" t="inlineStr">
        <is>
          <t>359365220160</t>
        </is>
      </c>
      <c r="B464" t="inlineStr">
        <is>
          <t>Pinehurst Clearing Oslo</t>
        </is>
      </c>
      <c r="C464" t="inlineStr">
        <is>
          <t>726928343448</t>
        </is>
      </c>
      <c r="D464" t="inlineStr">
        <is>
          <t>Fernway Clearing Frankfurt</t>
        </is>
      </c>
      <c r="E464" t="inlineStr">
        <is>
          <t>EUR</t>
        </is>
      </c>
      <c r="F464" t="inlineStr">
        <is>
          <t>NT26081900458</t>
        </is>
      </c>
      <c r="G464" s="6" t="n">
        <v>46253</v>
      </c>
      <c r="H464" s="7" t="n">
        <v>18383055.6078</v>
      </c>
      <c r="I464" t="inlineStr">
        <is>
          <t>GBP</t>
        </is>
      </c>
      <c r="J464" s="7" t="n">
        <v>15772661.711</v>
      </c>
      <c r="K464" t="inlineStr">
        <is>
          <t>SYRM</t>
        </is>
      </c>
      <c r="L464" t="inlineStr">
        <is>
          <t>Intraday top-up</t>
        </is>
      </c>
      <c r="M464" s="8" t="n">
        <v>46253.7422337963</v>
      </c>
      <c r="N464" t="inlineStr">
        <is>
          <t>Lennox Ellison</t>
        </is>
      </c>
      <c r="O464" s="8" t="n">
        <v>46253.75542824074</v>
      </c>
      <c r="P464" t="inlineStr">
        <is>
          <t>Wren Fairweather</t>
        </is>
      </c>
      <c r="Q464" t="inlineStr">
        <is>
          <t>LEDGER_OR_CASHFLOW_RECEIVED</t>
        </is>
      </c>
      <c r="R464" t="inlineStr">
        <is>
          <t>SYRM_ACKNOWLEDGED</t>
        </is>
      </c>
      <c r="S464" t="inlineStr">
        <is>
          <t>View details</t>
        </is>
      </c>
    </row>
    <row r="465">
      <c r="A465" t="inlineStr">
        <is>
          <t>150316825069</t>
        </is>
      </c>
      <c r="B465" t="inlineStr">
        <is>
          <t>Yarrow Trust Oslo</t>
        </is>
      </c>
      <c r="C465" t="inlineStr">
        <is>
          <t>968942362772</t>
        </is>
      </c>
      <c r="D465" t="inlineStr">
        <is>
          <t>Wrenfield Trust Tokyo</t>
        </is>
      </c>
      <c r="E465" t="inlineStr">
        <is>
          <t>GBP</t>
        </is>
      </c>
      <c r="F465" t="inlineStr">
        <is>
          <t>NT26081900459</t>
        </is>
      </c>
      <c r="G465" s="6" t="n">
        <v>46253</v>
      </c>
      <c r="H465" s="7" t="n">
        <v>23376.9456</v>
      </c>
      <c r="I465" t="inlineStr">
        <is>
          <t>GBP</t>
        </is>
      </c>
      <c r="J465" s="7" t="n">
        <v>23376.946</v>
      </c>
      <c r="K465" t="inlineStr">
        <is>
          <t>SYRM</t>
        </is>
      </c>
      <c r="L465" t="inlineStr">
        <is>
          <t>Intraday top-up</t>
        </is>
      </c>
      <c r="M465" s="8" t="n">
        <v>46253.41701388889</v>
      </c>
      <c r="N465" t="inlineStr">
        <is>
          <t>Greer Osgood</t>
        </is>
      </c>
      <c r="O465" s="8" t="n">
        <v>46253.46006944445</v>
      </c>
      <c r="P465" t="inlineStr">
        <is>
          <t>Lennox Ellison</t>
        </is>
      </c>
      <c r="Q465" t="inlineStr">
        <is>
          <t>LEDGER_OR_CASHFLOW_RECEIVED</t>
        </is>
      </c>
      <c r="R465" t="inlineStr">
        <is>
          <t>SYRM_ACKNOWLEDGED</t>
        </is>
      </c>
      <c r="S465" t="inlineStr">
        <is>
          <t>View details</t>
        </is>
      </c>
    </row>
    <row r="466">
      <c r="A466" t="inlineStr">
        <is>
          <t>499062838623</t>
        </is>
      </c>
      <c r="B466" t="inlineStr">
        <is>
          <t>Granite Trust Frankfurt</t>
        </is>
      </c>
      <c r="C466" t="inlineStr">
        <is>
          <t>898317028833</t>
        </is>
      </c>
      <c r="D466" t="inlineStr">
        <is>
          <t>Dunlin Commercial Bank Paris</t>
        </is>
      </c>
      <c r="E466" t="inlineStr">
        <is>
          <t>USD</t>
        </is>
      </c>
      <c r="F466" t="inlineStr">
        <is>
          <t>NT26081900460</t>
        </is>
      </c>
      <c r="G466" s="6" t="n">
        <v>46253</v>
      </c>
      <c r="H466" s="7" t="n">
        <v>66396068.85779999</v>
      </c>
      <c r="I466" t="inlineStr">
        <is>
          <t>GBP</t>
        </is>
      </c>
      <c r="J466" s="7" t="n">
        <v>52054517.985</v>
      </c>
      <c r="K466" t="inlineStr">
        <is>
          <t>SYRM</t>
        </is>
      </c>
      <c r="L466" t="inlineStr">
        <is>
          <t>Funding move</t>
        </is>
      </c>
      <c r="M466" s="8" t="n">
        <v>46253.38206018518</v>
      </c>
      <c r="N466" t="inlineStr">
        <is>
          <t>Kai Merrick</t>
        </is>
      </c>
      <c r="O466" s="8" t="n">
        <v>46253.38414351852</v>
      </c>
      <c r="P466" t="inlineStr">
        <is>
          <t>Finley Jennings</t>
        </is>
      </c>
      <c r="Q466" t="inlineStr">
        <is>
          <t>LEDGER_OR_CASHFLOW_RECEIVED</t>
        </is>
      </c>
      <c r="R466" t="inlineStr">
        <is>
          <t>SYRM_ACKNOWLEDGED</t>
        </is>
      </c>
      <c r="S466" t="inlineStr">
        <is>
          <t>View details</t>
        </is>
      </c>
    </row>
    <row r="467">
      <c r="A467" t="inlineStr">
        <is>
          <t>150316825069</t>
        </is>
      </c>
      <c r="B467" t="inlineStr">
        <is>
          <t>Zephyr Bank Singapore</t>
        </is>
      </c>
      <c r="C467" t="inlineStr">
        <is>
          <t>794226063698</t>
        </is>
      </c>
      <c r="D467" t="inlineStr">
        <is>
          <t>Dunlin Commercial Bank Warsaw</t>
        </is>
      </c>
      <c r="E467" t="inlineStr">
        <is>
          <t>GBP</t>
        </is>
      </c>
      <c r="F467" t="inlineStr">
        <is>
          <t>NT26081900461</t>
        </is>
      </c>
      <c r="G467" s="6" t="n">
        <v>46253</v>
      </c>
      <c r="H467" s="7" t="n">
        <v>1395570.8286</v>
      </c>
      <c r="I467" t="inlineStr">
        <is>
          <t>GBP</t>
        </is>
      </c>
      <c r="J467" s="7" t="n">
        <v>1395570.829</v>
      </c>
      <c r="K467" t="inlineStr">
        <is>
          <t>SYRM</t>
        </is>
      </c>
      <c r="L467" t="inlineStr">
        <is>
          <t>Funding move</t>
        </is>
      </c>
      <c r="M467" s="8" t="n">
        <v>46253.66392361111</v>
      </c>
      <c r="N467" t="inlineStr">
        <is>
          <t>Greer Osgood</t>
        </is>
      </c>
      <c r="O467" s="8" t="n">
        <v>46253.72434027777</v>
      </c>
      <c r="P467" t="inlineStr">
        <is>
          <t>Noor Sinclair</t>
        </is>
      </c>
      <c r="Q467" t="inlineStr">
        <is>
          <t>LEDGER_OR_CASHFLOW_RECEIVED</t>
        </is>
      </c>
      <c r="R467" t="inlineStr">
        <is>
          <t>SYRM_ACKNOWLEDGED</t>
        </is>
      </c>
      <c r="S467" t="inlineStr">
        <is>
          <t>View details</t>
        </is>
      </c>
    </row>
    <row r="468">
      <c r="A468" t="inlineStr">
        <is>
          <t>910703979141</t>
        </is>
      </c>
      <c r="B468" t="inlineStr">
        <is>
          <t>Pinehurst Commercial Bank Stockholm</t>
        </is>
      </c>
      <c r="C468" t="inlineStr">
        <is>
          <t>265771593142</t>
        </is>
      </c>
      <c r="D468" t="inlineStr">
        <is>
          <t>Larkspur Trust Hong Kong</t>
        </is>
      </c>
      <c r="E468" t="inlineStr">
        <is>
          <t>CHF</t>
        </is>
      </c>
      <c r="F468" t="inlineStr">
        <is>
          <t>NT26081900462</t>
        </is>
      </c>
      <c r="G468" s="6" t="n">
        <v>46253</v>
      </c>
      <c r="H468" s="7" t="n">
        <v>21566186.8218</v>
      </c>
      <c r="I468" t="inlineStr">
        <is>
          <t>GBP</t>
        </is>
      </c>
      <c r="J468" s="7" t="n">
        <v>19344869.579</v>
      </c>
      <c r="K468" t="inlineStr">
        <is>
          <t>SYRM</t>
        </is>
      </c>
      <c r="L468" t="inlineStr">
        <is>
          <t>Intraday top-up</t>
        </is>
      </c>
      <c r="M468" s="8" t="n">
        <v>46253.26768518519</v>
      </c>
      <c r="N468" t="inlineStr">
        <is>
          <t>Kai Merrick</t>
        </is>
      </c>
      <c r="O468" s="8" t="n">
        <v>46253.31074074074</v>
      </c>
      <c r="P468" t="inlineStr">
        <is>
          <t>Marlow Thorne</t>
        </is>
      </c>
      <c r="Q468" t="inlineStr">
        <is>
          <t>LEDGER_OR_CASHFLOW_RECEIVED</t>
        </is>
      </c>
      <c r="R468" t="inlineStr">
        <is>
          <t>SYRM_ACKNOWLEDGED</t>
        </is>
      </c>
      <c r="S468" t="inlineStr">
        <is>
          <t>View details</t>
        </is>
      </c>
    </row>
    <row r="469">
      <c r="A469" t="inlineStr">
        <is>
          <t>968942362772</t>
        </is>
      </c>
      <c r="B469" t="inlineStr">
        <is>
          <t>Yarrow Trust Oslo</t>
        </is>
      </c>
      <c r="C469" t="inlineStr">
        <is>
          <t>968942362772</t>
        </is>
      </c>
      <c r="D469" t="inlineStr">
        <is>
          <t>Mallow Settlement Bank Oslo</t>
        </is>
      </c>
      <c r="E469" t="inlineStr">
        <is>
          <t>EUR</t>
        </is>
      </c>
      <c r="F469" t="inlineStr">
        <is>
          <t>NT26081900463</t>
        </is>
      </c>
      <c r="G469" s="6" t="n">
        <v>46253</v>
      </c>
      <c r="H469" s="7" t="n">
        <v>14957750493.774</v>
      </c>
      <c r="I469" t="inlineStr">
        <is>
          <t>GBP</t>
        </is>
      </c>
      <c r="J469" s="7" t="n">
        <v>12833749923.658</v>
      </c>
      <c r="K469" t="inlineStr">
        <is>
          <t>SYRM</t>
        </is>
      </c>
      <c r="L469" t="inlineStr">
        <is>
          <t>Funding move</t>
        </is>
      </c>
      <c r="M469" s="8" t="n">
        <v>46253.73284722222</v>
      </c>
      <c r="N469" t="inlineStr">
        <is>
          <t>Finley Sinclair</t>
        </is>
      </c>
      <c r="O469" s="8" t="n">
        <v>46253.77451388889</v>
      </c>
      <c r="P469" t="inlineStr">
        <is>
          <t>Oakley Rhodes</t>
        </is>
      </c>
      <c r="Q469" t="inlineStr">
        <is>
          <t>LEDGER_OR_CASHFLOW_RECEIVED</t>
        </is>
      </c>
      <c r="R469" t="inlineStr">
        <is>
          <t>SYRM_ACKNOWLEDGED</t>
        </is>
      </c>
      <c r="S469" t="inlineStr">
        <is>
          <t>View details</t>
        </is>
      </c>
    </row>
    <row r="470">
      <c r="A470" t="inlineStr">
        <is>
          <t>700726936098</t>
        </is>
      </c>
      <c r="B470" t="inlineStr">
        <is>
          <t>Zephyr Settlement Bank Sydney</t>
        </is>
      </c>
      <c r="C470" t="inlineStr">
        <is>
          <t>794226063698</t>
        </is>
      </c>
      <c r="D470" t="inlineStr">
        <is>
          <t>Larkspur Trust Hong Kong</t>
        </is>
      </c>
      <c r="E470" t="inlineStr">
        <is>
          <t>SAR</t>
        </is>
      </c>
      <c r="F470" t="inlineStr">
        <is>
          <t>NT26081900464</t>
        </is>
      </c>
      <c r="G470" s="6" t="n">
        <v>46253</v>
      </c>
      <c r="H470" s="7" t="n">
        <v>2551095.6984</v>
      </c>
      <c r="I470" t="inlineStr">
        <is>
          <t>GBP</t>
        </is>
      </c>
      <c r="J470" s="7" t="n">
        <v>533179.001</v>
      </c>
      <c r="K470" t="inlineStr">
        <is>
          <t>SWIFT</t>
        </is>
      </c>
      <c r="L470" t="inlineStr">
        <is>
          <t>Balance alignment</t>
        </is>
      </c>
      <c r="M470" s="8" t="n">
        <v>46253.60973379629</v>
      </c>
      <c r="N470" t="inlineStr">
        <is>
          <t>Greer Prentice</t>
        </is>
      </c>
      <c r="O470" s="8" t="n">
        <v>46253.64792824074</v>
      </c>
      <c r="P470" t="inlineStr">
        <is>
          <t>Blake Fairweather</t>
        </is>
      </c>
      <c r="Q470" t="inlineStr">
        <is>
          <t>LEDGER_OR_CASHFLOW_RECEIVED</t>
        </is>
      </c>
      <c r="R470" t="inlineStr">
        <is>
          <t>SYRM_ACKNOWLEDGED</t>
        </is>
      </c>
      <c r="S470" t="inlineStr">
        <is>
          <t>View details</t>
        </is>
      </c>
    </row>
    <row r="471">
      <c r="A471" t="inlineStr">
        <is>
          <t>953625291146</t>
        </is>
      </c>
      <c r="B471" t="inlineStr">
        <is>
          <t>Mallow Commercial Bank Mexico City</t>
        </is>
      </c>
      <c r="C471" t="inlineStr">
        <is>
          <t>968942362772</t>
        </is>
      </c>
      <c r="D471" t="inlineStr">
        <is>
          <t>Umberton Commercial Bank Mexico City</t>
        </is>
      </c>
      <c r="E471" t="inlineStr">
        <is>
          <t>USD</t>
        </is>
      </c>
      <c r="F471" t="inlineStr">
        <is>
          <t>NT26081900465</t>
        </is>
      </c>
      <c r="G471" s="6" t="n">
        <v>46253</v>
      </c>
      <c r="H471" s="7" t="n">
        <v>295137.279</v>
      </c>
      <c r="I471" t="inlineStr">
        <is>
          <t>GBP</t>
        </is>
      </c>
      <c r="J471" s="7" t="n">
        <v>231387.627</v>
      </c>
      <c r="K471" t="inlineStr">
        <is>
          <t>SYRM</t>
        </is>
      </c>
      <c r="L471" t="inlineStr">
        <is>
          <t>Balance alignment</t>
        </is>
      </c>
      <c r="M471" s="8" t="n">
        <v>46253.38337962963</v>
      </c>
      <c r="N471" t="inlineStr">
        <is>
          <t>Kai Calloway</t>
        </is>
      </c>
      <c r="O471" s="8" t="n">
        <v>46253.39449074074</v>
      </c>
      <c r="P471" t="inlineStr">
        <is>
          <t>Devon Calloway</t>
        </is>
      </c>
      <c r="Q471" t="inlineStr">
        <is>
          <t>FAILED</t>
        </is>
      </c>
      <c r="R471" t="inlineStr">
        <is>
          <t>SYRM_ACKNOWLEDGED</t>
        </is>
      </c>
      <c r="S471" t="inlineStr">
        <is>
          <t>View details</t>
        </is>
      </c>
    </row>
    <row r="472">
      <c r="A472" t="inlineStr">
        <is>
          <t>468341071172</t>
        </is>
      </c>
      <c r="B472" t="inlineStr">
        <is>
          <t>Granite Trust Frankfurt</t>
        </is>
      </c>
      <c r="C472" t="inlineStr">
        <is>
          <t>150316825069</t>
        </is>
      </c>
      <c r="D472" t="inlineStr">
        <is>
          <t>Zephyr Bank Singapore</t>
        </is>
      </c>
      <c r="E472" t="inlineStr">
        <is>
          <t>EUR</t>
        </is>
      </c>
      <c r="F472" t="inlineStr">
        <is>
          <t>NT26081900466</t>
        </is>
      </c>
      <c r="G472" s="6" t="n">
        <v>46253</v>
      </c>
      <c r="H472" s="7" t="n">
        <v>42369742.053</v>
      </c>
      <c r="I472" t="inlineStr">
        <is>
          <t>GBP</t>
        </is>
      </c>
      <c r="J472" s="7" t="n">
        <v>36353238.681</v>
      </c>
      <c r="K472" t="inlineStr">
        <is>
          <t>SYRM</t>
        </is>
      </c>
      <c r="L472" t="inlineStr">
        <is>
          <t>Intraday top-up</t>
        </is>
      </c>
      <c r="M472" s="8" t="n">
        <v>46253.55952546297</v>
      </c>
      <c r="N472" t="inlineStr">
        <is>
          <t>Quinn Hollis</t>
        </is>
      </c>
      <c r="O472" s="8" t="n">
        <v>46253.60049768518</v>
      </c>
      <c r="P472" t="inlineStr">
        <is>
          <t>Wren Delaney</t>
        </is>
      </c>
      <c r="Q472" t="inlineStr">
        <is>
          <t>LEDGER_OR_CASHFLOW_RECEIVED</t>
        </is>
      </c>
      <c r="R472" t="inlineStr">
        <is>
          <t>SYRM_ACKNOWLEDGED</t>
        </is>
      </c>
      <c r="S472" t="inlineStr">
        <is>
          <t>View details</t>
        </is>
      </c>
    </row>
    <row r="473">
      <c r="A473" t="inlineStr">
        <is>
          <t>150316825069</t>
        </is>
      </c>
      <c r="B473" t="inlineStr">
        <is>
          <t>Bramble Clearing Milan</t>
        </is>
      </c>
      <c r="C473" t="inlineStr">
        <is>
          <t>150316825069</t>
        </is>
      </c>
      <c r="D473" t="inlineStr">
        <is>
          <t>Oriel Commercial Bank Toronto</t>
        </is>
      </c>
      <c r="E473" t="inlineStr">
        <is>
          <t>GBP</t>
        </is>
      </c>
      <c r="F473" t="inlineStr">
        <is>
          <t>NT26081900467</t>
        </is>
      </c>
      <c r="G473" s="6" t="n">
        <v>46253</v>
      </c>
      <c r="H473" s="7" t="n">
        <v>241164779.2398</v>
      </c>
      <c r="I473" t="inlineStr">
        <is>
          <t>GBP</t>
        </is>
      </c>
      <c r="J473" s="7" t="n">
        <v>241164779.24</v>
      </c>
      <c r="K473" t="inlineStr">
        <is>
          <t>SYRM</t>
        </is>
      </c>
      <c r="L473" t="inlineStr">
        <is>
          <t>Intraday top-up</t>
        </is>
      </c>
      <c r="M473" s="8" t="n">
        <v>46253.66534722222</v>
      </c>
      <c r="N473" t="inlineStr">
        <is>
          <t>Ellis Gallagher</t>
        </is>
      </c>
      <c r="O473" s="8" t="n">
        <v>46253.68548611111</v>
      </c>
      <c r="P473" t="inlineStr">
        <is>
          <t>Lennox Ellison</t>
        </is>
      </c>
      <c r="Q473" t="inlineStr">
        <is>
          <t>LEDGER_OR_CASHFLOW_RECEIVED</t>
        </is>
      </c>
      <c r="R473" t="inlineStr">
        <is>
          <t>SYRM_ACKNOWLEDGED</t>
        </is>
      </c>
      <c r="S473" t="inlineStr">
        <is>
          <t>View details</t>
        </is>
      </c>
    </row>
    <row r="474">
      <c r="A474" t="inlineStr">
        <is>
          <t>468341071172</t>
        </is>
      </c>
      <c r="B474" t="inlineStr">
        <is>
          <t>Fernway Clearing Frankfurt</t>
        </is>
      </c>
      <c r="C474" t="inlineStr">
        <is>
          <t>150316825069</t>
        </is>
      </c>
      <c r="D474" t="inlineStr">
        <is>
          <t>Pinehurst Trust Toronto</t>
        </is>
      </c>
      <c r="E474" t="inlineStr">
        <is>
          <t>EUR</t>
        </is>
      </c>
      <c r="F474" t="inlineStr">
        <is>
          <t>NT26081900468</t>
        </is>
      </c>
      <c r="G474" s="6" t="n">
        <v>46253</v>
      </c>
      <c r="H474" s="7" t="n">
        <v>22967039.9808</v>
      </c>
      <c r="I474" t="inlineStr">
        <is>
          <t>GBP</t>
        </is>
      </c>
      <c r="J474" s="7" t="n">
        <v>19705720.304</v>
      </c>
      <c r="K474" t="inlineStr">
        <is>
          <t>SWIFT</t>
        </is>
      </c>
      <c r="L474" t="inlineStr">
        <is>
          <t>Funding move</t>
        </is>
      </c>
      <c r="M474" s="8" t="n">
        <v>46253.60633101852</v>
      </c>
      <c r="N474" t="inlineStr">
        <is>
          <t>Avery Sinclair</t>
        </is>
      </c>
      <c r="O474" s="8" t="n">
        <v>46253.64174768519</v>
      </c>
      <c r="P474" t="inlineStr">
        <is>
          <t>Oakley Fairweather</t>
        </is>
      </c>
      <c r="Q474" t="inlineStr">
        <is>
          <t>CASHFLOW_RECEIVED</t>
        </is>
      </c>
      <c r="R474" t="inlineStr">
        <is>
          <t>SYRM_ACKNOWLEDGED</t>
        </is>
      </c>
      <c r="S474" t="inlineStr">
        <is>
          <t>View details</t>
        </is>
      </c>
    </row>
    <row r="475">
      <c r="A475" t="inlineStr">
        <is>
          <t>171857983160</t>
        </is>
      </c>
      <c r="B475" t="inlineStr">
        <is>
          <t>Zephyr Settlement Bank Sydney</t>
        </is>
      </c>
      <c r="C475" t="inlineStr">
        <is>
          <t>132544340094</t>
        </is>
      </c>
      <c r="D475" t="inlineStr">
        <is>
          <t>Bramble Clearing Milan</t>
        </is>
      </c>
      <c r="E475" t="inlineStr">
        <is>
          <t>AUD</t>
        </is>
      </c>
      <c r="F475" t="inlineStr">
        <is>
          <t>NT26081900469</t>
        </is>
      </c>
      <c r="G475" s="6" t="n">
        <v>46253</v>
      </c>
      <c r="H475" s="7" t="n">
        <v>6697640.354400001</v>
      </c>
      <c r="I475" t="inlineStr">
        <is>
          <t>GBP</t>
        </is>
      </c>
      <c r="J475" s="7" t="n">
        <v>3435889.502</v>
      </c>
      <c r="K475" t="inlineStr">
        <is>
          <t>SYRM</t>
        </is>
      </c>
      <c r="L475" t="inlineStr"/>
      <c r="M475" s="8" t="n">
        <v>46253.58987268519</v>
      </c>
      <c r="N475" t="inlineStr">
        <is>
          <t>Quinn Hollis</t>
        </is>
      </c>
      <c r="O475" s="8" t="n">
        <v>46253.65098379629</v>
      </c>
      <c r="P475" t="inlineStr">
        <is>
          <t>Ellis Delaney</t>
        </is>
      </c>
      <c r="Q475" t="inlineStr">
        <is>
          <t>LEDGER_OR_CASHFLOW_RECEIVED</t>
        </is>
      </c>
      <c r="R475" t="inlineStr">
        <is>
          <t>SYRM_ACKNOWLEDGED</t>
        </is>
      </c>
      <c r="S475" t="inlineStr">
        <is>
          <t>View details</t>
        </is>
      </c>
    </row>
    <row r="476">
      <c r="A476" t="inlineStr">
        <is>
          <t>794226063698</t>
        </is>
      </c>
      <c r="B476" t="inlineStr">
        <is>
          <t>Harrow Bank Milan</t>
        </is>
      </c>
      <c r="C476" t="inlineStr">
        <is>
          <t>150316825069</t>
        </is>
      </c>
      <c r="D476" t="inlineStr">
        <is>
          <t>Fernway Trust Tokyo</t>
        </is>
      </c>
      <c r="E476" t="inlineStr">
        <is>
          <t>AED</t>
        </is>
      </c>
      <c r="F476" t="inlineStr">
        <is>
          <t>NT26081900470</t>
        </is>
      </c>
      <c r="G476" s="6" t="n">
        <v>46253</v>
      </c>
      <c r="H476" s="7" t="n">
        <v>38325574.4778</v>
      </c>
      <c r="I476" t="inlineStr">
        <is>
          <t>GBP</t>
        </is>
      </c>
      <c r="J476" s="7" t="n">
        <v>8163347.364</v>
      </c>
      <c r="K476" t="inlineStr">
        <is>
          <t>SYRM</t>
        </is>
      </c>
      <c r="L476" t="inlineStr">
        <is>
          <t>Intraday top-up</t>
        </is>
      </c>
      <c r="M476" s="8" t="n">
        <v>46253.66956018518</v>
      </c>
      <c r="N476" t="inlineStr">
        <is>
          <t>Greer Prentice</t>
        </is>
      </c>
      <c r="O476" s="8" t="n">
        <v>46253.70289351852</v>
      </c>
      <c r="P476" t="inlineStr">
        <is>
          <t>Harper Hollis</t>
        </is>
      </c>
      <c r="Q476" t="inlineStr">
        <is>
          <t>LEDGER_OR_CASHFLOW_RECEIVED</t>
        </is>
      </c>
      <c r="R476" t="inlineStr">
        <is>
          <t>SYRM_ACKNOWLEDGED</t>
        </is>
      </c>
      <c r="S476" t="inlineStr">
        <is>
          <t>View details</t>
        </is>
      </c>
    </row>
    <row r="477">
      <c r="A477" t="inlineStr">
        <is>
          <t>794226063698</t>
        </is>
      </c>
      <c r="B477" t="inlineStr">
        <is>
          <t>Granite Trust Frankfurt</t>
        </is>
      </c>
      <c r="C477" t="inlineStr">
        <is>
          <t>150316825069</t>
        </is>
      </c>
      <c r="D477" t="inlineStr">
        <is>
          <t>Bramble Clearing Milan</t>
        </is>
      </c>
      <c r="E477" t="inlineStr">
        <is>
          <t>AED</t>
        </is>
      </c>
      <c r="F477" t="inlineStr">
        <is>
          <t>NT26081900471</t>
        </is>
      </c>
      <c r="G477" s="6" t="n">
        <v>46253</v>
      </c>
      <c r="H477" s="7" t="n">
        <v>2891162.8764</v>
      </c>
      <c r="I477" t="inlineStr">
        <is>
          <t>GBP</t>
        </is>
      </c>
      <c r="J477" s="7" t="n">
        <v>615817.693</v>
      </c>
      <c r="K477" t="inlineStr">
        <is>
          <t>SWIFT</t>
        </is>
      </c>
      <c r="L477" t="inlineStr">
        <is>
          <t>Balance alignment</t>
        </is>
      </c>
      <c r="M477" s="8" t="n">
        <v>46253.33666666667</v>
      </c>
      <c r="N477" t="inlineStr">
        <is>
          <t>Wren Fairweather</t>
        </is>
      </c>
      <c r="O477" s="8" t="n">
        <v>46253.36861111111</v>
      </c>
      <c r="P477" t="inlineStr">
        <is>
          <t>Kai Merrick</t>
        </is>
      </c>
      <c r="Q477" t="inlineStr">
        <is>
          <t>LEDGER_OR_CASHFLOW_RECEIVED</t>
        </is>
      </c>
      <c r="R477" t="inlineStr">
        <is>
          <t>SYRM_ACKNOWLEDGED</t>
        </is>
      </c>
      <c r="S477" t="inlineStr">
        <is>
          <t>View details</t>
        </is>
      </c>
    </row>
    <row r="478">
      <c r="A478" t="inlineStr">
        <is>
          <t>953625291146</t>
        </is>
      </c>
      <c r="B478" t="inlineStr">
        <is>
          <t>Juniper Bank Warsaw</t>
        </is>
      </c>
      <c r="C478" t="inlineStr">
        <is>
          <t>150316825069</t>
        </is>
      </c>
      <c r="D478" t="inlineStr">
        <is>
          <t>Nightjar Bank Stockholm</t>
        </is>
      </c>
      <c r="E478" t="inlineStr">
        <is>
          <t>USD</t>
        </is>
      </c>
      <c r="F478" t="inlineStr">
        <is>
          <t>NT26081900472</t>
        </is>
      </c>
      <c r="G478" s="6" t="n">
        <v>46253</v>
      </c>
      <c r="H478" s="7" t="n">
        <v>929813785.5996001</v>
      </c>
      <c r="I478" t="inlineStr">
        <is>
          <t>GBP</t>
        </is>
      </c>
      <c r="J478" s="7" t="n">
        <v>728974007.91</v>
      </c>
      <c r="K478" t="inlineStr">
        <is>
          <t>SWIFT</t>
        </is>
      </c>
      <c r="L478" t="inlineStr">
        <is>
          <t>Intraday top-up</t>
        </is>
      </c>
      <c r="M478" s="8" t="n">
        <v>46253.45263888889</v>
      </c>
      <c r="N478" t="inlineStr">
        <is>
          <t>Oakley Rhodes</t>
        </is>
      </c>
      <c r="O478" s="8" t="n">
        <v>46253.47208333333</v>
      </c>
      <c r="P478" t="inlineStr">
        <is>
          <t>Noor Sinclair</t>
        </is>
      </c>
      <c r="Q478" t="inlineStr">
        <is>
          <t>LEDGER_OR_CASHFLOW_RECEIVED</t>
        </is>
      </c>
      <c r="R478" t="inlineStr">
        <is>
          <t>SYRM_ACKNOWLEDGED</t>
        </is>
      </c>
      <c r="S478" t="inlineStr">
        <is>
          <t>View details</t>
        </is>
      </c>
    </row>
    <row r="479">
      <c r="A479" t="inlineStr">
        <is>
          <t>499062838623</t>
        </is>
      </c>
      <c r="B479" t="inlineStr">
        <is>
          <t>Zephyr Bank Madrid</t>
        </is>
      </c>
      <c r="C479" t="inlineStr">
        <is>
          <t>468341071172</t>
        </is>
      </c>
      <c r="D479" t="inlineStr">
        <is>
          <t>Bramble Commercial Bank Toronto</t>
        </is>
      </c>
      <c r="E479" t="inlineStr">
        <is>
          <t>USD</t>
        </is>
      </c>
      <c r="F479" t="inlineStr">
        <is>
          <t>NT26081900473</t>
        </is>
      </c>
      <c r="G479" s="6" t="n">
        <v>46253</v>
      </c>
      <c r="H479" s="7" t="n">
        <v>533768118.9786</v>
      </c>
      <c r="I479" t="inlineStr">
        <is>
          <t>GBP</t>
        </is>
      </c>
      <c r="J479" s="7" t="n">
        <v>418474205.279</v>
      </c>
      <c r="K479" t="inlineStr">
        <is>
          <t>INTERNAL</t>
        </is>
      </c>
      <c r="L479" t="inlineStr">
        <is>
          <t>Funding move</t>
        </is>
      </c>
      <c r="M479" s="8" t="n">
        <v>46253.71256944445</v>
      </c>
      <c r="N479" t="inlineStr">
        <is>
          <t>Wren Fairweather</t>
        </is>
      </c>
      <c r="O479" s="8" t="n">
        <v>46253.73340277778</v>
      </c>
      <c r="P479" t="inlineStr">
        <is>
          <t>Sawyer Calloway</t>
        </is>
      </c>
      <c r="Q479" t="inlineStr">
        <is>
          <t>LEDGER_OR_CASHFLOW_RECEIVED</t>
        </is>
      </c>
      <c r="R479" t="inlineStr">
        <is>
          <t>SYRM_ACKNOWLEDGED</t>
        </is>
      </c>
      <c r="S479" t="inlineStr">
        <is>
          <t>View details</t>
        </is>
      </c>
    </row>
    <row r="480">
      <c r="A480" t="inlineStr">
        <is>
          <t>171857983160</t>
        </is>
      </c>
      <c r="B480" t="inlineStr">
        <is>
          <t>Cedar Clearing New York</t>
        </is>
      </c>
      <c r="C480" t="inlineStr">
        <is>
          <t>171857983160</t>
        </is>
      </c>
      <c r="D480" t="inlineStr">
        <is>
          <t>Pinehurst Commercial Bank Stockholm</t>
        </is>
      </c>
      <c r="E480" t="inlineStr">
        <is>
          <t>AUD</t>
        </is>
      </c>
      <c r="F480" t="inlineStr">
        <is>
          <t>NT26081900474</t>
        </is>
      </c>
      <c r="G480" s="6" t="n">
        <v>46253</v>
      </c>
      <c r="H480" s="7" t="n">
        <v>153252792.4302</v>
      </c>
      <c r="I480" t="inlineStr">
        <is>
          <t>GBP</t>
        </is>
      </c>
      <c r="J480" s="7" t="n">
        <v>78618682.517</v>
      </c>
      <c r="K480" t="inlineStr">
        <is>
          <t>SYRM</t>
        </is>
      </c>
      <c r="L480" t="inlineStr">
        <is>
          <t>Balance alignment</t>
        </is>
      </c>
      <c r="M480" s="8" t="n">
        <v>46253.39982638889</v>
      </c>
      <c r="N480" t="inlineStr">
        <is>
          <t>Oakley Rhodes</t>
        </is>
      </c>
      <c r="O480" s="8" t="n">
        <v>46253.42413194444</v>
      </c>
      <c r="P480" t="inlineStr">
        <is>
          <t>Oakley Rhodes</t>
        </is>
      </c>
      <c r="Q480" t="inlineStr">
        <is>
          <t>LEDGER_RECEIVED</t>
        </is>
      </c>
      <c r="R480" t="inlineStr">
        <is>
          <t>SYRM_ACKNOWLEDGED</t>
        </is>
      </c>
      <c r="S480" t="inlineStr">
        <is>
          <t>View details</t>
        </is>
      </c>
    </row>
    <row r="481">
      <c r="A481" t="inlineStr">
        <is>
          <t>499062838623</t>
        </is>
      </c>
      <c r="B481" t="inlineStr">
        <is>
          <t>Wrenfield Commercial Bank Oslo</t>
        </is>
      </c>
      <c r="C481" t="inlineStr">
        <is>
          <t>150316825069</t>
        </is>
      </c>
      <c r="D481" t="inlineStr">
        <is>
          <t>Larkspur Clearing New York</t>
        </is>
      </c>
      <c r="E481" t="inlineStr">
        <is>
          <t>USD</t>
        </is>
      </c>
      <c r="F481" t="inlineStr">
        <is>
          <t>NT26081900475</t>
        </is>
      </c>
      <c r="G481" s="6" t="n">
        <v>46253</v>
      </c>
      <c r="H481" s="7" t="n">
        <v>500069637.4248</v>
      </c>
      <c r="I481" t="inlineStr">
        <is>
          <t>GBP</t>
        </is>
      </c>
      <c r="J481" s="7" t="n">
        <v>392054595.741</v>
      </c>
      <c r="K481" t="inlineStr">
        <is>
          <t>SYRM</t>
        </is>
      </c>
      <c r="L481" t="inlineStr">
        <is>
          <t>Intraday top-up</t>
        </is>
      </c>
      <c r="M481" s="8" t="n">
        <v>46253.48917824074</v>
      </c>
      <c r="N481" t="inlineStr">
        <is>
          <t>Kai Calloway</t>
        </is>
      </c>
      <c r="O481" s="8" t="n">
        <v>46253.50167824074</v>
      </c>
      <c r="P481" t="inlineStr">
        <is>
          <t>Sawyer Calloway</t>
        </is>
      </c>
      <c r="Q481" t="inlineStr">
        <is>
          <t>LEDGER_OR_CASHFLOW_RECEIVED</t>
        </is>
      </c>
      <c r="R481" t="inlineStr">
        <is>
          <t>SYRM_ACKNOWLEDGED</t>
        </is>
      </c>
      <c r="S481" t="inlineStr">
        <is>
          <t>View details</t>
        </is>
      </c>
    </row>
    <row r="482">
      <c r="A482" t="inlineStr">
        <is>
          <t>284925023085</t>
        </is>
      </c>
      <c r="B482" t="inlineStr">
        <is>
          <t>Zephyr Settlement Bank Sydney</t>
        </is>
      </c>
      <c r="C482" t="inlineStr">
        <is>
          <t>898317028833</t>
        </is>
      </c>
      <c r="D482" t="inlineStr">
        <is>
          <t>Zephyr Commercial Bank Oslo</t>
        </is>
      </c>
      <c r="E482" t="inlineStr">
        <is>
          <t>MXN</t>
        </is>
      </c>
      <c r="F482" t="inlineStr">
        <is>
          <t>NT26081900476</t>
        </is>
      </c>
      <c r="G482" s="6" t="n">
        <v>46253</v>
      </c>
      <c r="H482" s="7" t="n">
        <v>958913259.4242001</v>
      </c>
      <c r="I482" t="inlineStr">
        <is>
          <t>GBP</t>
        </is>
      </c>
      <c r="J482" s="7" t="n">
        <v>41041487.503</v>
      </c>
      <c r="K482" t="inlineStr">
        <is>
          <t>SWIFT</t>
        </is>
      </c>
      <c r="L482" t="inlineStr"/>
      <c r="M482" s="8" t="n">
        <v>46253.8375</v>
      </c>
      <c r="N482" t="inlineStr">
        <is>
          <t>Kai Calloway</t>
        </is>
      </c>
      <c r="O482" s="8" t="n">
        <v>46253.86805555555</v>
      </c>
      <c r="P482" t="inlineStr">
        <is>
          <t>Kai Novak</t>
        </is>
      </c>
      <c r="Q482" t="inlineStr">
        <is>
          <t>LEDGER_OR_CASHFLOW_RECEIVED</t>
        </is>
      </c>
      <c r="R482" t="inlineStr">
        <is>
          <t>SYRM_ACKNOWLEDGED</t>
        </is>
      </c>
      <c r="S482" t="inlineStr">
        <is>
          <t>View details</t>
        </is>
      </c>
    </row>
    <row r="483">
      <c r="A483" t="inlineStr">
        <is>
          <t>150316825069</t>
        </is>
      </c>
      <c r="B483" t="inlineStr">
        <is>
          <t>Nightjar Clearing Dublin</t>
        </is>
      </c>
      <c r="C483" t="inlineStr">
        <is>
          <t>794226063698</t>
        </is>
      </c>
      <c r="D483" t="inlineStr">
        <is>
          <t>Juniper Clearing Hong Kong</t>
        </is>
      </c>
      <c r="E483" t="inlineStr">
        <is>
          <t>GBP</t>
        </is>
      </c>
      <c r="F483" t="inlineStr">
        <is>
          <t>NT26081900477</t>
        </is>
      </c>
      <c r="G483" s="6" t="n">
        <v>46253</v>
      </c>
      <c r="H483" s="7" t="n">
        <v>22321970.8794</v>
      </c>
      <c r="I483" t="inlineStr">
        <is>
          <t>GBP</t>
        </is>
      </c>
      <c r="J483" s="7" t="n">
        <v>22321970.879</v>
      </c>
      <c r="K483" t="inlineStr">
        <is>
          <t>SYRM</t>
        </is>
      </c>
      <c r="L483" t="inlineStr">
        <is>
          <t>Balance alignment</t>
        </is>
      </c>
      <c r="M483" s="8" t="n">
        <v>46253.42946759259</v>
      </c>
      <c r="N483" t="inlineStr">
        <is>
          <t>Lennox Ellison</t>
        </is>
      </c>
      <c r="O483" s="8" t="n">
        <v>46253.48155092593</v>
      </c>
      <c r="P483" t="inlineStr">
        <is>
          <t>Quinn Brookes</t>
        </is>
      </c>
      <c r="Q483" t="inlineStr">
        <is>
          <t>LEDGER_OR_CASHFLOW_RECEIVED</t>
        </is>
      </c>
      <c r="R483" t="inlineStr">
        <is>
          <t>SYRM_ACKNOWLEDGED</t>
        </is>
      </c>
      <c r="S483" t="inlineStr">
        <is>
          <t>View details</t>
        </is>
      </c>
    </row>
    <row r="484">
      <c r="A484" t="inlineStr">
        <is>
          <t>824840705580</t>
        </is>
      </c>
      <c r="B484" t="inlineStr">
        <is>
          <t>Wrenfield Bank Paris</t>
        </is>
      </c>
      <c r="C484" t="inlineStr">
        <is>
          <t>953625291146</t>
        </is>
      </c>
      <c r="D484" t="inlineStr">
        <is>
          <t>Fernway Trust Tokyo</t>
        </is>
      </c>
      <c r="E484" t="inlineStr">
        <is>
          <t>EUR</t>
        </is>
      </c>
      <c r="F484" t="inlineStr">
        <is>
          <t>NT26081900478</t>
        </is>
      </c>
      <c r="G484" s="6" t="n">
        <v>46253</v>
      </c>
      <c r="H484" s="7" t="n">
        <v>15952601.9286</v>
      </c>
      <c r="I484" t="inlineStr">
        <is>
          <t>GBP</t>
        </is>
      </c>
      <c r="J484" s="7" t="n">
        <v>13687332.455</v>
      </c>
      <c r="K484" t="inlineStr">
        <is>
          <t>SYRM</t>
        </is>
      </c>
      <c r="L484" t="inlineStr">
        <is>
          <t>Intraday top-up</t>
        </is>
      </c>
      <c r="M484" s="8" t="n">
        <v>46253.52732638889</v>
      </c>
      <c r="N484" t="inlineStr">
        <is>
          <t>Finley Jennings</t>
        </is>
      </c>
      <c r="O484" s="8" t="n">
        <v>46253.54121527778</v>
      </c>
      <c r="P484" t="inlineStr">
        <is>
          <t>Avery Sinclair</t>
        </is>
      </c>
      <c r="Q484" t="inlineStr">
        <is>
          <t>LEDGER_OR_CASHFLOW_RECEIVED</t>
        </is>
      </c>
      <c r="R484" t="inlineStr">
        <is>
          <t>SYRM_ACKNOWLEDGED</t>
        </is>
      </c>
      <c r="S484" t="inlineStr">
        <is>
          <t>View details</t>
        </is>
      </c>
    </row>
    <row r="485">
      <c r="A485" t="inlineStr">
        <is>
          <t>468341071172</t>
        </is>
      </c>
      <c r="B485" t="inlineStr">
        <is>
          <t>Larkspur Trust Hong Kong</t>
        </is>
      </c>
      <c r="C485" t="inlineStr">
        <is>
          <t>824840705580</t>
        </is>
      </c>
      <c r="D485" t="inlineStr">
        <is>
          <t>Wrenfield Clearing Mexico City</t>
        </is>
      </c>
      <c r="E485" t="inlineStr">
        <is>
          <t>EUR</t>
        </is>
      </c>
      <c r="F485" t="inlineStr">
        <is>
          <t>NT26081900479</t>
        </is>
      </c>
      <c r="G485" s="6" t="n">
        <v>46253</v>
      </c>
      <c r="H485" s="7" t="n">
        <v>66934379.4768</v>
      </c>
      <c r="I485" t="inlineStr">
        <is>
          <t>GBP</t>
        </is>
      </c>
      <c r="J485" s="7" t="n">
        <v>57429697.591</v>
      </c>
      <c r="K485" t="inlineStr">
        <is>
          <t>SYRM</t>
        </is>
      </c>
      <c r="L485" t="inlineStr">
        <is>
          <t>Balance alignment</t>
        </is>
      </c>
      <c r="M485" s="8" t="n">
        <v>46253.29578703704</v>
      </c>
      <c r="N485" t="inlineStr">
        <is>
          <t>Harper Calloway</t>
        </is>
      </c>
      <c r="O485" s="8" t="n">
        <v>46253.30412037037</v>
      </c>
      <c r="P485" t="inlineStr">
        <is>
          <t>Blake Fairweather</t>
        </is>
      </c>
      <c r="Q485" t="inlineStr">
        <is>
          <t>LEDGER_OR_CASHFLOW_RECEIVED</t>
        </is>
      </c>
      <c r="R485" t="inlineStr">
        <is>
          <t>SYRM_ACKNOWLEDGED</t>
        </is>
      </c>
      <c r="S485" t="inlineStr">
        <is>
          <t>View details</t>
        </is>
      </c>
    </row>
    <row r="486">
      <c r="A486" t="inlineStr">
        <is>
          <t>621381112674</t>
        </is>
      </c>
      <c r="B486" t="inlineStr">
        <is>
          <t>Fernway Trust Tokyo</t>
        </is>
      </c>
      <c r="C486" t="inlineStr">
        <is>
          <t>621381112674</t>
        </is>
      </c>
      <c r="D486" t="inlineStr">
        <is>
          <t>Pinehurst Commercial Bank Sydney</t>
        </is>
      </c>
      <c r="E486" t="inlineStr">
        <is>
          <t>PLN</t>
        </is>
      </c>
      <c r="F486" t="inlineStr">
        <is>
          <t>NT26081900480</t>
        </is>
      </c>
      <c r="G486" s="6" t="n">
        <v>46253</v>
      </c>
      <c r="H486" s="7" t="n">
        <v>46468531.449</v>
      </c>
      <c r="I486" t="inlineStr">
        <is>
          <t>GBP</t>
        </is>
      </c>
      <c r="J486" s="7" t="n">
        <v>9200769.227</v>
      </c>
      <c r="K486" t="inlineStr">
        <is>
          <t>SWIFT</t>
        </is>
      </c>
      <c r="L486" t="inlineStr">
        <is>
          <t>Balance alignment</t>
        </is>
      </c>
      <c r="M486" s="8" t="n">
        <v>46253.56502314815</v>
      </c>
      <c r="N486" t="inlineStr">
        <is>
          <t>Avery Prentice</t>
        </is>
      </c>
      <c r="O486" s="8" t="n">
        <v>46253.5830787037</v>
      </c>
      <c r="P486" t="inlineStr">
        <is>
          <t>Marlow Rhodes</t>
        </is>
      </c>
      <c r="Q486" t="inlineStr">
        <is>
          <t>LEDGER_OR_CASHFLOW_RECEIVED</t>
        </is>
      </c>
      <c r="R486" t="inlineStr">
        <is>
          <t>SYRM_ACKNOWLEDGED</t>
        </is>
      </c>
      <c r="S486" t="inlineStr">
        <is>
          <t>View details</t>
        </is>
      </c>
    </row>
    <row r="487">
      <c r="A487" t="inlineStr">
        <is>
          <t>359365220160</t>
        </is>
      </c>
      <c r="B487" t="inlineStr">
        <is>
          <t>Yarrow Settlement Bank Oslo</t>
        </is>
      </c>
      <c r="C487" t="inlineStr">
        <is>
          <t>150316825069</t>
        </is>
      </c>
      <c r="D487" t="inlineStr">
        <is>
          <t>Fernway Clearing Frankfurt</t>
        </is>
      </c>
      <c r="E487" t="inlineStr">
        <is>
          <t>EUR</t>
        </is>
      </c>
      <c r="F487" t="inlineStr">
        <is>
          <t>NT26081900481</t>
        </is>
      </c>
      <c r="G487" s="6" t="n">
        <v>46253</v>
      </c>
      <c r="H487" s="7" t="n">
        <v>47578660.173</v>
      </c>
      <c r="I487" t="inlineStr">
        <is>
          <t>GBP</t>
        </is>
      </c>
      <c r="J487" s="7" t="n">
        <v>40822490.428</v>
      </c>
      <c r="K487" t="inlineStr">
        <is>
          <t>SYRM</t>
        </is>
      </c>
      <c r="L487" t="inlineStr">
        <is>
          <t>Liquidity sweep</t>
        </is>
      </c>
      <c r="M487" s="8" t="n">
        <v>46253.65752314815</v>
      </c>
      <c r="N487" t="inlineStr">
        <is>
          <t>Kai Calloway</t>
        </is>
      </c>
      <c r="O487" s="8" t="n">
        <v>46253.66724537037</v>
      </c>
      <c r="P487" t="inlineStr">
        <is>
          <t>Kai Merrick</t>
        </is>
      </c>
      <c r="Q487" t="inlineStr">
        <is>
          <t>LEDGER_OR_CASHFLOW_RECEIVED</t>
        </is>
      </c>
      <c r="R487" t="inlineStr">
        <is>
          <t>SYRM_REJECTED</t>
        </is>
      </c>
      <c r="S487" t="inlineStr">
        <is>
          <t>View details</t>
        </is>
      </c>
    </row>
    <row r="488">
      <c r="A488" t="inlineStr">
        <is>
          <t>794226063698</t>
        </is>
      </c>
      <c r="B488" t="inlineStr">
        <is>
          <t>Fernway Trust Tokyo</t>
        </is>
      </c>
      <c r="C488" t="inlineStr">
        <is>
          <t>499062838623</t>
        </is>
      </c>
      <c r="D488" t="inlineStr">
        <is>
          <t>Yarrow Settlement Bank Oslo</t>
        </is>
      </c>
      <c r="E488" t="inlineStr">
        <is>
          <t>AED</t>
        </is>
      </c>
      <c r="F488" t="inlineStr">
        <is>
          <t>NT26081900482</t>
        </is>
      </c>
      <c r="G488" s="6" t="n">
        <v>46253</v>
      </c>
      <c r="H488" s="7" t="n">
        <v>12409174.044</v>
      </c>
      <c r="I488" t="inlineStr">
        <is>
          <t>GBP</t>
        </is>
      </c>
      <c r="J488" s="7" t="n">
        <v>2643154.071</v>
      </c>
      <c r="K488" t="inlineStr">
        <is>
          <t>SYRM</t>
        </is>
      </c>
      <c r="L488" t="inlineStr"/>
      <c r="M488" s="8" t="n">
        <v>46253.32925925926</v>
      </c>
      <c r="N488" t="inlineStr">
        <is>
          <t>Wren Fairweather</t>
        </is>
      </c>
      <c r="O488" s="8" t="n">
        <v>46253.35912037037</v>
      </c>
      <c r="P488" t="inlineStr">
        <is>
          <t>Quinn Hollis</t>
        </is>
      </c>
      <c r="Q488" t="inlineStr">
        <is>
          <t>LEDGER_OR_CASHFLOW_RECEIVED</t>
        </is>
      </c>
      <c r="R488" t="inlineStr">
        <is>
          <t>SYRM_PENDING</t>
        </is>
      </c>
      <c r="S488" t="inlineStr">
        <is>
          <t>View details</t>
        </is>
      </c>
    </row>
    <row r="489">
      <c r="A489" t="inlineStr">
        <is>
          <t>150316825069</t>
        </is>
      </c>
      <c r="B489" t="inlineStr">
        <is>
          <t>Zephyr Bank Singapore</t>
        </is>
      </c>
      <c r="C489" t="inlineStr">
        <is>
          <t>794226063698</t>
        </is>
      </c>
      <c r="D489" t="inlineStr">
        <is>
          <t>Ironbark Clearing Frankfurt</t>
        </is>
      </c>
      <c r="E489" t="inlineStr">
        <is>
          <t>GBP</t>
        </is>
      </c>
      <c r="F489" t="inlineStr">
        <is>
          <t>NT26081900483</t>
        </is>
      </c>
      <c r="G489" s="6" t="n">
        <v>46253</v>
      </c>
      <c r="H489" s="7" t="n">
        <v>10011097.3608</v>
      </c>
      <c r="I489" t="inlineStr">
        <is>
          <t>GBP</t>
        </is>
      </c>
      <c r="J489" s="7" t="n">
        <v>10011097.361</v>
      </c>
      <c r="K489" t="inlineStr">
        <is>
          <t>SYRM</t>
        </is>
      </c>
      <c r="L489" t="inlineStr"/>
      <c r="M489" s="8" t="n">
        <v>46253.72296296297</v>
      </c>
      <c r="N489" t="inlineStr">
        <is>
          <t>Wren Hollis</t>
        </is>
      </c>
      <c r="O489" s="8" t="n">
        <v>46253.73199074074</v>
      </c>
      <c r="P489" t="inlineStr">
        <is>
          <t>Quinn Hollis</t>
        </is>
      </c>
      <c r="Q489" t="inlineStr">
        <is>
          <t>LEDGER_OR_CASHFLOW_RECEIVED</t>
        </is>
      </c>
      <c r="R489" t="inlineStr">
        <is>
          <t>SYRM_ACKNOWLEDGED</t>
        </is>
      </c>
      <c r="S489" t="inlineStr">
        <is>
          <t>View details</t>
        </is>
      </c>
    </row>
    <row r="490">
      <c r="A490" t="inlineStr">
        <is>
          <t>953625291146</t>
        </is>
      </c>
      <c r="B490" t="inlineStr">
        <is>
          <t>Nightjar Clearing Dublin</t>
        </is>
      </c>
      <c r="C490" t="inlineStr">
        <is>
          <t>468341071172</t>
        </is>
      </c>
      <c r="D490" t="inlineStr">
        <is>
          <t>Kestrel Bank Frankfurt</t>
        </is>
      </c>
      <c r="E490" t="inlineStr">
        <is>
          <t>USD</t>
        </is>
      </c>
      <c r="F490" t="inlineStr">
        <is>
          <t>NT26081900484</t>
        </is>
      </c>
      <c r="G490" s="6" t="n">
        <v>46253</v>
      </c>
      <c r="H490" s="7" t="n">
        <v>25179.9444</v>
      </c>
      <c r="I490" t="inlineStr">
        <is>
          <t>GBP</t>
        </is>
      </c>
      <c r="J490" s="7" t="n">
        <v>19741.076</v>
      </c>
      <c r="K490" t="inlineStr">
        <is>
          <t>SYRM</t>
        </is>
      </c>
      <c r="L490" t="inlineStr">
        <is>
          <t>Balance alignment</t>
        </is>
      </c>
      <c r="M490" s="8" t="n">
        <v>46253.32668981481</v>
      </c>
      <c r="N490" t="inlineStr">
        <is>
          <t>Marlow Sinclair</t>
        </is>
      </c>
      <c r="O490" s="8" t="n">
        <v>46253.33849537037</v>
      </c>
      <c r="P490" t="inlineStr">
        <is>
          <t>Oakley Novak</t>
        </is>
      </c>
      <c r="Q490" t="inlineStr">
        <is>
          <t>LEDGER_OR_CASHFLOW_RECEIVED</t>
        </is>
      </c>
      <c r="R490" t="inlineStr">
        <is>
          <t>SYRM_ACKNOWLEDGED</t>
        </is>
      </c>
      <c r="S490" t="inlineStr">
        <is>
          <t>View details</t>
        </is>
      </c>
    </row>
    <row r="491">
      <c r="A491" t="inlineStr">
        <is>
          <t>150316825069</t>
        </is>
      </c>
      <c r="B491" t="inlineStr">
        <is>
          <t>Bramble Settlement Bank Hong Kong</t>
        </is>
      </c>
      <c r="C491" t="inlineStr">
        <is>
          <t>621381112674</t>
        </is>
      </c>
      <c r="D491" t="inlineStr">
        <is>
          <t>Umberton Commercial Bank Mexico City</t>
        </is>
      </c>
      <c r="E491" t="inlineStr">
        <is>
          <t>GBP</t>
        </is>
      </c>
      <c r="F491" t="inlineStr">
        <is>
          <t>NT26081900485</t>
        </is>
      </c>
      <c r="G491" s="6" t="n">
        <v>46253</v>
      </c>
      <c r="H491" s="7" t="n">
        <v>12473659.4094</v>
      </c>
      <c r="I491" t="inlineStr">
        <is>
          <t>GBP</t>
        </is>
      </c>
      <c r="J491" s="7" t="n">
        <v>12473659.409</v>
      </c>
      <c r="K491" t="inlineStr">
        <is>
          <t>SWIFT</t>
        </is>
      </c>
      <c r="L491" t="inlineStr">
        <is>
          <t>Funding move</t>
        </is>
      </c>
      <c r="M491" s="8" t="n">
        <v>46253.74875</v>
      </c>
      <c r="N491" t="inlineStr">
        <is>
          <t>Oakley Rhodes</t>
        </is>
      </c>
      <c r="O491" s="8" t="n">
        <v>46253.76819444444</v>
      </c>
      <c r="P491" t="inlineStr">
        <is>
          <t>Oakley Novak</t>
        </is>
      </c>
      <c r="Q491" t="inlineStr">
        <is>
          <t>LEDGER_OR_CASHFLOW_RECEIVED</t>
        </is>
      </c>
      <c r="R491" t="inlineStr">
        <is>
          <t>SYRM_ACKNOWLEDGED</t>
        </is>
      </c>
      <c r="S491" t="inlineStr">
        <is>
          <t>View details</t>
        </is>
      </c>
    </row>
    <row r="492">
      <c r="A492" t="inlineStr">
        <is>
          <t>150316825069</t>
        </is>
      </c>
      <c r="B492" t="inlineStr">
        <is>
          <t>Ironbark Clearing Frankfurt</t>
        </is>
      </c>
      <c r="C492" t="inlineStr">
        <is>
          <t>150316825069</t>
        </is>
      </c>
      <c r="D492" t="inlineStr">
        <is>
          <t>Granite Commercial Bank Milan</t>
        </is>
      </c>
      <c r="E492" t="inlineStr">
        <is>
          <t>GBP</t>
        </is>
      </c>
      <c r="F492" t="inlineStr">
        <is>
          <t>NT26081900486</t>
        </is>
      </c>
      <c r="G492" s="6" t="n">
        <v>46253</v>
      </c>
      <c r="H492" s="7" t="n">
        <v>9156884.723999999</v>
      </c>
      <c r="I492" t="inlineStr">
        <is>
          <t>GBP</t>
        </is>
      </c>
      <c r="J492" s="7" t="n">
        <v>9156884.723999999</v>
      </c>
      <c r="K492" t="inlineStr">
        <is>
          <t>SYRM</t>
        </is>
      </c>
      <c r="L492" t="inlineStr">
        <is>
          <t>Intraday top-up</t>
        </is>
      </c>
      <c r="M492" s="8" t="n">
        <v>46253.51747685186</v>
      </c>
      <c r="N492" t="inlineStr">
        <is>
          <t>Kai Calloway</t>
        </is>
      </c>
      <c r="O492" s="8" t="n">
        <v>46253.57928240741</v>
      </c>
      <c r="P492" t="inlineStr">
        <is>
          <t>Quinn Lindqvist</t>
        </is>
      </c>
      <c r="Q492" t="inlineStr">
        <is>
          <t>LEDGER_OR_CASHFLOW_RECEIVED</t>
        </is>
      </c>
      <c r="R492" t="inlineStr">
        <is>
          <t>SYRM_ACKNOWLEDGED</t>
        </is>
      </c>
      <c r="S492" t="inlineStr">
        <is>
          <t>View details</t>
        </is>
      </c>
    </row>
    <row r="493">
      <c r="A493" t="inlineStr">
        <is>
          <t>794226063698</t>
        </is>
      </c>
      <c r="B493" t="inlineStr">
        <is>
          <t>Wrenfield Clearing Frankfurt</t>
        </is>
      </c>
      <c r="C493" t="inlineStr">
        <is>
          <t>150316825069</t>
        </is>
      </c>
      <c r="D493" t="inlineStr">
        <is>
          <t>Nightjar Bank Stockholm</t>
        </is>
      </c>
      <c r="E493" t="inlineStr">
        <is>
          <t>AED</t>
        </is>
      </c>
      <c r="F493" t="inlineStr">
        <is>
          <t>NT26081900487</t>
        </is>
      </c>
      <c r="G493" s="6" t="n">
        <v>46253</v>
      </c>
      <c r="H493" s="7" t="n">
        <v>434251541.115</v>
      </c>
      <c r="I493" t="inlineStr">
        <is>
          <t>GBP</t>
        </is>
      </c>
      <c r="J493" s="7" t="n">
        <v>92495578.257</v>
      </c>
      <c r="K493" t="inlineStr">
        <is>
          <t>SWIFT</t>
        </is>
      </c>
      <c r="L493" t="inlineStr">
        <is>
          <t>Intraday top-up</t>
        </is>
      </c>
      <c r="M493" s="8" t="n">
        <v>46253.52054398148</v>
      </c>
      <c r="N493" t="inlineStr">
        <is>
          <t>Quinn Osgood</t>
        </is>
      </c>
      <c r="O493" s="8" t="n">
        <v>46253.53234953704</v>
      </c>
      <c r="P493" t="inlineStr">
        <is>
          <t>Wren Fairweather</t>
        </is>
      </c>
      <c r="Q493" t="inlineStr">
        <is>
          <t>LEDGER_OR_CASHFLOW_RECEIVED</t>
        </is>
      </c>
      <c r="R493" t="inlineStr">
        <is>
          <t>SYRM_ACKNOWLEDGED</t>
        </is>
      </c>
      <c r="S493" t="inlineStr">
        <is>
          <t>View details</t>
        </is>
      </c>
    </row>
    <row r="494">
      <c r="A494" t="inlineStr">
        <is>
          <t>794226063698</t>
        </is>
      </c>
      <c r="B494" t="inlineStr">
        <is>
          <t>Larkspur Clearing New York</t>
        </is>
      </c>
      <c r="C494" t="inlineStr">
        <is>
          <t>726928343448</t>
        </is>
      </c>
      <c r="D494" t="inlineStr">
        <is>
          <t>Wrenfield Bank Paris</t>
        </is>
      </c>
      <c r="E494" t="inlineStr">
        <is>
          <t>AED</t>
        </is>
      </c>
      <c r="F494" t="inlineStr">
        <is>
          <t>NT26081900488</t>
        </is>
      </c>
      <c r="G494" s="6" t="n">
        <v>46253</v>
      </c>
      <c r="H494" s="7" t="n">
        <v>21316824.6426</v>
      </c>
      <c r="I494" t="inlineStr">
        <is>
          <t>GBP</t>
        </is>
      </c>
      <c r="J494" s="7" t="n">
        <v>4540483.649</v>
      </c>
      <c r="K494" t="inlineStr">
        <is>
          <t>SYRM</t>
        </is>
      </c>
      <c r="L494" t="inlineStr">
        <is>
          <t>Funding move</t>
        </is>
      </c>
      <c r="M494" s="8" t="n">
        <v>46253.31685185185</v>
      </c>
      <c r="N494" t="inlineStr">
        <is>
          <t>Greer Prentice</t>
        </is>
      </c>
      <c r="O494" s="8" t="n">
        <v>46253.32518518518</v>
      </c>
      <c r="P494" t="inlineStr">
        <is>
          <t>Harper Calloway</t>
        </is>
      </c>
      <c r="Q494" t="inlineStr">
        <is>
          <t>LEDGER_OR_CASHFLOW_RECEIVED</t>
        </is>
      </c>
      <c r="R494" t="inlineStr">
        <is>
          <t>SYRM_ACKNOWLEDGED</t>
        </is>
      </c>
      <c r="S494" t="inlineStr">
        <is>
          <t>View details</t>
        </is>
      </c>
    </row>
    <row r="495">
      <c r="A495" t="inlineStr">
        <is>
          <t>898317028833</t>
        </is>
      </c>
      <c r="B495" t="inlineStr">
        <is>
          <t>Yarrow Trust Oslo</t>
        </is>
      </c>
      <c r="C495" t="inlineStr">
        <is>
          <t>150316825069</t>
        </is>
      </c>
      <c r="D495" t="inlineStr">
        <is>
          <t>Nightjar Bank Stockholm</t>
        </is>
      </c>
      <c r="E495" t="inlineStr">
        <is>
          <t>GBP</t>
        </is>
      </c>
      <c r="F495" t="inlineStr">
        <is>
          <t>NT26081900489</t>
        </is>
      </c>
      <c r="G495" s="6" t="n">
        <v>46253</v>
      </c>
      <c r="H495" s="7" t="n">
        <v>4287.8052</v>
      </c>
      <c r="I495" t="inlineStr">
        <is>
          <t>GBP</t>
        </is>
      </c>
      <c r="J495" s="7" t="n">
        <v>4287.805</v>
      </c>
      <c r="K495" t="inlineStr">
        <is>
          <t>SYRM</t>
        </is>
      </c>
      <c r="L495" t="inlineStr">
        <is>
          <t>Liquidity sweep</t>
        </is>
      </c>
      <c r="M495" s="8" t="n">
        <v>46253.65402777777</v>
      </c>
      <c r="N495" t="inlineStr">
        <is>
          <t>Greer Prentice</t>
        </is>
      </c>
      <c r="O495" s="8" t="n">
        <v>46253.65958333333</v>
      </c>
      <c r="P495" t="inlineStr">
        <is>
          <t>Tatum Ashford</t>
        </is>
      </c>
      <c r="Q495" t="inlineStr">
        <is>
          <t>LEDGER_OR_CASHFLOW_RECEIVED</t>
        </is>
      </c>
      <c r="R495" t="inlineStr">
        <is>
          <t>SYRM_ACKNOWLEDGED</t>
        </is>
      </c>
      <c r="S495" t="inlineStr">
        <is>
          <t>View details</t>
        </is>
      </c>
    </row>
    <row r="496">
      <c r="A496" t="inlineStr">
        <is>
          <t>953625291146</t>
        </is>
      </c>
      <c r="B496" t="inlineStr">
        <is>
          <t>Larkspur Clearing New York</t>
        </is>
      </c>
      <c r="C496" t="inlineStr">
        <is>
          <t>621381112674</t>
        </is>
      </c>
      <c r="D496" t="inlineStr">
        <is>
          <t>Pinehurst Trust Toronto</t>
        </is>
      </c>
      <c r="E496" t="inlineStr">
        <is>
          <t>USD</t>
        </is>
      </c>
      <c r="F496" t="inlineStr">
        <is>
          <t>NT26081900490</t>
        </is>
      </c>
      <c r="G496" s="6" t="n">
        <v>46253</v>
      </c>
      <c r="H496" s="7" t="n">
        <v>781684.1459999999</v>
      </c>
      <c r="I496" t="inlineStr">
        <is>
          <t>GBP</t>
        </is>
      </c>
      <c r="J496" s="7" t="n">
        <v>612840.37</v>
      </c>
      <c r="K496" t="inlineStr">
        <is>
          <t>SYRM</t>
        </is>
      </c>
      <c r="L496" t="inlineStr">
        <is>
          <t>Intraday top-up</t>
        </is>
      </c>
      <c r="M496" s="8" t="n">
        <v>46253.44311342593</v>
      </c>
      <c r="N496" t="inlineStr">
        <is>
          <t>Marlow Rhodes</t>
        </is>
      </c>
      <c r="O496" s="8" t="n">
        <v>46253.47436342593</v>
      </c>
      <c r="P496" t="inlineStr">
        <is>
          <t>Wren Delaney</t>
        </is>
      </c>
      <c r="Q496" t="inlineStr">
        <is>
          <t>LEDGER_OR_CASHFLOW_RECEIVED</t>
        </is>
      </c>
      <c r="R496" t="inlineStr">
        <is>
          <t>SYRM_ACKNOWLEDGED</t>
        </is>
      </c>
      <c r="S496" t="inlineStr">
        <is>
          <t>View details</t>
        </is>
      </c>
    </row>
    <row r="497">
      <c r="A497" t="inlineStr">
        <is>
          <t>171857983160</t>
        </is>
      </c>
      <c r="B497" t="inlineStr">
        <is>
          <t>Zephyr Commercial Bank Oslo</t>
        </is>
      </c>
      <c r="C497" t="inlineStr">
        <is>
          <t>468341071172</t>
        </is>
      </c>
      <c r="D497" t="inlineStr">
        <is>
          <t>Zephyr Settlement Bank New York</t>
        </is>
      </c>
      <c r="E497" t="inlineStr">
        <is>
          <t>AUD</t>
        </is>
      </c>
      <c r="F497" t="inlineStr">
        <is>
          <t>NT26081900491</t>
        </is>
      </c>
      <c r="G497" s="6" t="n">
        <v>46253</v>
      </c>
      <c r="H497" s="7" t="n">
        <v>124081426.548</v>
      </c>
      <c r="I497" t="inlineStr">
        <is>
          <t>GBP</t>
        </is>
      </c>
      <c r="J497" s="7" t="n">
        <v>63653771.819</v>
      </c>
      <c r="K497" t="inlineStr">
        <is>
          <t>SYRM</t>
        </is>
      </c>
      <c r="L497" t="inlineStr"/>
      <c r="M497" s="8" t="n">
        <v>46253.55401620371</v>
      </c>
      <c r="N497" t="inlineStr">
        <is>
          <t>Noor Brookes</t>
        </is>
      </c>
      <c r="O497" s="8" t="n">
        <v>46253.61304398148</v>
      </c>
      <c r="P497" t="inlineStr">
        <is>
          <t>Noor Sinclair</t>
        </is>
      </c>
      <c r="Q497" t="inlineStr">
        <is>
          <t>LEDGER_OR_CASHFLOW_RECEIVED</t>
        </is>
      </c>
      <c r="R497" t="inlineStr">
        <is>
          <t>SYRM_ACKNOWLEDGED</t>
        </is>
      </c>
      <c r="S497" t="inlineStr">
        <is>
          <t>View details</t>
        </is>
      </c>
    </row>
    <row r="498">
      <c r="A498" t="inlineStr">
        <is>
          <t>284925023085</t>
        </is>
      </c>
      <c r="B498" t="inlineStr">
        <is>
          <t>Pinehurst Commercial Bank Stockholm</t>
        </is>
      </c>
      <c r="C498" t="inlineStr">
        <is>
          <t>150316825069</t>
        </is>
      </c>
      <c r="D498" t="inlineStr">
        <is>
          <t>Nightjar Clearing Dublin</t>
        </is>
      </c>
      <c r="E498" t="inlineStr">
        <is>
          <t>MXN</t>
        </is>
      </c>
      <c r="F498" t="inlineStr">
        <is>
          <t>NT26081900492</t>
        </is>
      </c>
      <c r="G498" s="6" t="n">
        <v>46253</v>
      </c>
      <c r="H498" s="7" t="n">
        <v>935207667.8388001</v>
      </c>
      <c r="I498" t="inlineStr">
        <is>
          <t>GBP</t>
        </is>
      </c>
      <c r="J498" s="7" t="n">
        <v>40026888.184</v>
      </c>
      <c r="K498" t="inlineStr">
        <is>
          <t>SWIFT</t>
        </is>
      </c>
      <c r="L498" t="inlineStr">
        <is>
          <t>Funding move</t>
        </is>
      </c>
      <c r="M498" s="8" t="n">
        <v>46253.38741898148</v>
      </c>
      <c r="N498" t="inlineStr">
        <is>
          <t>Oakley Novak</t>
        </is>
      </c>
      <c r="O498" s="8" t="n">
        <v>46253.4408912037</v>
      </c>
      <c r="P498" t="inlineStr">
        <is>
          <t>Oakley Fairweather</t>
        </is>
      </c>
      <c r="Q498" t="inlineStr">
        <is>
          <t>LEDGER_OR_CASHFLOW_RECEIVED</t>
        </is>
      </c>
      <c r="R498" t="inlineStr">
        <is>
          <t>SYRM_ACKNOWLEDGED</t>
        </is>
      </c>
      <c r="S498" t="inlineStr">
        <is>
          <t>View details</t>
        </is>
      </c>
    </row>
    <row r="499">
      <c r="A499" t="inlineStr">
        <is>
          <t>150316825069</t>
        </is>
      </c>
      <c r="B499" t="inlineStr">
        <is>
          <t>Kestrel Bank Frankfurt</t>
        </is>
      </c>
      <c r="C499" t="inlineStr">
        <is>
          <t>468341071172</t>
        </is>
      </c>
      <c r="D499" t="inlineStr">
        <is>
          <t>Nightjar Clearing Dublin</t>
        </is>
      </c>
      <c r="E499" t="inlineStr">
        <is>
          <t>GBP</t>
        </is>
      </c>
      <c r="F499" t="inlineStr">
        <is>
          <t>NT26081900493</t>
        </is>
      </c>
      <c r="G499" s="6" t="n">
        <v>46253</v>
      </c>
      <c r="H499" s="7" t="n">
        <v>116284.6512</v>
      </c>
      <c r="I499" t="inlineStr">
        <is>
          <t>GBP</t>
        </is>
      </c>
      <c r="J499" s="7" t="n">
        <v>116284.651</v>
      </c>
      <c r="K499" t="inlineStr">
        <is>
          <t>SYRM</t>
        </is>
      </c>
      <c r="L499" t="inlineStr">
        <is>
          <t>Intraday top-up</t>
        </is>
      </c>
      <c r="M499" s="8" t="n">
        <v>46253.54491898148</v>
      </c>
      <c r="N499" t="inlineStr">
        <is>
          <t>Noor Sinclair</t>
        </is>
      </c>
      <c r="O499" s="8" t="n">
        <v>46253.55603009259</v>
      </c>
      <c r="P499" t="inlineStr">
        <is>
          <t>Kai Novak</t>
        </is>
      </c>
      <c r="Q499" t="inlineStr">
        <is>
          <t>LEDGER_OR_CASHFLOW_RECEIVED</t>
        </is>
      </c>
      <c r="R499" t="inlineStr">
        <is>
          <t>SYRM_ACKNOWLEDGED</t>
        </is>
      </c>
      <c r="S499" t="inlineStr">
        <is>
          <t>View details</t>
        </is>
      </c>
    </row>
    <row r="500">
      <c r="A500" t="inlineStr">
        <is>
          <t>927538182434</t>
        </is>
      </c>
      <c r="B500" t="inlineStr">
        <is>
          <t>Nightjar Clearing Dublin</t>
        </is>
      </c>
      <c r="C500" t="inlineStr">
        <is>
          <t>150316825069</t>
        </is>
      </c>
      <c r="D500" t="inlineStr">
        <is>
          <t>Nightjar Bank Stockholm</t>
        </is>
      </c>
      <c r="E500" t="inlineStr">
        <is>
          <t>CNY</t>
        </is>
      </c>
      <c r="F500" t="inlineStr">
        <is>
          <t>NT26081900494</t>
        </is>
      </c>
      <c r="G500" s="6" t="n">
        <v>46253</v>
      </c>
      <c r="H500" s="7" t="n">
        <v>158514611.229</v>
      </c>
      <c r="I500" t="inlineStr">
        <is>
          <t>GBP</t>
        </is>
      </c>
      <c r="J500" s="7" t="n">
        <v>17278092.624</v>
      </c>
      <c r="K500" t="inlineStr">
        <is>
          <t>INTERNAL</t>
        </is>
      </c>
      <c r="L500" t="inlineStr">
        <is>
          <t>Liquidity sweep</t>
        </is>
      </c>
      <c r="M500" s="8" t="n">
        <v>46253.52331018518</v>
      </c>
      <c r="N500" t="inlineStr">
        <is>
          <t>Ellis Delaney</t>
        </is>
      </c>
      <c r="O500" s="8" t="n"/>
      <c r="Q500" t="inlineStr">
        <is>
          <t>PENDING_APPROVAL</t>
        </is>
      </c>
      <c r="R500" t="inlineStr">
        <is>
          <t>SYRM_ACKNOWLEDGED</t>
        </is>
      </c>
      <c r="S500" t="inlineStr">
        <is>
          <t>View details</t>
        </is>
      </c>
    </row>
    <row r="501">
      <c r="A501" t="inlineStr">
        <is>
          <t>468341071172</t>
        </is>
      </c>
      <c r="B501" t="inlineStr">
        <is>
          <t>Ironbark Trust Dublin</t>
        </is>
      </c>
      <c r="C501" t="inlineStr">
        <is>
          <t>150316825069</t>
        </is>
      </c>
      <c r="D501" t="inlineStr">
        <is>
          <t>Fernway Trust Tokyo</t>
        </is>
      </c>
      <c r="E501" t="inlineStr">
        <is>
          <t>EUR</t>
        </is>
      </c>
      <c r="F501" t="inlineStr">
        <is>
          <t>NT26081900495</t>
        </is>
      </c>
      <c r="G501" s="6" t="n">
        <v>46253</v>
      </c>
      <c r="H501" s="7" t="n">
        <v>181124564.8266</v>
      </c>
      <c r="I501" t="inlineStr">
        <is>
          <t>GBP</t>
        </is>
      </c>
      <c r="J501" s="7" t="n">
        <v>155404876.621</v>
      </c>
      <c r="K501" t="inlineStr">
        <is>
          <t>SYRM</t>
        </is>
      </c>
      <c r="L501" t="inlineStr">
        <is>
          <t>Liquidity sweep</t>
        </is>
      </c>
      <c r="M501" s="8" t="n">
        <v>46253.63988425926</v>
      </c>
      <c r="N501" t="inlineStr">
        <is>
          <t>Oakley Prentice</t>
        </is>
      </c>
      <c r="O501" s="8" t="n">
        <v>46253.69752314815</v>
      </c>
      <c r="P501" t="inlineStr">
        <is>
          <t>Devon Delaney</t>
        </is>
      </c>
      <c r="Q501" t="inlineStr">
        <is>
          <t>LEDGER_OR_CASHFLOW_RECEIVED</t>
        </is>
      </c>
      <c r="R501" t="inlineStr">
        <is>
          <t>SYRM_ACKNOWLEDGED</t>
        </is>
      </c>
      <c r="S501" t="inlineStr">
        <is>
          <t>View details</t>
        </is>
      </c>
    </row>
    <row r="502">
      <c r="A502" t="inlineStr">
        <is>
          <t>359365220160</t>
        </is>
      </c>
      <c r="B502" t="inlineStr">
        <is>
          <t>Kestrel Clearing Oslo</t>
        </is>
      </c>
      <c r="C502" t="inlineStr">
        <is>
          <t>968942362772</t>
        </is>
      </c>
      <c r="D502" t="inlineStr">
        <is>
          <t>Harrow Bank Milan</t>
        </is>
      </c>
      <c r="E502" t="inlineStr">
        <is>
          <t>EUR</t>
        </is>
      </c>
      <c r="F502" t="inlineStr">
        <is>
          <t>NT26081900496</t>
        </is>
      </c>
      <c r="G502" s="6" t="n">
        <v>46253</v>
      </c>
      <c r="H502" s="7" t="n">
        <v>1137124162.4832</v>
      </c>
      <c r="I502" t="inlineStr">
        <is>
          <t>GBP</t>
        </is>
      </c>
      <c r="J502" s="7" t="n">
        <v>975652531.411</v>
      </c>
      <c r="K502" t="inlineStr">
        <is>
          <t>SYRM</t>
        </is>
      </c>
      <c r="L502" t="inlineStr">
        <is>
          <t>Liquidity sweep</t>
        </is>
      </c>
      <c r="M502" s="8" t="n">
        <v>46253.72754629629</v>
      </c>
      <c r="N502" t="inlineStr">
        <is>
          <t>Quinn Osgood</t>
        </is>
      </c>
      <c r="O502" s="8" t="n">
        <v>46253.77060185185</v>
      </c>
      <c r="P502" t="inlineStr">
        <is>
          <t>Noor Thorne</t>
        </is>
      </c>
      <c r="Q502" t="inlineStr">
        <is>
          <t>LEDGER_OR_CASHFLOW_RECEIVED</t>
        </is>
      </c>
      <c r="R502" t="inlineStr">
        <is>
          <t>SYRM_ACKNOWLEDGED</t>
        </is>
      </c>
      <c r="S502" t="inlineStr">
        <is>
          <t>View details</t>
        </is>
      </c>
    </row>
    <row r="503">
      <c r="A503" t="inlineStr">
        <is>
          <t>150316825069</t>
        </is>
      </c>
      <c r="B503" t="inlineStr">
        <is>
          <t>Mallow Commercial Bank Mexico City</t>
        </is>
      </c>
      <c r="C503" t="inlineStr">
        <is>
          <t>953625291146</t>
        </is>
      </c>
      <c r="D503" t="inlineStr">
        <is>
          <t>Pinehurst Trust Toronto</t>
        </is>
      </c>
      <c r="E503" t="inlineStr">
        <is>
          <t>GBP</t>
        </is>
      </c>
      <c r="F503" t="inlineStr">
        <is>
          <t>NT26081900497</t>
        </is>
      </c>
      <c r="G503" s="6" t="n">
        <v>46253</v>
      </c>
      <c r="H503" s="7" t="n">
        <v>94910162.28120001</v>
      </c>
      <c r="I503" t="inlineStr">
        <is>
          <t>GBP</t>
        </is>
      </c>
      <c r="J503" s="7" t="n">
        <v>94910162.281</v>
      </c>
      <c r="K503" t="inlineStr">
        <is>
          <t>SYRM</t>
        </is>
      </c>
      <c r="L503" t="inlineStr">
        <is>
          <t>Intraday top-up</t>
        </is>
      </c>
      <c r="M503" s="8" t="n">
        <v>46253.5783912037</v>
      </c>
      <c r="N503" t="inlineStr">
        <is>
          <t>Kai Novak</t>
        </is>
      </c>
      <c r="O503" s="8" t="n">
        <v>46253.6408912037</v>
      </c>
      <c r="P503" t="inlineStr">
        <is>
          <t>Harper Calloway</t>
        </is>
      </c>
      <c r="Q503" t="inlineStr">
        <is>
          <t>LEDGER_OR_CASHFLOW_RECEIVED</t>
        </is>
      </c>
      <c r="R503" t="inlineStr">
        <is>
          <t>SYRM_ACKNOWLEDGED</t>
        </is>
      </c>
      <c r="S503" t="inlineStr">
        <is>
          <t>View details</t>
        </is>
      </c>
    </row>
    <row r="504">
      <c r="A504" t="inlineStr">
        <is>
          <t>150316825069</t>
        </is>
      </c>
      <c r="B504" t="inlineStr">
        <is>
          <t>Bramble Settlement Bank Hong Kong</t>
        </is>
      </c>
      <c r="C504" t="inlineStr">
        <is>
          <t>468341071172</t>
        </is>
      </c>
      <c r="D504" t="inlineStr">
        <is>
          <t>Harrow Bank Milan</t>
        </is>
      </c>
      <c r="E504" t="inlineStr">
        <is>
          <t>GBP</t>
        </is>
      </c>
      <c r="F504" t="inlineStr">
        <is>
          <t>NT26081900498</t>
        </is>
      </c>
      <c r="G504" s="6" t="n">
        <v>46253</v>
      </c>
      <c r="H504" s="7" t="n">
        <v>52643267.667</v>
      </c>
      <c r="I504" t="inlineStr">
        <is>
          <t>GBP</t>
        </is>
      </c>
      <c r="J504" s="7" t="n">
        <v>52643267.667</v>
      </c>
      <c r="K504" t="inlineStr">
        <is>
          <t>SYRM</t>
        </is>
      </c>
      <c r="L504" t="inlineStr"/>
      <c r="M504" s="8" t="n">
        <v>46253.49149305555</v>
      </c>
      <c r="N504" t="inlineStr">
        <is>
          <t>Noor Thorne</t>
        </is>
      </c>
      <c r="O504" s="8" t="n">
        <v>46253.5046875</v>
      </c>
      <c r="P504" t="inlineStr">
        <is>
          <t>Avery Prentice</t>
        </is>
      </c>
      <c r="Q504" t="inlineStr">
        <is>
          <t>LEDGER_OR_CASHFLOW_RECEIVED</t>
        </is>
      </c>
      <c r="R504" t="inlineStr">
        <is>
          <t>SYRM_ACKNOWLEDGED</t>
        </is>
      </c>
      <c r="S504" t="inlineStr">
        <is>
          <t>View details</t>
        </is>
      </c>
    </row>
    <row r="505">
      <c r="A505" t="inlineStr">
        <is>
          <t>120047354818</t>
        </is>
      </c>
      <c r="B505" t="inlineStr">
        <is>
          <t>Cedar Clearing New York</t>
        </is>
      </c>
      <c r="C505" t="inlineStr">
        <is>
          <t>499062838623</t>
        </is>
      </c>
      <c r="D505" t="inlineStr">
        <is>
          <t>Fernway Clearing Frankfurt</t>
        </is>
      </c>
      <c r="E505" t="inlineStr">
        <is>
          <t>USD</t>
        </is>
      </c>
      <c r="F505" t="inlineStr">
        <is>
          <t>NT26081900499</t>
        </is>
      </c>
      <c r="G505" s="6" t="n">
        <v>46253</v>
      </c>
      <c r="H505" s="7" t="n">
        <v>55019241.0432</v>
      </c>
      <c r="I505" t="inlineStr">
        <is>
          <t>GBP</t>
        </is>
      </c>
      <c r="J505" s="7" t="n">
        <v>43135084.978</v>
      </c>
      <c r="K505" t="inlineStr">
        <is>
          <t>SYRM</t>
        </is>
      </c>
      <c r="L505" t="inlineStr">
        <is>
          <t>Liquidity sweep</t>
        </is>
      </c>
      <c r="M505" s="8" t="n">
        <v>46253.29486111111</v>
      </c>
      <c r="N505" t="inlineStr">
        <is>
          <t>Devon Jennings</t>
        </is>
      </c>
      <c r="O505" s="8" t="n">
        <v>46253.33583333333</v>
      </c>
      <c r="P505" t="inlineStr">
        <is>
          <t>Noor Sinclair</t>
        </is>
      </c>
      <c r="Q505" t="inlineStr">
        <is>
          <t>LEDGER_OR_CASHFLOW_RECEIVED</t>
        </is>
      </c>
      <c r="R505" t="inlineStr">
        <is>
          <t>SYRM_ACKNOWLEDGED</t>
        </is>
      </c>
      <c r="S505" t="inlineStr">
        <is>
          <t>View details</t>
        </is>
      </c>
    </row>
    <row r="506">
      <c r="A506" t="inlineStr">
        <is>
          <t>927538182434</t>
        </is>
      </c>
      <c r="B506" t="inlineStr">
        <is>
          <t>Mallow Commercial Bank Mexico City</t>
        </is>
      </c>
      <c r="C506" t="inlineStr">
        <is>
          <t>898317028833</t>
        </is>
      </c>
      <c r="D506" t="inlineStr">
        <is>
          <t>Wrenfield Clearing Frankfurt</t>
        </is>
      </c>
      <c r="E506" t="inlineStr">
        <is>
          <t>CNY</t>
        </is>
      </c>
      <c r="F506" t="inlineStr">
        <is>
          <t>NT26081900500</t>
        </is>
      </c>
      <c r="G506" s="6" t="n">
        <v>46253</v>
      </c>
      <c r="H506" s="7" t="n">
        <v>370549500.6096</v>
      </c>
      <c r="I506" t="inlineStr">
        <is>
          <t>GBP</t>
        </is>
      </c>
      <c r="J506" s="7" t="n">
        <v>40389895.566</v>
      </c>
      <c r="K506" t="inlineStr">
        <is>
          <t>SYRM</t>
        </is>
      </c>
      <c r="L506" t="inlineStr">
        <is>
          <t>Liquidity sweep</t>
        </is>
      </c>
      <c r="M506" s="8" t="n">
        <v>46253.45222222222</v>
      </c>
      <c r="N506" t="inlineStr">
        <is>
          <t>Avery Sinclair</t>
        </is>
      </c>
      <c r="O506" s="8" t="n">
        <v>46253.49388888889</v>
      </c>
      <c r="P506" t="inlineStr">
        <is>
          <t>Wren Hollis</t>
        </is>
      </c>
      <c r="Q506" t="inlineStr">
        <is>
          <t>LEDGER_OR_CASHFLOW_RECEIVED</t>
        </is>
      </c>
      <c r="R506" t="inlineStr">
        <is>
          <t>SYRM_PENDING</t>
        </is>
      </c>
      <c r="S506" t="inlineStr">
        <is>
          <t>View details</t>
        </is>
      </c>
    </row>
    <row r="507">
      <c r="A507" t="inlineStr">
        <is>
          <t>927538182434</t>
        </is>
      </c>
      <c r="B507" t="inlineStr">
        <is>
          <t>Alder Settlement Bank Paris</t>
        </is>
      </c>
      <c r="C507" t="inlineStr">
        <is>
          <t>499062838623</t>
        </is>
      </c>
      <c r="D507" t="inlineStr">
        <is>
          <t>Wrenfield Clearing Frankfurt</t>
        </is>
      </c>
      <c r="E507" t="inlineStr">
        <is>
          <t>CNY</t>
        </is>
      </c>
      <c r="F507" t="inlineStr">
        <is>
          <t>NT26081900501</t>
        </is>
      </c>
      <c r="G507" s="6" t="n">
        <v>46253</v>
      </c>
      <c r="H507" s="7" t="n">
        <v>27652574.5848</v>
      </c>
      <c r="I507" t="inlineStr">
        <is>
          <t>GBP</t>
        </is>
      </c>
      <c r="J507" s="7" t="n">
        <v>3014130.63</v>
      </c>
      <c r="K507" t="inlineStr">
        <is>
          <t>SYRM</t>
        </is>
      </c>
      <c r="L507" t="inlineStr">
        <is>
          <t>Liquidity sweep</t>
        </is>
      </c>
      <c r="M507" s="8" t="n">
        <v>46253.57565972222</v>
      </c>
      <c r="N507" t="inlineStr">
        <is>
          <t>Noor Thorne</t>
        </is>
      </c>
      <c r="O507" s="8" t="n">
        <v>46253.59302083333</v>
      </c>
      <c r="P507" t="inlineStr">
        <is>
          <t>Harper Calloway</t>
        </is>
      </c>
      <c r="Q507" t="inlineStr">
        <is>
          <t>LEDGER_OR_CASHFLOW_RECEIVED</t>
        </is>
      </c>
      <c r="R507" t="inlineStr">
        <is>
          <t>SYRM_ACKNOWLEDGED</t>
        </is>
      </c>
      <c r="S507" t="inlineStr">
        <is>
          <t>View details</t>
        </is>
      </c>
    </row>
    <row r="508">
      <c r="A508" t="inlineStr">
        <is>
          <t>910703979141</t>
        </is>
      </c>
      <c r="B508" t="inlineStr">
        <is>
          <t>Mallow Trust Frankfurt</t>
        </is>
      </c>
      <c r="C508" t="inlineStr">
        <is>
          <t>150316825069</t>
        </is>
      </c>
      <c r="D508" t="inlineStr">
        <is>
          <t>Juniper Clearing New York</t>
        </is>
      </c>
      <c r="E508" t="inlineStr">
        <is>
          <t>CHF</t>
        </is>
      </c>
      <c r="F508" t="inlineStr">
        <is>
          <t>NT26081900502</t>
        </is>
      </c>
      <c r="G508" s="6" t="n">
        <v>46253</v>
      </c>
      <c r="H508" s="7" t="n">
        <v>5573934.0054</v>
      </c>
      <c r="I508" t="inlineStr">
        <is>
          <t>GBP</t>
        </is>
      </c>
      <c r="J508" s="7" t="n">
        <v>4999818.803</v>
      </c>
      <c r="K508" t="inlineStr">
        <is>
          <t>SYRM</t>
        </is>
      </c>
      <c r="L508" t="inlineStr">
        <is>
          <t>Funding move</t>
        </is>
      </c>
      <c r="M508" s="8" t="n">
        <v>46253.43399305556</v>
      </c>
      <c r="N508" t="inlineStr">
        <is>
          <t>Finley Hollis</t>
        </is>
      </c>
      <c r="O508" s="8" t="n">
        <v>46253.47982638889</v>
      </c>
      <c r="P508" t="inlineStr">
        <is>
          <t>Kai Merrick</t>
        </is>
      </c>
      <c r="Q508" t="inlineStr">
        <is>
          <t>LEDGER_RECEIVED</t>
        </is>
      </c>
      <c r="R508" t="inlineStr">
        <is>
          <t>SYRM_ACKNOWLEDGED</t>
        </is>
      </c>
      <c r="S508" t="inlineStr">
        <is>
          <t>View details</t>
        </is>
      </c>
    </row>
    <row r="509">
      <c r="A509" t="inlineStr">
        <is>
          <t>621381112674</t>
        </is>
      </c>
      <c r="B509" t="inlineStr">
        <is>
          <t>Harrow Bank Milan</t>
        </is>
      </c>
      <c r="C509" t="inlineStr">
        <is>
          <t>113829985108</t>
        </is>
      </c>
      <c r="D509" t="inlineStr">
        <is>
          <t>Nightjar Bank Stockholm</t>
        </is>
      </c>
      <c r="E509" t="inlineStr">
        <is>
          <t>PLN</t>
        </is>
      </c>
      <c r="F509" t="inlineStr">
        <is>
          <t>NT26081900503</t>
        </is>
      </c>
      <c r="G509" s="6" t="n">
        <v>46253</v>
      </c>
      <c r="H509" s="7" t="n">
        <v>29331306.468</v>
      </c>
      <c r="I509" t="inlineStr">
        <is>
          <t>GBP</t>
        </is>
      </c>
      <c r="J509" s="7" t="n">
        <v>5807598.681</v>
      </c>
      <c r="K509" t="inlineStr">
        <is>
          <t>INTERNAL</t>
        </is>
      </c>
      <c r="L509" t="inlineStr">
        <is>
          <t>Funding move</t>
        </is>
      </c>
      <c r="M509" s="8" t="n">
        <v>46253.85081018518</v>
      </c>
      <c r="N509" t="inlineStr">
        <is>
          <t>Marlow Rhodes</t>
        </is>
      </c>
      <c r="O509" s="8" t="n">
        <v>46253.86122685186</v>
      </c>
      <c r="P509" t="inlineStr">
        <is>
          <t>Kai Merrick</t>
        </is>
      </c>
      <c r="Q509" t="inlineStr">
        <is>
          <t>LEDGER_OR_CASHFLOW_RECEIVED</t>
        </is>
      </c>
      <c r="R509" t="inlineStr">
        <is>
          <t>SYRM_ACKNOWLEDGED</t>
        </is>
      </c>
      <c r="S509" t="inlineStr">
        <is>
          <t>View details</t>
        </is>
      </c>
    </row>
    <row r="510">
      <c r="A510" t="inlineStr">
        <is>
          <t>700726936098</t>
        </is>
      </c>
      <c r="B510" t="inlineStr">
        <is>
          <t>Zephyr Settlement Bank New York</t>
        </is>
      </c>
      <c r="C510" t="inlineStr">
        <is>
          <t>468341071172</t>
        </is>
      </c>
      <c r="D510" t="inlineStr">
        <is>
          <t>Bramble Settlement Bank Hong Kong</t>
        </is>
      </c>
      <c r="E510" t="inlineStr">
        <is>
          <t>SAR</t>
        </is>
      </c>
      <c r="F510" t="inlineStr">
        <is>
          <t>NT26081900504</t>
        </is>
      </c>
      <c r="G510" s="6" t="n">
        <v>46253</v>
      </c>
      <c r="H510" s="7" t="n">
        <v>5289915.6468</v>
      </c>
      <c r="I510" t="inlineStr">
        <is>
          <t>GBP</t>
        </is>
      </c>
      <c r="J510" s="7" t="n">
        <v>1105592.37</v>
      </c>
      <c r="K510" t="inlineStr">
        <is>
          <t>SYRM</t>
        </is>
      </c>
      <c r="L510" t="inlineStr">
        <is>
          <t>Balance alignment</t>
        </is>
      </c>
      <c r="M510" s="8" t="n">
        <v>46253.37438657408</v>
      </c>
      <c r="N510" t="inlineStr">
        <is>
          <t>Quinn Kirby</t>
        </is>
      </c>
      <c r="O510" s="8" t="n">
        <v>46253.39730324074</v>
      </c>
      <c r="P510" t="inlineStr">
        <is>
          <t>Wren Fairweather</t>
        </is>
      </c>
      <c r="Q510" t="inlineStr">
        <is>
          <t>LEDGER_OR_CASHFLOW_RECEIVED</t>
        </is>
      </c>
      <c r="R510" t="inlineStr">
        <is>
          <t>SYRM_ACKNOWLEDGED</t>
        </is>
      </c>
      <c r="S510" t="inlineStr">
        <is>
          <t>View details</t>
        </is>
      </c>
    </row>
    <row r="511">
      <c r="A511" t="inlineStr">
        <is>
          <t>910703979141</t>
        </is>
      </c>
      <c r="B511" t="inlineStr">
        <is>
          <t>Thornbury Commercial Bank London</t>
        </is>
      </c>
      <c r="C511" t="inlineStr">
        <is>
          <t>150316825069</t>
        </is>
      </c>
      <c r="D511" t="inlineStr">
        <is>
          <t>Nightjar Clearing Dublin</t>
        </is>
      </c>
      <c r="E511" t="inlineStr">
        <is>
          <t>CHF</t>
        </is>
      </c>
      <c r="F511" t="inlineStr">
        <is>
          <t>NT26081900505</t>
        </is>
      </c>
      <c r="G511" s="6" t="n">
        <v>46253</v>
      </c>
      <c r="H511" s="7" t="n">
        <v>199143.9612</v>
      </c>
      <c r="I511" t="inlineStr">
        <is>
          <t>GBP</t>
        </is>
      </c>
      <c r="J511" s="7" t="n">
        <v>178632.133</v>
      </c>
      <c r="K511" t="inlineStr">
        <is>
          <t>SYRM</t>
        </is>
      </c>
      <c r="L511" t="inlineStr">
        <is>
          <t>Funding move</t>
        </is>
      </c>
      <c r="M511" s="8" t="n">
        <v>46253.34430555555</v>
      </c>
      <c r="N511" t="inlineStr">
        <is>
          <t>Oakley Rhodes</t>
        </is>
      </c>
      <c r="O511" s="8" t="n">
        <v>46253.34916666667</v>
      </c>
      <c r="P511" t="inlineStr">
        <is>
          <t>Devon Calloway</t>
        </is>
      </c>
      <c r="Q511" t="inlineStr">
        <is>
          <t>LEDGER_OR_CASHFLOW_RECEIVED</t>
        </is>
      </c>
      <c r="R511" t="inlineStr">
        <is>
          <t>SYRM_ACKNOWLEDGED</t>
        </is>
      </c>
      <c r="S511" t="inlineStr">
        <is>
          <t>View details</t>
        </is>
      </c>
    </row>
    <row r="512">
      <c r="A512" t="inlineStr">
        <is>
          <t>794226063698</t>
        </is>
      </c>
      <c r="B512" t="inlineStr">
        <is>
          <t>Mallow Trust Frankfurt</t>
        </is>
      </c>
      <c r="C512" t="inlineStr">
        <is>
          <t>150316825069</t>
        </is>
      </c>
      <c r="D512" t="inlineStr">
        <is>
          <t>Pinehurst Commercial Bank Sydney</t>
        </is>
      </c>
      <c r="E512" t="inlineStr">
        <is>
          <t>AED</t>
        </is>
      </c>
      <c r="F512" t="inlineStr">
        <is>
          <t>NT26081900506</t>
        </is>
      </c>
      <c r="G512" s="6" t="n">
        <v>46253</v>
      </c>
      <c r="H512" s="7" t="n">
        <v>6157138.7178</v>
      </c>
      <c r="I512" t="inlineStr">
        <is>
          <t>GBP</t>
        </is>
      </c>
      <c r="J512" s="7" t="n">
        <v>1311470.547</v>
      </c>
      <c r="K512" t="inlineStr">
        <is>
          <t>SYRM</t>
        </is>
      </c>
      <c r="L512" t="inlineStr">
        <is>
          <t>Balance alignment</t>
        </is>
      </c>
      <c r="M512" s="8" t="n">
        <v>46253.30484953704</v>
      </c>
      <c r="N512" t="inlineStr">
        <is>
          <t>Finley Hollis</t>
        </is>
      </c>
      <c r="O512" s="8" t="n">
        <v>46253.33401620371</v>
      </c>
      <c r="P512" t="inlineStr">
        <is>
          <t>Oakley Prentice</t>
        </is>
      </c>
      <c r="Q512" t="inlineStr">
        <is>
          <t>LEDGER_OR_CASHFLOW_RECEIVED</t>
        </is>
      </c>
      <c r="R512" t="inlineStr">
        <is>
          <t>SYRM_ACKNOWLEDGED</t>
        </is>
      </c>
      <c r="S512" t="inlineStr">
        <is>
          <t>View details</t>
        </is>
      </c>
    </row>
    <row r="513">
      <c r="A513" t="inlineStr">
        <is>
          <t>150316825069</t>
        </is>
      </c>
      <c r="B513" t="inlineStr">
        <is>
          <t>Yarrow Settlement Bank Oslo</t>
        </is>
      </c>
      <c r="C513" t="inlineStr">
        <is>
          <t>898317028833</t>
        </is>
      </c>
      <c r="D513" t="inlineStr">
        <is>
          <t>Zephyr Settlement Bank New York</t>
        </is>
      </c>
      <c r="E513" t="inlineStr">
        <is>
          <t>GBP</t>
        </is>
      </c>
      <c r="F513" t="inlineStr">
        <is>
          <t>NT26081900507</t>
        </is>
      </c>
      <c r="G513" s="6" t="n">
        <v>46253</v>
      </c>
      <c r="H513" s="7" t="n">
        <v>5171015738.628</v>
      </c>
      <c r="I513" t="inlineStr">
        <is>
          <t>GBP</t>
        </is>
      </c>
      <c r="J513" s="7" t="n">
        <v>5171015738.628</v>
      </c>
      <c r="K513" t="inlineStr">
        <is>
          <t>SYRM</t>
        </is>
      </c>
      <c r="L513" t="inlineStr">
        <is>
          <t>Balance alignment</t>
        </is>
      </c>
      <c r="M513" s="8" t="n">
        <v>46253.42887731481</v>
      </c>
      <c r="N513" t="inlineStr">
        <is>
          <t>Ellis Gallagher</t>
        </is>
      </c>
      <c r="O513" s="8" t="n">
        <v>46253.48234953704</v>
      </c>
      <c r="P513" t="inlineStr">
        <is>
          <t>Ellis Delaney</t>
        </is>
      </c>
      <c r="Q513" t="inlineStr">
        <is>
          <t>LEDGER_OR_CASHFLOW_RECEIVED</t>
        </is>
      </c>
      <c r="R513" t="inlineStr">
        <is>
          <t>SYRM_ACKNOWLEDGED</t>
        </is>
      </c>
      <c r="S513" t="inlineStr">
        <is>
          <t>View details</t>
        </is>
      </c>
    </row>
    <row r="514">
      <c r="A514" t="inlineStr">
        <is>
          <t>150316825069</t>
        </is>
      </c>
      <c r="B514" t="inlineStr">
        <is>
          <t>Pinehurst Commercial Bank Sydney</t>
        </is>
      </c>
      <c r="C514" t="inlineStr">
        <is>
          <t>359365220160</t>
        </is>
      </c>
      <c r="D514" t="inlineStr">
        <is>
          <t>Juniper Clearing Hong Kong</t>
        </is>
      </c>
      <c r="E514" t="inlineStr">
        <is>
          <t>GBP</t>
        </is>
      </c>
      <c r="F514" t="inlineStr">
        <is>
          <t>NT26081900508</t>
        </is>
      </c>
      <c r="G514" s="6" t="n">
        <v>46253</v>
      </c>
      <c r="H514" s="7" t="n">
        <v>4606880.1228</v>
      </c>
      <c r="I514" t="inlineStr">
        <is>
          <t>GBP</t>
        </is>
      </c>
      <c r="J514" s="7" t="n">
        <v>4606880.123</v>
      </c>
      <c r="K514" t="inlineStr">
        <is>
          <t>SYRM</t>
        </is>
      </c>
      <c r="L514" t="inlineStr"/>
      <c r="M514" s="8" t="n">
        <v>46253.40589120371</v>
      </c>
      <c r="N514" t="inlineStr">
        <is>
          <t>Wren Fairweather</t>
        </is>
      </c>
      <c r="O514" s="8" t="n">
        <v>46253.44686342592</v>
      </c>
      <c r="P514" t="inlineStr">
        <is>
          <t>Devon Jennings</t>
        </is>
      </c>
      <c r="Q514" t="inlineStr">
        <is>
          <t>LEDGER_RECEIVED</t>
        </is>
      </c>
      <c r="R514" t="inlineStr">
        <is>
          <t>SYRM_ACKNOWLEDGED</t>
        </is>
      </c>
      <c r="S514" t="inlineStr">
        <is>
          <t>View details</t>
        </is>
      </c>
    </row>
    <row r="515">
      <c r="A515" t="inlineStr">
        <is>
          <t>150316825069</t>
        </is>
      </c>
      <c r="B515" t="inlineStr">
        <is>
          <t>Bramble Commercial Bank Toronto</t>
        </is>
      </c>
      <c r="C515" t="inlineStr">
        <is>
          <t>898317028833</t>
        </is>
      </c>
      <c r="D515" t="inlineStr">
        <is>
          <t>Umberton Commercial Bank Mexico City</t>
        </is>
      </c>
      <c r="E515" t="inlineStr">
        <is>
          <t>GBP</t>
        </is>
      </c>
      <c r="F515" t="inlineStr">
        <is>
          <t>NT26081900509</t>
        </is>
      </c>
      <c r="G515" s="6" t="n">
        <v>46253</v>
      </c>
      <c r="H515" s="7" t="n">
        <v>1039306.9464</v>
      </c>
      <c r="I515" t="inlineStr">
        <is>
          <t>GBP</t>
        </is>
      </c>
      <c r="J515" s="7" t="n">
        <v>1039306.946</v>
      </c>
      <c r="K515" t="inlineStr">
        <is>
          <t>SYRM</t>
        </is>
      </c>
      <c r="L515" t="inlineStr">
        <is>
          <t>Balance alignment</t>
        </is>
      </c>
      <c r="M515" s="8" t="n">
        <v>46253.34371527778</v>
      </c>
      <c r="N515" t="inlineStr">
        <is>
          <t>Oakley Fairweather</t>
        </is>
      </c>
      <c r="O515" s="8" t="n">
        <v>46253.3534375</v>
      </c>
      <c r="P515" t="inlineStr">
        <is>
          <t>Marlow Rhodes</t>
        </is>
      </c>
      <c r="Q515" t="inlineStr">
        <is>
          <t>LEDGER_OR_CASHFLOW_RECEIVED</t>
        </is>
      </c>
      <c r="R515" t="inlineStr">
        <is>
          <t>SYRM_ACKNOWLEDGED</t>
        </is>
      </c>
      <c r="S515" t="inlineStr">
        <is>
          <t>View details</t>
        </is>
      </c>
    </row>
    <row r="516">
      <c r="A516" t="inlineStr">
        <is>
          <t>499062838623</t>
        </is>
      </c>
      <c r="B516" t="inlineStr">
        <is>
          <t>Fernway Trust Tokyo</t>
        </is>
      </c>
      <c r="C516" t="inlineStr">
        <is>
          <t>359365220160</t>
        </is>
      </c>
      <c r="D516" t="inlineStr">
        <is>
          <t>Zephyr Settlement Bank New York</t>
        </is>
      </c>
      <c r="E516" t="inlineStr">
        <is>
          <t>USD</t>
        </is>
      </c>
      <c r="F516" t="inlineStr">
        <is>
          <t>NT26081900510</t>
        </is>
      </c>
      <c r="G516" s="6" t="n">
        <v>46253</v>
      </c>
      <c r="H516" s="7" t="n">
        <v>107331793.5996</v>
      </c>
      <c r="I516" t="inlineStr">
        <is>
          <t>GBP</t>
        </is>
      </c>
      <c r="J516" s="7" t="n">
        <v>84148126.182</v>
      </c>
      <c r="K516" t="inlineStr">
        <is>
          <t>SYRM</t>
        </is>
      </c>
      <c r="L516" t="inlineStr">
        <is>
          <t>Funding move</t>
        </is>
      </c>
      <c r="M516" s="8" t="n">
        <v>46253.39481481481</v>
      </c>
      <c r="N516" t="inlineStr">
        <is>
          <t>Kai Calloway</t>
        </is>
      </c>
      <c r="O516" s="8" t="n">
        <v>46253.39967592592</v>
      </c>
      <c r="P516" t="inlineStr">
        <is>
          <t>Finley Hollis</t>
        </is>
      </c>
      <c r="Q516" t="inlineStr">
        <is>
          <t>LEDGER_OR_CASHFLOW_RECEIVED</t>
        </is>
      </c>
      <c r="R516" t="inlineStr">
        <is>
          <t>SYRM_ACKNOWLEDGED</t>
        </is>
      </c>
      <c r="S516" t="inlineStr">
        <is>
          <t>View details</t>
        </is>
      </c>
    </row>
    <row r="517">
      <c r="A517" t="inlineStr">
        <is>
          <t>150316825069</t>
        </is>
      </c>
      <c r="B517" t="inlineStr">
        <is>
          <t>Mallow Commercial Bank Mexico City</t>
        </is>
      </c>
      <c r="C517" t="inlineStr">
        <is>
          <t>265771593142</t>
        </is>
      </c>
      <c r="D517" t="inlineStr">
        <is>
          <t>Harrow Bank Milan</t>
        </is>
      </c>
      <c r="E517" t="inlineStr">
        <is>
          <t>GBP</t>
        </is>
      </c>
      <c r="F517" t="inlineStr">
        <is>
          <t>NT26081900511</t>
        </is>
      </c>
      <c r="G517" s="6" t="n">
        <v>46253</v>
      </c>
      <c r="H517" s="7" t="n">
        <v>639450833.427</v>
      </c>
      <c r="I517" t="inlineStr">
        <is>
          <t>GBP</t>
        </is>
      </c>
      <c r="J517" s="7" t="n">
        <v>639450833.427</v>
      </c>
      <c r="K517" t="inlineStr">
        <is>
          <t>SYRM</t>
        </is>
      </c>
      <c r="L517" t="inlineStr">
        <is>
          <t>Funding move</t>
        </is>
      </c>
      <c r="M517" s="8" t="n">
        <v>46253.47559027778</v>
      </c>
      <c r="N517" t="inlineStr">
        <is>
          <t>Devon Calloway</t>
        </is>
      </c>
      <c r="O517" s="8" t="n">
        <v>46253.52559027778</v>
      </c>
      <c r="P517" t="inlineStr">
        <is>
          <t>Noor Sinclair</t>
        </is>
      </c>
      <c r="Q517" t="inlineStr">
        <is>
          <t>LEDGER_OR_CASHFLOW_RECEIVED</t>
        </is>
      </c>
      <c r="R517" t="inlineStr">
        <is>
          <t>SYRM_ACKNOWLEDGED</t>
        </is>
      </c>
      <c r="S517" t="inlineStr">
        <is>
          <t>View details</t>
        </is>
      </c>
    </row>
    <row r="518">
      <c r="A518" t="inlineStr">
        <is>
          <t>468341071172</t>
        </is>
      </c>
      <c r="B518" t="inlineStr">
        <is>
          <t>Juniper Bank Warsaw</t>
        </is>
      </c>
      <c r="C518" t="inlineStr">
        <is>
          <t>968942362772</t>
        </is>
      </c>
      <c r="D518" t="inlineStr">
        <is>
          <t>Thornbury Commercial Bank London</t>
        </is>
      </c>
      <c r="E518" t="inlineStr">
        <is>
          <t>EUR</t>
        </is>
      </c>
      <c r="F518" t="inlineStr">
        <is>
          <t>NT26081900512</t>
        </is>
      </c>
      <c r="G518" s="6" t="n">
        <v>46253</v>
      </c>
      <c r="H518" s="7" t="n">
        <v>69556071.8646</v>
      </c>
      <c r="I518" t="inlineStr">
        <is>
          <t>GBP</t>
        </is>
      </c>
      <c r="J518" s="7" t="n">
        <v>59679109.66</v>
      </c>
      <c r="K518" t="inlineStr">
        <is>
          <t>SYRM</t>
        </is>
      </c>
      <c r="L518" t="inlineStr"/>
      <c r="M518" s="8" t="n">
        <v>46253.68284722222</v>
      </c>
      <c r="N518" t="inlineStr">
        <is>
          <t>Sawyer Calloway</t>
        </is>
      </c>
      <c r="O518" s="8" t="n">
        <v>46253.71131944445</v>
      </c>
      <c r="P518" t="inlineStr">
        <is>
          <t>Greer Prentice</t>
        </is>
      </c>
      <c r="Q518" t="inlineStr">
        <is>
          <t>LEDGER_OR_CASHFLOW_RECEIVED</t>
        </is>
      </c>
      <c r="R518" t="inlineStr">
        <is>
          <t>SYRM_ACKNOWLEDGED</t>
        </is>
      </c>
      <c r="S518" t="inlineStr">
        <is>
          <t>View details</t>
        </is>
      </c>
    </row>
    <row r="519">
      <c r="A519" t="inlineStr">
        <is>
          <t>927538182434</t>
        </is>
      </c>
      <c r="B519" t="inlineStr">
        <is>
          <t>Mallow Settlement Bank Oslo</t>
        </is>
      </c>
      <c r="C519" t="inlineStr">
        <is>
          <t>953625291146</t>
        </is>
      </c>
      <c r="D519" t="inlineStr">
        <is>
          <t>Yarrow Settlement Bank Oslo</t>
        </is>
      </c>
      <c r="E519" t="inlineStr">
        <is>
          <t>CNY</t>
        </is>
      </c>
      <c r="F519" t="inlineStr">
        <is>
          <t>NT26081900513</t>
        </is>
      </c>
      <c r="G519" s="6" t="n">
        <v>46253</v>
      </c>
      <c r="H519" s="7" t="n">
        <v>592245319.554</v>
      </c>
      <c r="I519" t="inlineStr">
        <is>
          <t>GBP</t>
        </is>
      </c>
      <c r="J519" s="7" t="n">
        <v>64554739.831</v>
      </c>
      <c r="K519" t="inlineStr">
        <is>
          <t>SWIFT</t>
        </is>
      </c>
      <c r="L519" t="inlineStr">
        <is>
          <t>Liquidity sweep</t>
        </is>
      </c>
      <c r="M519" s="8" t="n">
        <v>46253.31922453704</v>
      </c>
      <c r="N519" t="inlineStr">
        <is>
          <t>Avery Prentice</t>
        </is>
      </c>
      <c r="O519" s="8" t="n">
        <v>46253.37686342592</v>
      </c>
      <c r="P519" t="inlineStr">
        <is>
          <t>Oakley Delaney</t>
        </is>
      </c>
      <c r="Q519" t="inlineStr">
        <is>
          <t>LEDGER_OR_CASHFLOW_RECEIVED</t>
        </is>
      </c>
      <c r="R519" t="inlineStr">
        <is>
          <t>SYRM_ACKNOWLEDGED</t>
        </is>
      </c>
      <c r="S519" t="inlineStr">
        <is>
          <t>View details</t>
        </is>
      </c>
    </row>
    <row r="520">
      <c r="A520" t="inlineStr">
        <is>
          <t>499062838623</t>
        </is>
      </c>
      <c r="B520" t="inlineStr">
        <is>
          <t>Pinehurst Trust Toronto</t>
        </is>
      </c>
      <c r="C520" t="inlineStr">
        <is>
          <t>171857983160</t>
        </is>
      </c>
      <c r="D520" t="inlineStr">
        <is>
          <t>Zephyr Settlement Bank New York</t>
        </is>
      </c>
      <c r="E520" t="inlineStr">
        <is>
          <t>USD</t>
        </is>
      </c>
      <c r="F520" t="inlineStr">
        <is>
          <t>NT26081900514</t>
        </is>
      </c>
      <c r="G520" s="6" t="n">
        <v>46253</v>
      </c>
      <c r="H520" s="7" t="n">
        <v>1734144040.6308</v>
      </c>
      <c r="I520" t="inlineStr">
        <is>
          <t>GBP</t>
        </is>
      </c>
      <c r="J520" s="7" t="n">
        <v>1359568927.855</v>
      </c>
      <c r="K520" t="inlineStr">
        <is>
          <t>SYRM</t>
        </is>
      </c>
      <c r="L520" t="inlineStr">
        <is>
          <t>Liquidity sweep</t>
        </is>
      </c>
      <c r="M520" s="8" t="n">
        <v>46253.40577546296</v>
      </c>
      <c r="N520" t="inlineStr">
        <is>
          <t>Devon Jennings</t>
        </is>
      </c>
      <c r="O520" s="8" t="n"/>
      <c r="Q520" t="inlineStr">
        <is>
          <t>PENDING_APPROVAL</t>
        </is>
      </c>
      <c r="R520" t="inlineStr">
        <is>
          <t>SYRM_ACKNOWLEDGED</t>
        </is>
      </c>
      <c r="S520" t="inlineStr">
        <is>
          <t>View details</t>
        </is>
      </c>
    </row>
    <row r="521">
      <c r="A521" t="inlineStr">
        <is>
          <t>898317028833</t>
        </is>
      </c>
      <c r="B521" t="inlineStr">
        <is>
          <t>Umberton Commercial Bank Mexico City</t>
        </is>
      </c>
      <c r="C521" t="inlineStr">
        <is>
          <t>910703979141</t>
        </is>
      </c>
      <c r="D521" t="inlineStr">
        <is>
          <t>Ironbark Clearing Frankfurt</t>
        </is>
      </c>
      <c r="E521" t="inlineStr">
        <is>
          <t>GBP</t>
        </is>
      </c>
      <c r="F521" t="inlineStr">
        <is>
          <t>NT26081900515</t>
        </is>
      </c>
      <c r="G521" s="6" t="n">
        <v>46253</v>
      </c>
      <c r="H521" s="7" t="n">
        <v>684043556.2902</v>
      </c>
      <c r="I521" t="inlineStr">
        <is>
          <t>GBP</t>
        </is>
      </c>
      <c r="J521" s="7" t="n">
        <v>684043556.29</v>
      </c>
      <c r="K521" t="inlineStr">
        <is>
          <t>SYRM</t>
        </is>
      </c>
      <c r="L521" t="inlineStr"/>
      <c r="M521" s="8" t="n">
        <v>46253.67555555556</v>
      </c>
      <c r="N521" t="inlineStr">
        <is>
          <t>Oakley Novak</t>
        </is>
      </c>
      <c r="O521" s="8" t="n">
        <v>46253.74013888889</v>
      </c>
      <c r="P521" t="inlineStr">
        <is>
          <t>Harper Hollis</t>
        </is>
      </c>
      <c r="Q521" t="inlineStr">
        <is>
          <t>LEDGER_OR_CASHFLOW_RECEIVED</t>
        </is>
      </c>
      <c r="R521" t="inlineStr">
        <is>
          <t>SYRM_ACKNOWLEDGED</t>
        </is>
      </c>
      <c r="S521" t="inlineStr">
        <is>
          <t>View details</t>
        </is>
      </c>
    </row>
    <row r="522">
      <c r="A522" t="inlineStr">
        <is>
          <t>150316825069</t>
        </is>
      </c>
      <c r="B522" t="inlineStr">
        <is>
          <t>Zephyr Settlement Bank Sydney</t>
        </is>
      </c>
      <c r="C522" t="inlineStr">
        <is>
          <t>171857983160</t>
        </is>
      </c>
      <c r="D522" t="inlineStr">
        <is>
          <t>Bramble Bank Milan</t>
        </is>
      </c>
      <c r="E522" t="inlineStr">
        <is>
          <t>GBP</t>
        </is>
      </c>
      <c r="F522" t="inlineStr">
        <is>
          <t>NT26081900516</t>
        </is>
      </c>
      <c r="G522" s="6" t="n">
        <v>46253</v>
      </c>
      <c r="H522" s="7" t="n">
        <v>3245732.415</v>
      </c>
      <c r="I522" t="inlineStr">
        <is>
          <t>GBP</t>
        </is>
      </c>
      <c r="J522" s="7" t="n">
        <v>3245732.415</v>
      </c>
      <c r="K522" t="inlineStr">
        <is>
          <t>SYRM</t>
        </is>
      </c>
      <c r="L522" t="inlineStr">
        <is>
          <t>Balance alignment</t>
        </is>
      </c>
      <c r="M522" s="8" t="n">
        <v>46253.67804398148</v>
      </c>
      <c r="N522" t="inlineStr">
        <is>
          <t>Kai Calloway</t>
        </is>
      </c>
      <c r="O522" s="8" t="n">
        <v>46253.69679398148</v>
      </c>
      <c r="P522" t="inlineStr">
        <is>
          <t>Avery Prentice</t>
        </is>
      </c>
      <c r="Q522" t="inlineStr">
        <is>
          <t>LEDGER_OR_CASHFLOW_RECEIVED</t>
        </is>
      </c>
      <c r="R522" t="inlineStr">
        <is>
          <t>SYRM_ACKNOWLEDGED</t>
        </is>
      </c>
      <c r="S522" t="inlineStr">
        <is>
          <t>View details</t>
        </is>
      </c>
    </row>
    <row r="523">
      <c r="A523" t="inlineStr">
        <is>
          <t>927538182434</t>
        </is>
      </c>
      <c r="B523" t="inlineStr">
        <is>
          <t>Dunlin Commercial Bank Warsaw</t>
        </is>
      </c>
      <c r="C523" t="inlineStr">
        <is>
          <t>968942362772</t>
        </is>
      </c>
      <c r="D523" t="inlineStr">
        <is>
          <t>Umberton Trust Tokyo</t>
        </is>
      </c>
      <c r="E523" t="inlineStr">
        <is>
          <t>CNY</t>
        </is>
      </c>
      <c r="F523" t="inlineStr">
        <is>
          <t>NT26081900517</t>
        </is>
      </c>
      <c r="G523" s="6" t="n">
        <v>46253</v>
      </c>
      <c r="H523" s="7" t="n">
        <v>70073938.62900001</v>
      </c>
      <c r="I523" t="inlineStr">
        <is>
          <t>GBP</t>
        </is>
      </c>
      <c r="J523" s="7" t="n">
        <v>7638059.311</v>
      </c>
      <c r="K523" t="inlineStr">
        <is>
          <t>SYRM</t>
        </is>
      </c>
      <c r="L523" t="inlineStr">
        <is>
          <t>Funding move</t>
        </is>
      </c>
      <c r="M523" s="8" t="n">
        <v>46253.78224537037</v>
      </c>
      <c r="N523" t="inlineStr">
        <is>
          <t>Ellis Gallagher</t>
        </is>
      </c>
      <c r="O523" s="8" t="n">
        <v>46253.81627314815</v>
      </c>
      <c r="P523" t="inlineStr">
        <is>
          <t>Finley Sinclair</t>
        </is>
      </c>
      <c r="Q523" t="inlineStr">
        <is>
          <t>LEDGER_OR_CASHFLOW_RECEIVED</t>
        </is>
      </c>
      <c r="R523" t="inlineStr">
        <is>
          <t>SYRM_ACKNOWLEDGED</t>
        </is>
      </c>
      <c r="S523" t="inlineStr">
        <is>
          <t>View details</t>
        </is>
      </c>
    </row>
    <row r="524">
      <c r="A524" t="inlineStr">
        <is>
          <t>499062838623</t>
        </is>
      </c>
      <c r="B524" t="inlineStr">
        <is>
          <t>Bramble Trust Zurich</t>
        </is>
      </c>
      <c r="C524" t="inlineStr">
        <is>
          <t>468341071172</t>
        </is>
      </c>
      <c r="D524" t="inlineStr">
        <is>
          <t>Larkspur Trust Hong Kong</t>
        </is>
      </c>
      <c r="E524" t="inlineStr">
        <is>
          <t>USD</t>
        </is>
      </c>
      <c r="F524" t="inlineStr">
        <is>
          <t>NT26081900518</t>
        </is>
      </c>
      <c r="G524" s="6" t="n">
        <v>46253</v>
      </c>
      <c r="H524" s="7" t="n">
        <v>2532435.9444</v>
      </c>
      <c r="I524" t="inlineStr">
        <is>
          <t>GBP</t>
        </is>
      </c>
      <c r="J524" s="7" t="n">
        <v>1985429.78</v>
      </c>
      <c r="K524" t="inlineStr">
        <is>
          <t>SYRM</t>
        </is>
      </c>
      <c r="L524" t="inlineStr"/>
      <c r="M524" s="8" t="n">
        <v>46253.5219212963</v>
      </c>
      <c r="N524" t="inlineStr">
        <is>
          <t>Finley Sinclair</t>
        </is>
      </c>
      <c r="O524" s="8" t="n">
        <v>46253.57678240741</v>
      </c>
      <c r="P524" t="inlineStr">
        <is>
          <t>Harper Hollis</t>
        </is>
      </c>
      <c r="Q524" t="inlineStr">
        <is>
          <t>LEDGER_OR_CASHFLOW_RECEIVED</t>
        </is>
      </c>
      <c r="R524" t="inlineStr">
        <is>
          <t>SYRM_ACKNOWLEDGED</t>
        </is>
      </c>
      <c r="S524" t="inlineStr">
        <is>
          <t>View details</t>
        </is>
      </c>
    </row>
    <row r="525">
      <c r="A525" t="inlineStr">
        <is>
          <t>968942362772</t>
        </is>
      </c>
      <c r="B525" t="inlineStr">
        <is>
          <t>Redstart Commercial Bank Dublin</t>
        </is>
      </c>
      <c r="C525" t="inlineStr">
        <is>
          <t>468341071172</t>
        </is>
      </c>
      <c r="D525" t="inlineStr">
        <is>
          <t>Larkspur Clearing New York</t>
        </is>
      </c>
      <c r="E525" t="inlineStr">
        <is>
          <t>EUR</t>
        </is>
      </c>
      <c r="F525" t="inlineStr">
        <is>
          <t>NT26081900519</t>
        </is>
      </c>
      <c r="G525" s="6" t="n">
        <v>46253</v>
      </c>
      <c r="H525" s="7" t="n">
        <v>30240128.9826</v>
      </c>
      <c r="I525" t="inlineStr">
        <is>
          <t>GBP</t>
        </is>
      </c>
      <c r="J525" s="7" t="n">
        <v>25946030.667</v>
      </c>
      <c r="K525" t="inlineStr">
        <is>
          <t>SYRM</t>
        </is>
      </c>
      <c r="L525" t="inlineStr">
        <is>
          <t>Liquidity sweep</t>
        </is>
      </c>
      <c r="M525" s="8" t="n">
        <v>46253.34921296296</v>
      </c>
      <c r="N525" t="inlineStr">
        <is>
          <t>Oakley Novak</t>
        </is>
      </c>
      <c r="O525" s="8" t="n">
        <v>46253.37421296296</v>
      </c>
      <c r="P525" t="inlineStr">
        <is>
          <t>Oakley Fairweather</t>
        </is>
      </c>
      <c r="Q525" t="inlineStr">
        <is>
          <t>LEDGER_OR_CASHFLOW_RECEIVED</t>
        </is>
      </c>
      <c r="R525" t="inlineStr">
        <is>
          <t>SYRM_ACKNOWLEDGED</t>
        </is>
      </c>
      <c r="S525" t="inlineStr">
        <is>
          <t>View details</t>
        </is>
      </c>
    </row>
    <row r="526">
      <c r="A526" t="inlineStr">
        <is>
          <t>499062838623</t>
        </is>
      </c>
      <c r="B526" t="inlineStr">
        <is>
          <t>Larkspur Clearing New York</t>
        </is>
      </c>
      <c r="C526" t="inlineStr">
        <is>
          <t>794226063698</t>
        </is>
      </c>
      <c r="D526" t="inlineStr">
        <is>
          <t>Cedar Settlement Bank Hong Kong</t>
        </is>
      </c>
      <c r="E526" t="inlineStr">
        <is>
          <t>USD</t>
        </is>
      </c>
      <c r="F526" t="inlineStr">
        <is>
          <t>NT26081900520</t>
        </is>
      </c>
      <c r="G526" s="6" t="n">
        <v>46253</v>
      </c>
      <c r="H526" s="7" t="n">
        <v>852677935.7021999</v>
      </c>
      <c r="I526" t="inlineStr">
        <is>
          <t>GBP</t>
        </is>
      </c>
      <c r="J526" s="7" t="n">
        <v>668499501.591</v>
      </c>
      <c r="K526" t="inlineStr">
        <is>
          <t>SYRM</t>
        </is>
      </c>
      <c r="L526" t="inlineStr">
        <is>
          <t>Liquidity sweep</t>
        </is>
      </c>
      <c r="M526" s="8" t="n">
        <v>46253.34108796297</v>
      </c>
      <c r="N526" t="inlineStr">
        <is>
          <t>Oakley Rhodes</t>
        </is>
      </c>
      <c r="O526" s="8" t="n">
        <v>46253.3480324074</v>
      </c>
      <c r="P526" t="inlineStr">
        <is>
          <t>Quinn Brookes</t>
        </is>
      </c>
      <c r="Q526" t="inlineStr">
        <is>
          <t>LEDGER_OR_CASHFLOW_RECEIVED</t>
        </is>
      </c>
      <c r="R526" t="inlineStr">
        <is>
          <t>SYRM_ACKNOWLEDGED</t>
        </is>
      </c>
      <c r="S526" t="inlineStr">
        <is>
          <t>View details</t>
        </is>
      </c>
    </row>
    <row r="527">
      <c r="A527" t="inlineStr">
        <is>
          <t>499062838623</t>
        </is>
      </c>
      <c r="B527" t="inlineStr">
        <is>
          <t>Pinehurst Trust Toronto</t>
        </is>
      </c>
      <c r="C527" t="inlineStr">
        <is>
          <t>499062838623</t>
        </is>
      </c>
      <c r="D527" t="inlineStr">
        <is>
          <t>Kestrel Bank Frankfurt</t>
        </is>
      </c>
      <c r="E527" t="inlineStr">
        <is>
          <t>USD</t>
        </is>
      </c>
      <c r="F527" t="inlineStr">
        <is>
          <t>NT26081900521</t>
        </is>
      </c>
      <c r="G527" s="6" t="n">
        <v>46253</v>
      </c>
      <c r="H527" s="7" t="n">
        <v>477789125.3496</v>
      </c>
      <c r="I527" t="inlineStr">
        <is>
          <t>GBP</t>
        </is>
      </c>
      <c r="J527" s="7" t="n">
        <v>374586674.274</v>
      </c>
      <c r="K527" t="inlineStr">
        <is>
          <t>SYRM</t>
        </is>
      </c>
      <c r="L527" t="inlineStr">
        <is>
          <t>Funding move</t>
        </is>
      </c>
      <c r="M527" s="8" t="n">
        <v>46253.41899305556</v>
      </c>
      <c r="N527" t="inlineStr">
        <is>
          <t>Kai Novak</t>
        </is>
      </c>
      <c r="O527" s="8" t="n">
        <v>46253.46690972222</v>
      </c>
      <c r="P527" t="inlineStr">
        <is>
          <t>Quinn Lindqvist</t>
        </is>
      </c>
      <c r="Q527" t="inlineStr">
        <is>
          <t>LEDGER_OR_CASHFLOW_RECEIVED</t>
        </is>
      </c>
      <c r="R527" t="inlineStr">
        <is>
          <t>SYRM_PENDING</t>
        </is>
      </c>
      <c r="S527" t="inlineStr">
        <is>
          <t>View details</t>
        </is>
      </c>
    </row>
    <row r="528">
      <c r="A528" t="inlineStr">
        <is>
          <t>968942362772</t>
        </is>
      </c>
      <c r="B528" t="inlineStr">
        <is>
          <t>Juniper Bank Warsaw</t>
        </is>
      </c>
      <c r="C528" t="inlineStr">
        <is>
          <t>794226063698</t>
        </is>
      </c>
      <c r="D528" t="inlineStr">
        <is>
          <t>Ironbark Trust Dublin</t>
        </is>
      </c>
      <c r="E528" t="inlineStr">
        <is>
          <t>EUR</t>
        </is>
      </c>
      <c r="F528" t="inlineStr">
        <is>
          <t>NT26081900522</t>
        </is>
      </c>
      <c r="G528" s="6" t="n">
        <v>46253</v>
      </c>
      <c r="H528" s="7" t="n">
        <v>143170646.6664</v>
      </c>
      <c r="I528" t="inlineStr">
        <is>
          <t>GBP</t>
        </is>
      </c>
      <c r="J528" s="7" t="n">
        <v>122840414.84</v>
      </c>
      <c r="K528" t="inlineStr">
        <is>
          <t>SYRM</t>
        </is>
      </c>
      <c r="L528" t="inlineStr">
        <is>
          <t>Balance alignment</t>
        </is>
      </c>
      <c r="M528" s="8" t="n">
        <v>46253.65913194444</v>
      </c>
      <c r="N528" t="inlineStr">
        <is>
          <t>Finley Jennings</t>
        </is>
      </c>
      <c r="O528" s="8" t="n">
        <v>46253.70982638889</v>
      </c>
      <c r="P528" t="inlineStr">
        <is>
          <t>Ellis Delaney</t>
        </is>
      </c>
      <c r="Q528" t="inlineStr">
        <is>
          <t>LEDGER_OR_CASHFLOW_RECEIVED</t>
        </is>
      </c>
      <c r="R528" t="inlineStr">
        <is>
          <t>SYRM_ACKNOWLEDGED</t>
        </is>
      </c>
      <c r="S528" t="inlineStr">
        <is>
          <t>View details</t>
        </is>
      </c>
    </row>
    <row r="529">
      <c r="A529" t="inlineStr">
        <is>
          <t>910703979141</t>
        </is>
      </c>
      <c r="B529" t="inlineStr">
        <is>
          <t>Redstart Trust Mexico City</t>
        </is>
      </c>
      <c r="C529" t="inlineStr">
        <is>
          <t>794226063698</t>
        </is>
      </c>
      <c r="D529" t="inlineStr">
        <is>
          <t>Wrenfield Bank Paris</t>
        </is>
      </c>
      <c r="E529" t="inlineStr">
        <is>
          <t>CHF</t>
        </is>
      </c>
      <c r="F529" t="inlineStr">
        <is>
          <t>NT26081900523</t>
        </is>
      </c>
      <c r="G529" s="6" t="n">
        <v>46253</v>
      </c>
      <c r="H529" s="7" t="n">
        <v>33649270.7868</v>
      </c>
      <c r="I529" t="inlineStr">
        <is>
          <t>GBP</t>
        </is>
      </c>
      <c r="J529" s="7" t="n">
        <v>30183395.896</v>
      </c>
      <c r="K529" t="inlineStr">
        <is>
          <t>SYRM</t>
        </is>
      </c>
      <c r="L529" t="inlineStr">
        <is>
          <t>Balance alignment</t>
        </is>
      </c>
      <c r="M529" s="8" t="n">
        <v>46253.49266203704</v>
      </c>
      <c r="N529" t="inlineStr">
        <is>
          <t>Devon Calloway</t>
        </is>
      </c>
      <c r="O529" s="8" t="n"/>
      <c r="Q529" t="inlineStr">
        <is>
          <t>PENDING_APPROVAL</t>
        </is>
      </c>
      <c r="R529" t="inlineStr">
        <is>
          <t>SYRM_ACKNOWLEDGED</t>
        </is>
      </c>
      <c r="S529" t="inlineStr">
        <is>
          <t>View details</t>
        </is>
      </c>
    </row>
    <row r="530">
      <c r="A530" t="inlineStr">
        <is>
          <t>700726936098</t>
        </is>
      </c>
      <c r="B530" t="inlineStr">
        <is>
          <t>Larkspur Clearing New York</t>
        </is>
      </c>
      <c r="C530" t="inlineStr">
        <is>
          <t>910703979141</t>
        </is>
      </c>
      <c r="D530" t="inlineStr">
        <is>
          <t>Mallow Settlement Bank Warsaw</t>
        </is>
      </c>
      <c r="E530" t="inlineStr">
        <is>
          <t>SAR</t>
        </is>
      </c>
      <c r="F530" t="inlineStr">
        <is>
          <t>NT26081900524</t>
        </is>
      </c>
      <c r="G530" s="6" t="n">
        <v>46253</v>
      </c>
      <c r="H530" s="7" t="n">
        <v>1502583796.5102</v>
      </c>
      <c r="I530" t="inlineStr">
        <is>
          <t>GBP</t>
        </is>
      </c>
      <c r="J530" s="7" t="n">
        <v>314040013.471</v>
      </c>
      <c r="K530" t="inlineStr">
        <is>
          <t>SYRM</t>
        </is>
      </c>
      <c r="L530" t="inlineStr">
        <is>
          <t>Liquidity sweep</t>
        </is>
      </c>
      <c r="M530" s="8" t="n">
        <v>46253.38450231482</v>
      </c>
      <c r="N530" t="inlineStr">
        <is>
          <t>Quinn Osgood</t>
        </is>
      </c>
      <c r="O530" s="8" t="n"/>
      <c r="Q530" t="inlineStr">
        <is>
          <t>PENDING_APPROVAL</t>
        </is>
      </c>
      <c r="R530" t="inlineStr">
        <is>
          <t>SYRM_ACKNOWLEDGED</t>
        </is>
      </c>
      <c r="S530" t="inlineStr">
        <is>
          <t>View details</t>
        </is>
      </c>
    </row>
    <row r="531">
      <c r="A531" t="inlineStr">
        <is>
          <t>898317028833</t>
        </is>
      </c>
      <c r="B531" t="inlineStr">
        <is>
          <t>Ironbark Trust Dublin</t>
        </is>
      </c>
      <c r="C531" t="inlineStr">
        <is>
          <t>898317028833</t>
        </is>
      </c>
      <c r="D531" t="inlineStr">
        <is>
          <t>Harrow Bank Milan</t>
        </is>
      </c>
      <c r="E531" t="inlineStr">
        <is>
          <t>GBP</t>
        </is>
      </c>
      <c r="F531" t="inlineStr">
        <is>
          <t>NT26081900525</t>
        </is>
      </c>
      <c r="G531" s="6" t="n">
        <v>46253</v>
      </c>
      <c r="H531" s="7" t="n">
        <v>21588463.3644</v>
      </c>
      <c r="I531" t="inlineStr">
        <is>
          <t>GBP</t>
        </is>
      </c>
      <c r="J531" s="7" t="n">
        <v>21588463.364</v>
      </c>
      <c r="K531" t="inlineStr">
        <is>
          <t>SWIFT</t>
        </is>
      </c>
      <c r="L531" t="inlineStr"/>
      <c r="M531" s="8" t="n">
        <v>46253.50065972222</v>
      </c>
      <c r="N531" t="inlineStr">
        <is>
          <t>Finley Hollis</t>
        </is>
      </c>
      <c r="O531" s="8" t="n">
        <v>46253.52010416667</v>
      </c>
      <c r="P531" t="inlineStr">
        <is>
          <t>Marlow Sinclair</t>
        </is>
      </c>
      <c r="Q531" t="inlineStr">
        <is>
          <t>LEDGER_OR_CASHFLOW_RECEIVED</t>
        </is>
      </c>
      <c r="R531" t="inlineStr">
        <is>
          <t>SYRM_ACKNOWLEDGED</t>
        </is>
      </c>
      <c r="S531" t="inlineStr">
        <is>
          <t>View details</t>
        </is>
      </c>
    </row>
    <row r="532">
      <c r="A532" t="inlineStr">
        <is>
          <t>150316825069</t>
        </is>
      </c>
      <c r="B532" t="inlineStr">
        <is>
          <t>Zephyr Settlement Bank Sydney</t>
        </is>
      </c>
      <c r="C532" t="inlineStr">
        <is>
          <t>794226063698</t>
        </is>
      </c>
      <c r="D532" t="inlineStr">
        <is>
          <t>Ironbark Clearing Frankfurt</t>
        </is>
      </c>
      <c r="E532" t="inlineStr">
        <is>
          <t>GBP</t>
        </is>
      </c>
      <c r="F532" t="inlineStr">
        <is>
          <t>NT26081900526</t>
        </is>
      </c>
      <c r="G532" s="6" t="n">
        <v>46253</v>
      </c>
      <c r="H532" s="7" t="n">
        <v>204590232.7002</v>
      </c>
      <c r="I532" t="inlineStr">
        <is>
          <t>GBP</t>
        </is>
      </c>
      <c r="J532" s="7" t="n">
        <v>204590232.7</v>
      </c>
      <c r="K532" t="inlineStr">
        <is>
          <t>SYRM</t>
        </is>
      </c>
      <c r="L532" t="inlineStr">
        <is>
          <t>Balance alignment</t>
        </is>
      </c>
      <c r="M532" s="8" t="n">
        <v>46253.36712962963</v>
      </c>
      <c r="N532" t="inlineStr">
        <is>
          <t>Ellis Delaney</t>
        </is>
      </c>
      <c r="O532" s="8" t="n">
        <v>46253.39212962963</v>
      </c>
      <c r="P532" t="inlineStr">
        <is>
          <t>Kai Novak</t>
        </is>
      </c>
      <c r="Q532" t="inlineStr">
        <is>
          <t>LEDGER_OR_CASHFLOW_RECEIVED</t>
        </is>
      </c>
      <c r="R532" t="inlineStr">
        <is>
          <t>SYRM_ACKNOWLEDGED</t>
        </is>
      </c>
      <c r="S532" t="inlineStr">
        <is>
          <t>View details</t>
        </is>
      </c>
    </row>
    <row r="533">
      <c r="A533" t="inlineStr">
        <is>
          <t>150316825069</t>
        </is>
      </c>
      <c r="B533" t="inlineStr">
        <is>
          <t>Zephyr Commercial Bank Oslo</t>
        </is>
      </c>
      <c r="C533" t="inlineStr">
        <is>
          <t>953625291146</t>
        </is>
      </c>
      <c r="D533" t="inlineStr">
        <is>
          <t>Harrow Bank Milan</t>
        </is>
      </c>
      <c r="E533" t="inlineStr">
        <is>
          <t>GBP</t>
        </is>
      </c>
      <c r="F533" t="inlineStr">
        <is>
          <t>NT26081900527</t>
        </is>
      </c>
      <c r="G533" s="6" t="n">
        <v>46253</v>
      </c>
      <c r="H533" s="7" t="n">
        <v>397319361.2154</v>
      </c>
      <c r="I533" t="inlineStr">
        <is>
          <t>GBP</t>
        </is>
      </c>
      <c r="J533" s="7" t="n">
        <v>397319361.215</v>
      </c>
      <c r="K533" t="inlineStr">
        <is>
          <t>SYRM</t>
        </is>
      </c>
      <c r="L533" t="inlineStr">
        <is>
          <t>Funding move</t>
        </is>
      </c>
      <c r="M533" s="8" t="n">
        <v>46253.47854166666</v>
      </c>
      <c r="N533" t="inlineStr">
        <is>
          <t>Lennox Ellison</t>
        </is>
      </c>
      <c r="O533" s="8" t="n">
        <v>46253.49590277778</v>
      </c>
      <c r="P533" t="inlineStr">
        <is>
          <t>Quinn Lindqvist</t>
        </is>
      </c>
      <c r="Q533" t="inlineStr">
        <is>
          <t>LEDGER_OR_CASHFLOW_RECEIVED</t>
        </is>
      </c>
      <c r="R533" t="inlineStr">
        <is>
          <t>SYRM_ACKNOWLEDGED</t>
        </is>
      </c>
      <c r="S533" t="inlineStr">
        <is>
          <t>View details</t>
        </is>
      </c>
    </row>
    <row r="534">
      <c r="A534" t="inlineStr">
        <is>
          <t>150316825069</t>
        </is>
      </c>
      <c r="B534" t="inlineStr">
        <is>
          <t>Juniper Clearing Hong Kong</t>
        </is>
      </c>
      <c r="C534" t="inlineStr">
        <is>
          <t>150316825069</t>
        </is>
      </c>
      <c r="D534" t="inlineStr">
        <is>
          <t>Zephyr Settlement Bank New York</t>
        </is>
      </c>
      <c r="E534" t="inlineStr">
        <is>
          <t>GBP</t>
        </is>
      </c>
      <c r="F534" t="inlineStr">
        <is>
          <t>NT26081900528</t>
        </is>
      </c>
      <c r="G534" s="6" t="n">
        <v>46253</v>
      </c>
      <c r="H534" s="7" t="n">
        <v>5625088.857000001</v>
      </c>
      <c r="I534" t="inlineStr">
        <is>
          <t>GBP</t>
        </is>
      </c>
      <c r="J534" s="7" t="n">
        <v>5625088.857</v>
      </c>
      <c r="K534" t="inlineStr">
        <is>
          <t>SYRM</t>
        </is>
      </c>
      <c r="L534" t="inlineStr">
        <is>
          <t>Liquidity sweep</t>
        </is>
      </c>
      <c r="M534" s="8" t="n">
        <v>46253.71642361111</v>
      </c>
      <c r="N534" t="inlineStr">
        <is>
          <t>Blake Fairweather</t>
        </is>
      </c>
      <c r="O534" s="8" t="n">
        <v>46253.74975694445</v>
      </c>
      <c r="P534" t="inlineStr">
        <is>
          <t>Quinn Brookes</t>
        </is>
      </c>
      <c r="Q534" t="inlineStr">
        <is>
          <t>CASHFLOW_RECEIVED</t>
        </is>
      </c>
      <c r="R534" t="inlineStr">
        <is>
          <t>SYRM_ACKNOWLEDGED</t>
        </is>
      </c>
      <c r="S534" t="inlineStr">
        <is>
          <t>View details</t>
        </is>
      </c>
    </row>
    <row r="535">
      <c r="A535" t="inlineStr">
        <is>
          <t>910703979141</t>
        </is>
      </c>
      <c r="B535" t="inlineStr">
        <is>
          <t>Yarrow Settlement Bank Oslo</t>
        </is>
      </c>
      <c r="C535" t="inlineStr">
        <is>
          <t>499062838623</t>
        </is>
      </c>
      <c r="D535" t="inlineStr">
        <is>
          <t>Granite Commercial Bank Milan</t>
        </is>
      </c>
      <c r="E535" t="inlineStr">
        <is>
          <t>CHF</t>
        </is>
      </c>
      <c r="F535" t="inlineStr">
        <is>
          <t>NT26081900529</t>
        </is>
      </c>
      <c r="G535" s="6" t="n">
        <v>46253</v>
      </c>
      <c r="H535" s="7" t="n">
        <v>53437898.5614</v>
      </c>
      <c r="I535" t="inlineStr">
        <is>
          <t>GBP</t>
        </is>
      </c>
      <c r="J535" s="7" t="n">
        <v>47933795.01</v>
      </c>
      <c r="K535" t="inlineStr">
        <is>
          <t>SYRM</t>
        </is>
      </c>
      <c r="L535" t="inlineStr">
        <is>
          <t>Balance alignment</t>
        </is>
      </c>
      <c r="M535" s="8" t="n">
        <v>46253.37017361111</v>
      </c>
      <c r="N535" t="inlineStr">
        <is>
          <t>Noor Thorne</t>
        </is>
      </c>
      <c r="O535" s="8" t="n">
        <v>46253.41809027778</v>
      </c>
      <c r="P535" t="inlineStr">
        <is>
          <t>Oakley Rhodes</t>
        </is>
      </c>
      <c r="Q535" t="inlineStr">
        <is>
          <t>LEDGER_OR_CASHFLOW_RECEIVED</t>
        </is>
      </c>
      <c r="R535" t="inlineStr">
        <is>
          <t>SYRM_ACKNOWLEDGED</t>
        </is>
      </c>
      <c r="S535" t="inlineStr">
        <is>
          <t>View details</t>
        </is>
      </c>
    </row>
    <row r="536">
      <c r="A536" t="inlineStr">
        <is>
          <t>898317028833</t>
        </is>
      </c>
      <c r="B536" t="inlineStr">
        <is>
          <t>Oriel Commercial Bank Toronto</t>
        </is>
      </c>
      <c r="C536" t="inlineStr">
        <is>
          <t>468341071172</t>
        </is>
      </c>
      <c r="D536" t="inlineStr">
        <is>
          <t>Juniper Commercial Bank Warsaw</t>
        </is>
      </c>
      <c r="E536" t="inlineStr">
        <is>
          <t>GBP</t>
        </is>
      </c>
      <c r="F536" t="inlineStr">
        <is>
          <t>NT26081900530</t>
        </is>
      </c>
      <c r="G536" s="6" t="n">
        <v>46253</v>
      </c>
      <c r="H536" s="7" t="n">
        <v>95930.67420000001</v>
      </c>
      <c r="I536" t="inlineStr">
        <is>
          <t>GBP</t>
        </is>
      </c>
      <c r="J536" s="7" t="n">
        <v>95930.674</v>
      </c>
      <c r="K536" t="inlineStr">
        <is>
          <t>SYRM</t>
        </is>
      </c>
      <c r="L536" t="inlineStr"/>
      <c r="M536" s="8" t="n">
        <v>46253.48537037037</v>
      </c>
      <c r="N536" t="inlineStr">
        <is>
          <t>Wren Fairweather</t>
        </is>
      </c>
      <c r="O536" s="8" t="n"/>
      <c r="Q536" t="inlineStr">
        <is>
          <t>PENDING_APPROVAL</t>
        </is>
      </c>
      <c r="R536" t="inlineStr">
        <is>
          <t>SYRM_ACKNOWLEDGED</t>
        </is>
      </c>
      <c r="S536" t="inlineStr">
        <is>
          <t>View details</t>
        </is>
      </c>
    </row>
    <row r="537">
      <c r="A537" t="inlineStr">
        <is>
          <t>120047354818</t>
        </is>
      </c>
      <c r="B537" t="inlineStr">
        <is>
          <t>Kestrel Clearing Oslo</t>
        </is>
      </c>
      <c r="C537" t="inlineStr">
        <is>
          <t>794226063698</t>
        </is>
      </c>
      <c r="D537" t="inlineStr">
        <is>
          <t>Bramble Bank Milan</t>
        </is>
      </c>
      <c r="E537" t="inlineStr">
        <is>
          <t>USD</t>
        </is>
      </c>
      <c r="F537" t="inlineStr">
        <is>
          <t>NT26081900531</t>
        </is>
      </c>
      <c r="G537" s="6" t="n">
        <v>46253</v>
      </c>
      <c r="H537" s="7" t="n">
        <v>498294674.8218001</v>
      </c>
      <c r="I537" t="inlineStr">
        <is>
          <t>GBP</t>
        </is>
      </c>
      <c r="J537" s="7" t="n">
        <v>390663025.06</v>
      </c>
      <c r="K537" t="inlineStr">
        <is>
          <t>INTERNAL</t>
        </is>
      </c>
      <c r="L537" t="inlineStr">
        <is>
          <t>Funding move</t>
        </is>
      </c>
      <c r="M537" s="8" t="n">
        <v>46253.50685185185</v>
      </c>
      <c r="N537" t="inlineStr">
        <is>
          <t>Oakley Delaney</t>
        </is>
      </c>
      <c r="O537" s="8" t="n">
        <v>46253.51310185185</v>
      </c>
      <c r="P537" t="inlineStr">
        <is>
          <t>Kai Novak</t>
        </is>
      </c>
      <c r="Q537" t="inlineStr">
        <is>
          <t>LEDGER_OR_CASHFLOW_RECEIVED</t>
        </is>
      </c>
      <c r="R537" t="inlineStr">
        <is>
          <t>SYRM_ACKNOWLEDGED</t>
        </is>
      </c>
      <c r="S537" t="inlineStr">
        <is>
          <t>View details</t>
        </is>
      </c>
    </row>
    <row r="538">
      <c r="A538" t="inlineStr">
        <is>
          <t>150316825069</t>
        </is>
      </c>
      <c r="B538" t="inlineStr">
        <is>
          <t>Wrenfield Clearing Frankfurt</t>
        </is>
      </c>
      <c r="C538" t="inlineStr">
        <is>
          <t>120047354818</t>
        </is>
      </c>
      <c r="D538" t="inlineStr">
        <is>
          <t>Juniper Bank Warsaw</t>
        </is>
      </c>
      <c r="E538" t="inlineStr">
        <is>
          <t>GBP</t>
        </is>
      </c>
      <c r="F538" t="inlineStr">
        <is>
          <t>NT26081900532</t>
        </is>
      </c>
      <c r="G538" s="6" t="n">
        <v>46253</v>
      </c>
      <c r="H538" s="7" t="n">
        <v>54738822.8934</v>
      </c>
      <c r="I538" t="inlineStr">
        <is>
          <t>GBP</t>
        </is>
      </c>
      <c r="J538" s="7" t="n">
        <v>54738822.893</v>
      </c>
      <c r="K538" t="inlineStr">
        <is>
          <t>SYRM</t>
        </is>
      </c>
      <c r="L538" t="inlineStr">
        <is>
          <t>Liquidity sweep</t>
        </is>
      </c>
      <c r="M538" s="8" t="n">
        <v>46253.56387731482</v>
      </c>
      <c r="N538" t="inlineStr">
        <is>
          <t>Ellis Gallagher</t>
        </is>
      </c>
      <c r="O538" s="8" t="n">
        <v>46253.58401620371</v>
      </c>
      <c r="P538" t="inlineStr">
        <is>
          <t>Wren Fairweather</t>
        </is>
      </c>
      <c r="Q538" t="inlineStr">
        <is>
          <t>LEDGER_OR_CASHFLOW_RECEIVED</t>
        </is>
      </c>
      <c r="R538" t="inlineStr">
        <is>
          <t>SYRM_PENDING</t>
        </is>
      </c>
      <c r="S538" t="inlineStr">
        <is>
          <t>View details</t>
        </is>
      </c>
    </row>
    <row r="539">
      <c r="A539" t="inlineStr">
        <is>
          <t>284925023085</t>
        </is>
      </c>
      <c r="B539" t="inlineStr">
        <is>
          <t>Pinehurst Clearing Oslo</t>
        </is>
      </c>
      <c r="C539" t="inlineStr">
        <is>
          <t>468341071172</t>
        </is>
      </c>
      <c r="D539" t="inlineStr">
        <is>
          <t>Pinehurst Settlement Bank Frankfurt</t>
        </is>
      </c>
      <c r="E539" t="inlineStr">
        <is>
          <t>MXN</t>
        </is>
      </c>
      <c r="F539" t="inlineStr">
        <is>
          <t>NT26081900533</t>
        </is>
      </c>
      <c r="G539" s="6" t="n">
        <v>46253</v>
      </c>
      <c r="H539" s="7" t="n">
        <v>273228756.4494</v>
      </c>
      <c r="I539" t="inlineStr">
        <is>
          <t>GBP</t>
        </is>
      </c>
      <c r="J539" s="7" t="n">
        <v>11694190.776</v>
      </c>
      <c r="K539" t="inlineStr">
        <is>
          <t>SWIFT</t>
        </is>
      </c>
      <c r="L539" t="inlineStr">
        <is>
          <t>Balance alignment</t>
        </is>
      </c>
      <c r="M539" s="8" t="n">
        <v>46253.46619212963</v>
      </c>
      <c r="N539" t="inlineStr">
        <is>
          <t>Oakley Rhodes</t>
        </is>
      </c>
      <c r="O539" s="8" t="n">
        <v>46253.52799768518</v>
      </c>
      <c r="P539" t="inlineStr">
        <is>
          <t>Quinn Brookes</t>
        </is>
      </c>
      <c r="Q539" t="inlineStr">
        <is>
          <t>LEDGER_OR_CASHFLOW_RECEIVED</t>
        </is>
      </c>
      <c r="R539" t="inlineStr">
        <is>
          <t>SYRM_ACKNOWLEDGED</t>
        </is>
      </c>
      <c r="S539" t="inlineStr">
        <is>
          <t>View details</t>
        </is>
      </c>
    </row>
    <row r="540">
      <c r="A540" t="inlineStr">
        <is>
          <t>898317028833</t>
        </is>
      </c>
      <c r="B540" t="inlineStr">
        <is>
          <t>Pinehurst Clearing Oslo</t>
        </is>
      </c>
      <c r="C540" t="inlineStr">
        <is>
          <t>910703979141</t>
        </is>
      </c>
      <c r="D540" t="inlineStr">
        <is>
          <t>Alder Settlement Bank Paris</t>
        </is>
      </c>
      <c r="E540" t="inlineStr">
        <is>
          <t>GBP</t>
        </is>
      </c>
      <c r="F540" t="inlineStr">
        <is>
          <t>NT26081900534</t>
        </is>
      </c>
      <c r="G540" s="6" t="n">
        <v>46253</v>
      </c>
      <c r="H540" s="7" t="n">
        <v>13398.8706</v>
      </c>
      <c r="I540" t="inlineStr">
        <is>
          <t>GBP</t>
        </is>
      </c>
      <c r="J540" s="7" t="n">
        <v>13398.871</v>
      </c>
      <c r="K540" t="inlineStr">
        <is>
          <t>SWIFT</t>
        </is>
      </c>
      <c r="L540" t="inlineStr"/>
      <c r="M540" s="8" t="n">
        <v>46253.41256944444</v>
      </c>
      <c r="N540" t="inlineStr">
        <is>
          <t>Marlow Rhodes</t>
        </is>
      </c>
      <c r="O540" s="8" t="n">
        <v>46253.461875</v>
      </c>
      <c r="P540" t="inlineStr">
        <is>
          <t>Devon Calloway</t>
        </is>
      </c>
      <c r="Q540" t="inlineStr">
        <is>
          <t>LEDGER_OR_CASHFLOW_RECEIVED</t>
        </is>
      </c>
      <c r="R540" t="inlineStr">
        <is>
          <t>SYRM_ACKNOWLEDGED</t>
        </is>
      </c>
      <c r="S540" t="inlineStr">
        <is>
          <t>View details</t>
        </is>
      </c>
    </row>
    <row r="541">
      <c r="A541" t="inlineStr">
        <is>
          <t>968942362772</t>
        </is>
      </c>
      <c r="B541" t="inlineStr">
        <is>
          <t>Cedar Settlement Bank Hong Kong</t>
        </is>
      </c>
      <c r="C541" t="inlineStr">
        <is>
          <t>499062838623</t>
        </is>
      </c>
      <c r="D541" t="inlineStr">
        <is>
          <t>Juniper Bank Warsaw</t>
        </is>
      </c>
      <c r="E541" t="inlineStr">
        <is>
          <t>EUR</t>
        </is>
      </c>
      <c r="F541" t="inlineStr">
        <is>
          <t>NT26081900535</t>
        </is>
      </c>
      <c r="G541" s="6" t="n">
        <v>46253</v>
      </c>
      <c r="H541" s="7" t="n">
        <v>180.6912</v>
      </c>
      <c r="I541" t="inlineStr">
        <is>
          <t>GBP</t>
        </is>
      </c>
      <c r="J541" s="7" t="n">
        <v>155.033</v>
      </c>
      <c r="K541" t="inlineStr">
        <is>
          <t>SWIFT</t>
        </is>
      </c>
      <c r="L541" t="inlineStr">
        <is>
          <t>Intraday top-up</t>
        </is>
      </c>
      <c r="M541" s="8" t="n">
        <v>46253.40012731482</v>
      </c>
      <c r="N541" t="inlineStr">
        <is>
          <t>Devon Calloway</t>
        </is>
      </c>
      <c r="O541" s="8" t="n">
        <v>46253.41957175926</v>
      </c>
      <c r="P541" t="inlineStr">
        <is>
          <t>Harper Hollis</t>
        </is>
      </c>
      <c r="Q541" t="inlineStr">
        <is>
          <t>LEDGER_OR_CASHFLOW_RECEIVED</t>
        </is>
      </c>
      <c r="R541" t="inlineStr">
        <is>
          <t>SYRM_ACKNOWLEDGED</t>
        </is>
      </c>
      <c r="S541" t="inlineStr">
        <is>
          <t>View details</t>
        </is>
      </c>
    </row>
    <row r="542">
      <c r="A542" t="inlineStr">
        <is>
          <t>968942362772</t>
        </is>
      </c>
      <c r="B542" t="inlineStr">
        <is>
          <t>Wrenfield Commercial Bank Oslo</t>
        </is>
      </c>
      <c r="C542" t="inlineStr">
        <is>
          <t>284925023085</t>
        </is>
      </c>
      <c r="D542" t="inlineStr">
        <is>
          <t>Larkspur Clearing New York</t>
        </is>
      </c>
      <c r="E542" t="inlineStr">
        <is>
          <t>EUR</t>
        </is>
      </c>
      <c r="F542" t="inlineStr">
        <is>
          <t>NT26081900536</t>
        </is>
      </c>
      <c r="G542" s="6" t="n">
        <v>46253</v>
      </c>
      <c r="H542" s="7" t="n">
        <v>1079438.8428</v>
      </c>
      <c r="I542" t="inlineStr">
        <is>
          <t>GBP</t>
        </is>
      </c>
      <c r="J542" s="7" t="n">
        <v>926158.527</v>
      </c>
      <c r="K542" t="inlineStr">
        <is>
          <t>SWIFT</t>
        </is>
      </c>
      <c r="L542" t="inlineStr"/>
      <c r="M542" s="8" t="n">
        <v>46253.94755787037</v>
      </c>
      <c r="N542" t="inlineStr">
        <is>
          <t>Harper Hollis</t>
        </is>
      </c>
      <c r="O542" s="8" t="n">
        <v>46253.97533564815</v>
      </c>
      <c r="P542" t="inlineStr">
        <is>
          <t>Harper Hollis</t>
        </is>
      </c>
      <c r="Q542" t="inlineStr">
        <is>
          <t>LEDGER_OR_CASHFLOW_RECEIVED</t>
        </is>
      </c>
      <c r="R542" t="inlineStr">
        <is>
          <t>SYRM_ACKNOWLEDGED</t>
        </is>
      </c>
      <c r="S542" t="inlineStr">
        <is>
          <t>View details</t>
        </is>
      </c>
    </row>
    <row r="543">
      <c r="A543" t="inlineStr">
        <is>
          <t>621381112674</t>
        </is>
      </c>
      <c r="B543" t="inlineStr">
        <is>
          <t>Cedar Clearing New York</t>
        </is>
      </c>
      <c r="C543" t="inlineStr">
        <is>
          <t>150316825069</t>
        </is>
      </c>
      <c r="D543" t="inlineStr">
        <is>
          <t>Kestrel Bank Frankfurt</t>
        </is>
      </c>
      <c r="E543" t="inlineStr">
        <is>
          <t>PLN</t>
        </is>
      </c>
      <c r="F543" t="inlineStr">
        <is>
          <t>NT26081900537</t>
        </is>
      </c>
      <c r="G543" s="6" t="n">
        <v>46253</v>
      </c>
      <c r="H543" s="7" t="n">
        <v>334952.9892</v>
      </c>
      <c r="I543" t="inlineStr">
        <is>
          <t>GBP</t>
        </is>
      </c>
      <c r="J543" s="7" t="n">
        <v>66320.692</v>
      </c>
      <c r="K543" t="inlineStr">
        <is>
          <t>SYRM</t>
        </is>
      </c>
      <c r="L543" t="inlineStr">
        <is>
          <t>Funding move</t>
        </is>
      </c>
      <c r="M543" s="8" t="n">
        <v>46253.31594907407</v>
      </c>
      <c r="N543" t="inlineStr">
        <is>
          <t>Avery Prentice</t>
        </is>
      </c>
      <c r="O543" s="8" t="n"/>
      <c r="Q543" t="inlineStr">
        <is>
          <t>PENDING_APPROVAL</t>
        </is>
      </c>
      <c r="R543" t="inlineStr">
        <is>
          <t>SYRM_ACKNOWLEDGED</t>
        </is>
      </c>
      <c r="S543" t="inlineStr">
        <is>
          <t>View details</t>
        </is>
      </c>
    </row>
    <row r="544">
      <c r="A544" t="inlineStr">
        <is>
          <t>700726936098</t>
        </is>
      </c>
      <c r="B544" t="inlineStr">
        <is>
          <t>Granite Commercial Bank Milan</t>
        </is>
      </c>
      <c r="C544" t="inlineStr">
        <is>
          <t>499062838623</t>
        </is>
      </c>
      <c r="D544" t="inlineStr">
        <is>
          <t>Bramble Bank Milan</t>
        </is>
      </c>
      <c r="E544" t="inlineStr">
        <is>
          <t>SAR</t>
        </is>
      </c>
      <c r="F544" t="inlineStr">
        <is>
          <t>NT26081900538</t>
        </is>
      </c>
      <c r="G544" s="6" t="n">
        <v>46253</v>
      </c>
      <c r="H544" s="7" t="n">
        <v>7.828200000000001</v>
      </c>
      <c r="I544" t="inlineStr">
        <is>
          <t>GBP</t>
        </is>
      </c>
      <c r="J544" s="7" t="n">
        <v>1.636</v>
      </c>
      <c r="K544" t="inlineStr">
        <is>
          <t>SYRM</t>
        </is>
      </c>
      <c r="L544" t="inlineStr">
        <is>
          <t>Liquidity sweep</t>
        </is>
      </c>
      <c r="M544" s="8" t="n">
        <v>46253.65829861111</v>
      </c>
      <c r="N544" t="inlineStr">
        <is>
          <t>Quinn Brookes</t>
        </is>
      </c>
      <c r="O544" s="8" t="n">
        <v>46253.70621527778</v>
      </c>
      <c r="P544" t="inlineStr">
        <is>
          <t>Harper Hollis</t>
        </is>
      </c>
      <c r="Q544" t="inlineStr">
        <is>
          <t>LEDGER_OR_CASHFLOW_RECEIVED</t>
        </is>
      </c>
      <c r="R544" t="inlineStr">
        <is>
          <t>SYRM_PENDING</t>
        </is>
      </c>
      <c r="S544" t="inlineStr">
        <is>
          <t>View details</t>
        </is>
      </c>
    </row>
    <row r="545">
      <c r="A545" t="inlineStr">
        <is>
          <t>910703979141</t>
        </is>
      </c>
      <c r="B545" t="inlineStr">
        <is>
          <t>Yarrow Bank Stockholm</t>
        </is>
      </c>
      <c r="C545" t="inlineStr">
        <is>
          <t>621381112674</t>
        </is>
      </c>
      <c r="D545" t="inlineStr">
        <is>
          <t>Wrenfield Clearing Frankfurt</t>
        </is>
      </c>
      <c r="E545" t="inlineStr">
        <is>
          <t>CHF</t>
        </is>
      </c>
      <c r="F545" t="inlineStr">
        <is>
          <t>NT26081900539</t>
        </is>
      </c>
      <c r="G545" s="6" t="n">
        <v>46253</v>
      </c>
      <c r="H545" s="7" t="n">
        <v>29923647.1416</v>
      </c>
      <c r="I545" t="inlineStr">
        <is>
          <t>GBP</t>
        </is>
      </c>
      <c r="J545" s="7" t="n">
        <v>26841511.486</v>
      </c>
      <c r="K545" t="inlineStr">
        <is>
          <t>SYRM</t>
        </is>
      </c>
      <c r="L545" t="inlineStr"/>
      <c r="M545" s="8" t="n">
        <v>46253.30863425926</v>
      </c>
      <c r="N545" t="inlineStr">
        <is>
          <t>Devon Calloway</t>
        </is>
      </c>
      <c r="O545" s="8" t="n">
        <v>46253.37460648148</v>
      </c>
      <c r="P545" t="inlineStr">
        <is>
          <t>Harper Hollis</t>
        </is>
      </c>
      <c r="Q545" t="inlineStr">
        <is>
          <t>LEDGER_OR_CASHFLOW_RECEIVED</t>
        </is>
      </c>
      <c r="R545" t="inlineStr">
        <is>
          <t>SYRM_ACKNOWLEDGED</t>
        </is>
      </c>
      <c r="S545" t="inlineStr">
        <is>
          <t>View details</t>
        </is>
      </c>
    </row>
    <row r="546">
      <c r="A546" t="inlineStr">
        <is>
          <t>726928343448</t>
        </is>
      </c>
      <c r="B546" t="inlineStr">
        <is>
          <t>Larkspur Clearing New York</t>
        </is>
      </c>
      <c r="C546" t="inlineStr">
        <is>
          <t>953625291146</t>
        </is>
      </c>
      <c r="D546" t="inlineStr">
        <is>
          <t>Yarrow Bank Stockholm</t>
        </is>
      </c>
      <c r="E546" t="inlineStr">
        <is>
          <t>EUR</t>
        </is>
      </c>
      <c r="F546" t="inlineStr">
        <is>
          <t>NT26081900540</t>
        </is>
      </c>
      <c r="G546" s="6" t="n">
        <v>46253</v>
      </c>
      <c r="H546" s="7" t="n">
        <v>4263131.104200001</v>
      </c>
      <c r="I546" t="inlineStr">
        <is>
          <t>GBP</t>
        </is>
      </c>
      <c r="J546" s="7" t="n">
        <v>3657766.487</v>
      </c>
      <c r="K546" t="inlineStr">
        <is>
          <t>INTERNAL</t>
        </is>
      </c>
      <c r="L546" t="inlineStr"/>
      <c r="M546" s="8" t="n">
        <v>46253.81623842593</v>
      </c>
      <c r="N546" t="inlineStr">
        <is>
          <t>Blake Fairweather</t>
        </is>
      </c>
      <c r="O546" s="8" t="n">
        <v>46253.8440162037</v>
      </c>
      <c r="P546" t="inlineStr">
        <is>
          <t>Marlow Rhodes</t>
        </is>
      </c>
      <c r="Q546" t="inlineStr">
        <is>
          <t>LEDGER_OR_CASHFLOW_RECEIVED</t>
        </is>
      </c>
      <c r="R546" t="inlineStr">
        <is>
          <t>SYRM_ACKNOWLEDGED</t>
        </is>
      </c>
      <c r="S546" t="inlineStr">
        <is>
          <t>View details</t>
        </is>
      </c>
    </row>
    <row r="547">
      <c r="A547" t="inlineStr">
        <is>
          <t>150316825069</t>
        </is>
      </c>
      <c r="B547" t="inlineStr">
        <is>
          <t>Bramble Commercial Bank Toronto</t>
        </is>
      </c>
      <c r="C547" t="inlineStr">
        <is>
          <t>132544340094</t>
        </is>
      </c>
      <c r="D547" t="inlineStr">
        <is>
          <t>Juniper Commercial Bank Warsaw</t>
        </is>
      </c>
      <c r="E547" t="inlineStr">
        <is>
          <t>GBP</t>
        </is>
      </c>
      <c r="F547" t="inlineStr">
        <is>
          <t>NT26081900541</t>
        </is>
      </c>
      <c r="G547" s="6" t="n">
        <v>46253</v>
      </c>
      <c r="H547" s="7" t="n">
        <v>106577908.0614</v>
      </c>
      <c r="I547" t="inlineStr">
        <is>
          <t>GBP</t>
        </is>
      </c>
      <c r="J547" s="7" t="n">
        <v>106577908.061</v>
      </c>
      <c r="K547" t="inlineStr">
        <is>
          <t>INTERNAL</t>
        </is>
      </c>
      <c r="L547" t="inlineStr">
        <is>
          <t>Intraday top-up</t>
        </is>
      </c>
      <c r="M547" s="8" t="n">
        <v>46253.38518518519</v>
      </c>
      <c r="N547" t="inlineStr">
        <is>
          <t>Harper Calloway</t>
        </is>
      </c>
      <c r="O547" s="8" t="n">
        <v>46253.40949074074</v>
      </c>
      <c r="P547" t="inlineStr">
        <is>
          <t>Marlow Rhodes</t>
        </is>
      </c>
      <c r="Q547" t="inlineStr">
        <is>
          <t>LEDGER_OR_CASHFLOW_RECEIVED</t>
        </is>
      </c>
      <c r="R547" t="inlineStr">
        <is>
          <t>SYRM_ACKNOWLEDGED</t>
        </is>
      </c>
      <c r="S547" t="inlineStr">
        <is>
          <t>View details</t>
        </is>
      </c>
    </row>
    <row r="548">
      <c r="A548" t="inlineStr">
        <is>
          <t>468341071172</t>
        </is>
      </c>
      <c r="B548" t="inlineStr">
        <is>
          <t>Kestrel Bank Frankfurt</t>
        </is>
      </c>
      <c r="C548" t="inlineStr">
        <is>
          <t>150316825069</t>
        </is>
      </c>
      <c r="D548" t="inlineStr">
        <is>
          <t>Bramble Bank Milan</t>
        </is>
      </c>
      <c r="E548" t="inlineStr">
        <is>
          <t>EUR</t>
        </is>
      </c>
      <c r="F548" t="inlineStr">
        <is>
          <t>NT26081900542</t>
        </is>
      </c>
      <c r="G548" s="6" t="n">
        <v>46253</v>
      </c>
      <c r="H548" s="7" t="n">
        <v>1067181122.4012</v>
      </c>
      <c r="I548" t="inlineStr">
        <is>
          <t>GBP</t>
        </is>
      </c>
      <c r="J548" s="7" t="n">
        <v>915641403.02</v>
      </c>
      <c r="K548" t="inlineStr">
        <is>
          <t>SYRM</t>
        </is>
      </c>
      <c r="L548" t="inlineStr">
        <is>
          <t>Funding move</t>
        </is>
      </c>
      <c r="M548" s="8" t="n">
        <v>46253.40603009259</v>
      </c>
      <c r="N548" t="inlineStr">
        <is>
          <t>Oakley Rhodes</t>
        </is>
      </c>
      <c r="O548" s="8" t="n">
        <v>46253.4546412037</v>
      </c>
      <c r="P548" t="inlineStr">
        <is>
          <t>Noor Thorne</t>
        </is>
      </c>
      <c r="Q548" t="inlineStr">
        <is>
          <t>LEDGER_OR_CASHFLOW_RECEIVED</t>
        </is>
      </c>
      <c r="R548" t="inlineStr">
        <is>
          <t>SYRM_ACKNOWLEDGED</t>
        </is>
      </c>
      <c r="S548" t="inlineStr">
        <is>
          <t>View details</t>
        </is>
      </c>
    </row>
    <row r="549">
      <c r="A549" t="inlineStr">
        <is>
          <t>150316825069</t>
        </is>
      </c>
      <c r="B549" t="inlineStr">
        <is>
          <t>Nightjar Clearing Dublin</t>
        </is>
      </c>
      <c r="C549" t="inlineStr">
        <is>
          <t>150316825069</t>
        </is>
      </c>
      <c r="D549" t="inlineStr">
        <is>
          <t>Zephyr Commercial Bank Oslo</t>
        </is>
      </c>
      <c r="E549" t="inlineStr">
        <is>
          <t>GBP</t>
        </is>
      </c>
      <c r="F549" t="inlineStr">
        <is>
          <t>NT26081900543</t>
        </is>
      </c>
      <c r="G549" s="6" t="n">
        <v>46253</v>
      </c>
      <c r="H549" s="7" t="n">
        <v>2148060.5262</v>
      </c>
      <c r="I549" t="inlineStr">
        <is>
          <t>GBP</t>
        </is>
      </c>
      <c r="J549" s="7" t="n">
        <v>2148060.526</v>
      </c>
      <c r="K549" t="inlineStr">
        <is>
          <t>SYRM</t>
        </is>
      </c>
      <c r="L549" t="inlineStr">
        <is>
          <t>Liquidity sweep</t>
        </is>
      </c>
      <c r="M549" s="8" t="n">
        <v>46253.29770833333</v>
      </c>
      <c r="N549" t="inlineStr">
        <is>
          <t>Harper Hollis</t>
        </is>
      </c>
      <c r="O549" s="8" t="n">
        <v>46253.33034722223</v>
      </c>
      <c r="P549" t="inlineStr">
        <is>
          <t>Devon Delaney</t>
        </is>
      </c>
      <c r="Q549" t="inlineStr">
        <is>
          <t>CASHFLOW_RECEIVED</t>
        </is>
      </c>
      <c r="R549" t="inlineStr">
        <is>
          <t>SYRM_ACKNOWLEDGED</t>
        </is>
      </c>
      <c r="S549" t="inlineStr">
        <is>
          <t>View details</t>
        </is>
      </c>
    </row>
    <row r="550">
      <c r="A550" t="inlineStr">
        <is>
          <t>265771593142</t>
        </is>
      </c>
      <c r="B550" t="inlineStr">
        <is>
          <t>Zephyr Commercial Bank Oslo</t>
        </is>
      </c>
      <c r="C550" t="inlineStr">
        <is>
          <t>794226063698</t>
        </is>
      </c>
      <c r="D550" t="inlineStr">
        <is>
          <t>Mallow Trust Frankfurt</t>
        </is>
      </c>
      <c r="E550" t="inlineStr">
        <is>
          <t>EUR</t>
        </is>
      </c>
      <c r="F550" t="inlineStr">
        <is>
          <t>NT26081900544</t>
        </is>
      </c>
      <c r="G550" s="6" t="n">
        <v>46253</v>
      </c>
      <c r="H550" s="7" t="n">
        <v>127277736.759</v>
      </c>
      <c r="I550" t="inlineStr">
        <is>
          <t>GBP</t>
        </is>
      </c>
      <c r="J550" s="7" t="n">
        <v>109204298.139</v>
      </c>
      <c r="K550" t="inlineStr">
        <is>
          <t>SWIFT</t>
        </is>
      </c>
      <c r="L550" t="inlineStr">
        <is>
          <t>Intraday top-up</t>
        </is>
      </c>
      <c r="M550" s="8" t="n">
        <v>46253.43887731482</v>
      </c>
      <c r="N550" t="inlineStr">
        <is>
          <t>Noor Sinclair</t>
        </is>
      </c>
      <c r="O550" s="8" t="n">
        <v>46253.50346064815</v>
      </c>
      <c r="P550" t="inlineStr">
        <is>
          <t>Greer Prentice</t>
        </is>
      </c>
      <c r="Q550" t="inlineStr">
        <is>
          <t>LEDGER_OR_CASHFLOW_RECEIVED</t>
        </is>
      </c>
      <c r="R550" t="inlineStr">
        <is>
          <t>SYRM_ACKNOWLEDGED</t>
        </is>
      </c>
      <c r="S550" t="inlineStr">
        <is>
          <t>View details</t>
        </is>
      </c>
    </row>
    <row r="551">
      <c r="A551" t="inlineStr">
        <is>
          <t>910703979141</t>
        </is>
      </c>
      <c r="B551" t="inlineStr">
        <is>
          <t>Dunlin Commercial Bank Paris</t>
        </is>
      </c>
      <c r="C551" t="inlineStr">
        <is>
          <t>910703979141</t>
        </is>
      </c>
      <c r="D551" t="inlineStr">
        <is>
          <t>Nightjar Clearing Dublin</t>
        </is>
      </c>
      <c r="E551" t="inlineStr">
        <is>
          <t>CHF</t>
        </is>
      </c>
      <c r="F551" t="inlineStr">
        <is>
          <t>NT26081900545</t>
        </is>
      </c>
      <c r="G551" s="6" t="n">
        <v>46253</v>
      </c>
      <c r="H551" s="7" t="n">
        <v>37658631.9006</v>
      </c>
      <c r="I551" t="inlineStr">
        <is>
          <t>GBP</t>
        </is>
      </c>
      <c r="J551" s="7" t="n">
        <v>33779792.815</v>
      </c>
      <c r="K551" t="inlineStr">
        <is>
          <t>SYRM</t>
        </is>
      </c>
      <c r="L551" t="inlineStr">
        <is>
          <t>Intraday top-up</t>
        </is>
      </c>
      <c r="M551" s="8" t="n">
        <v>46253.82054398148</v>
      </c>
      <c r="N551" t="inlineStr">
        <is>
          <t>Finley Hollis</t>
        </is>
      </c>
      <c r="O551" s="8" t="n">
        <v>46253.8552662037</v>
      </c>
      <c r="P551" t="inlineStr">
        <is>
          <t>Finley Sinclair</t>
        </is>
      </c>
      <c r="Q551" t="inlineStr">
        <is>
          <t>LEDGER_OR_CASHFLOW_RECEIVED</t>
        </is>
      </c>
      <c r="R551" t="inlineStr">
        <is>
          <t>SYRM_ACKNOWLEDGED</t>
        </is>
      </c>
      <c r="S551" t="inlineStr">
        <is>
          <t>View details</t>
        </is>
      </c>
    </row>
    <row r="552">
      <c r="A552" t="inlineStr">
        <is>
          <t>132544340094</t>
        </is>
      </c>
      <c r="B552" t="inlineStr">
        <is>
          <t>Redstart Trust Mexico City</t>
        </is>
      </c>
      <c r="C552" t="inlineStr">
        <is>
          <t>898317028833</t>
        </is>
      </c>
      <c r="D552" t="inlineStr">
        <is>
          <t>Juniper Clearing Hong Kong</t>
        </is>
      </c>
      <c r="E552" t="inlineStr">
        <is>
          <t>CZK</t>
        </is>
      </c>
      <c r="F552" t="inlineStr">
        <is>
          <t>NT26081900546</t>
        </is>
      </c>
      <c r="G552" s="6" t="n">
        <v>46253</v>
      </c>
      <c r="H552" s="7" t="n">
        <v>7972806351.699</v>
      </c>
      <c r="I552" t="inlineStr">
        <is>
          <t>GBP</t>
        </is>
      </c>
      <c r="J552" s="7" t="n">
        <v>270278135.323</v>
      </c>
      <c r="K552" t="inlineStr">
        <is>
          <t>SYRM</t>
        </is>
      </c>
      <c r="L552" t="inlineStr">
        <is>
          <t>Liquidity sweep</t>
        </is>
      </c>
      <c r="M552" s="8" t="n">
        <v>46253.57726851852</v>
      </c>
      <c r="N552" t="inlineStr">
        <is>
          <t>Devon Calloway</t>
        </is>
      </c>
      <c r="O552" s="8" t="n">
        <v>46253.58004629629</v>
      </c>
      <c r="P552" t="inlineStr">
        <is>
          <t>Quinn Lindqvist</t>
        </is>
      </c>
      <c r="Q552" t="inlineStr">
        <is>
          <t>LEDGER_OR_CASHFLOW_RECEIVED</t>
        </is>
      </c>
      <c r="R552" t="inlineStr">
        <is>
          <t>SYRM_PENDING</t>
        </is>
      </c>
      <c r="S552" t="inlineStr">
        <is>
          <t>View details</t>
        </is>
      </c>
    </row>
    <row r="553">
      <c r="A553" t="inlineStr">
        <is>
          <t>468341071172</t>
        </is>
      </c>
      <c r="B553" t="inlineStr">
        <is>
          <t>Granite Trust Frankfurt</t>
        </is>
      </c>
      <c r="C553" t="inlineStr">
        <is>
          <t>910703979141</t>
        </is>
      </c>
      <c r="D553" t="inlineStr">
        <is>
          <t>Granite Commercial Bank Milan</t>
        </is>
      </c>
      <c r="E553" t="inlineStr">
        <is>
          <t>EUR</t>
        </is>
      </c>
      <c r="F553" t="inlineStr">
        <is>
          <t>NT26081900547</t>
        </is>
      </c>
      <c r="G553" s="6" t="n">
        <v>46253</v>
      </c>
      <c r="H553" s="7" t="n">
        <v>192406617.1458</v>
      </c>
      <c r="I553" t="inlineStr">
        <is>
          <t>GBP</t>
        </is>
      </c>
      <c r="J553" s="7" t="n">
        <v>165084877.511</v>
      </c>
      <c r="K553" t="inlineStr">
        <is>
          <t>SYRM</t>
        </is>
      </c>
      <c r="L553" t="inlineStr">
        <is>
          <t>Intraday top-up</t>
        </is>
      </c>
      <c r="M553" s="8" t="n">
        <v>46253.64876157408</v>
      </c>
      <c r="N553" t="inlineStr">
        <is>
          <t>Greer Osgood</t>
        </is>
      </c>
      <c r="O553" s="8" t="n">
        <v>46253.69598379629</v>
      </c>
      <c r="P553" t="inlineStr">
        <is>
          <t>Finley Sinclair</t>
        </is>
      </c>
      <c r="Q553" t="inlineStr">
        <is>
          <t>LEDGER_OR_CASHFLOW_RECEIVED</t>
        </is>
      </c>
      <c r="R553" t="inlineStr">
        <is>
          <t>SYRM_REJECTED</t>
        </is>
      </c>
      <c r="S553" t="inlineStr">
        <is>
          <t>View details</t>
        </is>
      </c>
    </row>
    <row r="554">
      <c r="A554" t="inlineStr">
        <is>
          <t>794226063698</t>
        </is>
      </c>
      <c r="B554" t="inlineStr">
        <is>
          <t>Pinehurst Clearing Oslo</t>
        </is>
      </c>
      <c r="C554" t="inlineStr">
        <is>
          <t>284925023085</t>
        </is>
      </c>
      <c r="D554" t="inlineStr">
        <is>
          <t>Pinehurst Commercial Bank Stockholm</t>
        </is>
      </c>
      <c r="E554" t="inlineStr">
        <is>
          <t>AED</t>
        </is>
      </c>
      <c r="F554" t="inlineStr">
        <is>
          <t>NT26081900548</t>
        </is>
      </c>
      <c r="G554" s="6" t="n">
        <v>46253</v>
      </c>
      <c r="H554" s="7" t="n">
        <v>44420.54040000001</v>
      </c>
      <c r="I554" t="inlineStr">
        <is>
          <t>GBP</t>
        </is>
      </c>
      <c r="J554" s="7" t="n">
        <v>9461.575000000001</v>
      </c>
      <c r="K554" t="inlineStr">
        <is>
          <t>SYRM</t>
        </is>
      </c>
      <c r="L554" t="inlineStr">
        <is>
          <t>Intraday top-up</t>
        </is>
      </c>
      <c r="M554" s="8" t="n">
        <v>46253.62755787037</v>
      </c>
      <c r="N554" t="inlineStr">
        <is>
          <t>Kai Novak</t>
        </is>
      </c>
      <c r="O554" s="8" t="n">
        <v>46253.69144675926</v>
      </c>
      <c r="P554" t="inlineStr">
        <is>
          <t>Blake Fairweather</t>
        </is>
      </c>
      <c r="Q554" t="inlineStr">
        <is>
          <t>LEDGER_OR_CASHFLOW_RECEIVED</t>
        </is>
      </c>
      <c r="R554" t="inlineStr">
        <is>
          <t>SYRM_ACKNOWLEDGED</t>
        </is>
      </c>
      <c r="S554" t="inlineStr">
        <is>
          <t>View details</t>
        </is>
      </c>
    </row>
    <row r="555">
      <c r="A555" t="inlineStr">
        <is>
          <t>359365220160</t>
        </is>
      </c>
      <c r="B555" t="inlineStr">
        <is>
          <t>Alder Settlement Bank Paris</t>
        </is>
      </c>
      <c r="C555" t="inlineStr">
        <is>
          <t>700726936098</t>
        </is>
      </c>
      <c r="D555" t="inlineStr">
        <is>
          <t>Nightjar Bank Stockholm</t>
        </is>
      </c>
      <c r="E555" t="inlineStr">
        <is>
          <t>EUR</t>
        </is>
      </c>
      <c r="F555" t="inlineStr">
        <is>
          <t>NT26081900549</t>
        </is>
      </c>
      <c r="G555" s="6" t="n">
        <v>46253</v>
      </c>
      <c r="H555" s="7" t="n">
        <v>71360833.7052</v>
      </c>
      <c r="I555" t="inlineStr">
        <is>
          <t>GBP</t>
        </is>
      </c>
      <c r="J555" s="7" t="n">
        <v>61227595.319</v>
      </c>
      <c r="K555" t="inlineStr">
        <is>
          <t>SYRM</t>
        </is>
      </c>
      <c r="L555" t="inlineStr"/>
      <c r="M555" s="8" t="n">
        <v>46253.43707175926</v>
      </c>
      <c r="N555" t="inlineStr">
        <is>
          <t>Devon Delaney</t>
        </is>
      </c>
      <c r="O555" s="8" t="n">
        <v>46253.4940162037</v>
      </c>
      <c r="P555" t="inlineStr">
        <is>
          <t>Devon Delaney</t>
        </is>
      </c>
      <c r="Q555" t="inlineStr">
        <is>
          <t>CASHFLOW_RECEIVED</t>
        </is>
      </c>
      <c r="R555" t="inlineStr">
        <is>
          <t>SYRM_ACKNOWLEDGED</t>
        </is>
      </c>
      <c r="S555" t="inlineStr">
        <is>
          <t>View details</t>
        </is>
      </c>
    </row>
    <row r="556">
      <c r="A556" t="inlineStr">
        <is>
          <t>468341071172</t>
        </is>
      </c>
      <c r="B556" t="inlineStr">
        <is>
          <t>Mallow Settlement Bank Warsaw</t>
        </is>
      </c>
      <c r="C556" t="inlineStr">
        <is>
          <t>794226063698</t>
        </is>
      </c>
      <c r="D556" t="inlineStr">
        <is>
          <t>Ironbark Trust Dublin</t>
        </is>
      </c>
      <c r="E556" t="inlineStr">
        <is>
          <t>EUR</t>
        </is>
      </c>
      <c r="F556" t="inlineStr">
        <is>
          <t>NT26081900550</t>
        </is>
      </c>
      <c r="G556" s="6" t="n">
        <v>46253</v>
      </c>
      <c r="H556" s="7" t="n">
        <v>24630.7968</v>
      </c>
      <c r="I556" t="inlineStr">
        <is>
          <t>GBP</t>
        </is>
      </c>
      <c r="J556" s="7" t="n">
        <v>21133.224</v>
      </c>
      <c r="K556" t="inlineStr">
        <is>
          <t>SYRM</t>
        </is>
      </c>
      <c r="L556" t="inlineStr">
        <is>
          <t>Balance alignment</t>
        </is>
      </c>
      <c r="M556" s="8" t="n">
        <v>46253.35328703704</v>
      </c>
      <c r="N556" t="inlineStr">
        <is>
          <t>Noor Thorne</t>
        </is>
      </c>
      <c r="O556" s="8" t="n">
        <v>46253.36925925926</v>
      </c>
      <c r="P556" t="inlineStr">
        <is>
          <t>Marlow Rhodes</t>
        </is>
      </c>
      <c r="Q556" t="inlineStr">
        <is>
          <t>LEDGER_OR_CASHFLOW_RECEIVED</t>
        </is>
      </c>
      <c r="R556" t="inlineStr">
        <is>
          <t>SYRM_ACKNOWLEDGED</t>
        </is>
      </c>
      <c r="S556" t="inlineStr">
        <is>
          <t>View details</t>
        </is>
      </c>
    </row>
    <row r="557">
      <c r="A557" t="inlineStr">
        <is>
          <t>359365220160</t>
        </is>
      </c>
      <c r="B557" t="inlineStr">
        <is>
          <t>Redstart Commercial Bank Stockholm</t>
        </is>
      </c>
      <c r="C557" t="inlineStr">
        <is>
          <t>726928343448</t>
        </is>
      </c>
      <c r="D557" t="inlineStr">
        <is>
          <t>Ironbark Trust Dublin</t>
        </is>
      </c>
      <c r="E557" t="inlineStr">
        <is>
          <t>EUR</t>
        </is>
      </c>
      <c r="F557" t="inlineStr">
        <is>
          <t>NT26081900551</t>
        </is>
      </c>
      <c r="G557" s="6" t="n">
        <v>46253</v>
      </c>
      <c r="H557" s="7" t="n">
        <v>17217343.0872</v>
      </c>
      <c r="I557" t="inlineStr">
        <is>
          <t>GBP</t>
        </is>
      </c>
      <c r="J557" s="7" t="n">
        <v>14772480.369</v>
      </c>
      <c r="K557" t="inlineStr">
        <is>
          <t>SYRM</t>
        </is>
      </c>
      <c r="L557" t="inlineStr">
        <is>
          <t>Intraday top-up</t>
        </is>
      </c>
      <c r="M557" s="8" t="n">
        <v>46253.43474537037</v>
      </c>
      <c r="N557" t="inlineStr">
        <is>
          <t>Wren Fairweather</t>
        </is>
      </c>
      <c r="O557" s="8" t="n">
        <v>46253.4868287037</v>
      </c>
      <c r="P557" t="inlineStr">
        <is>
          <t>Ellis Delaney</t>
        </is>
      </c>
      <c r="Q557" t="inlineStr">
        <is>
          <t>LEDGER_OR_CASHFLOW_RECEIVED</t>
        </is>
      </c>
      <c r="R557" t="inlineStr">
        <is>
          <t>SYRM_ACKNOWLEDGED</t>
        </is>
      </c>
      <c r="S557" t="inlineStr">
        <is>
          <t>View details</t>
        </is>
      </c>
    </row>
    <row r="558">
      <c r="A558" t="inlineStr">
        <is>
          <t>621381112674</t>
        </is>
      </c>
      <c r="B558" t="inlineStr">
        <is>
          <t>Pinehurst Settlement Bank Frankfurt</t>
        </is>
      </c>
      <c r="C558" t="inlineStr">
        <is>
          <t>968942362772</t>
        </is>
      </c>
      <c r="D558" t="inlineStr">
        <is>
          <t>Redstart Trust Mexico City</t>
        </is>
      </c>
      <c r="E558" t="inlineStr">
        <is>
          <t>PLN</t>
        </is>
      </c>
      <c r="F558" t="inlineStr">
        <is>
          <t>NT26081900552</t>
        </is>
      </c>
      <c r="G558" s="6" t="n">
        <v>46253</v>
      </c>
      <c r="H558" s="7" t="n">
        <v>986247068.1012</v>
      </c>
      <c r="I558" t="inlineStr">
        <is>
          <t>GBP</t>
        </is>
      </c>
      <c r="J558" s="7" t="n">
        <v>195276919.484</v>
      </c>
      <c r="K558" t="inlineStr">
        <is>
          <t>INTERNAL</t>
        </is>
      </c>
      <c r="L558" t="inlineStr">
        <is>
          <t>Funding move</t>
        </is>
      </c>
      <c r="M558" s="8" t="n">
        <v>46253.59666666666</v>
      </c>
      <c r="N558" t="inlineStr">
        <is>
          <t>Kai Merrick</t>
        </is>
      </c>
      <c r="O558" s="8" t="n">
        <v>46253.65777777778</v>
      </c>
      <c r="P558" t="inlineStr">
        <is>
          <t>Marlow Sinclair</t>
        </is>
      </c>
      <c r="Q558" t="inlineStr">
        <is>
          <t>LEDGER_OR_CASHFLOW_RECEIVED</t>
        </is>
      </c>
      <c r="R558" t="inlineStr">
        <is>
          <t>SYRM_ACKNOWLEDGED</t>
        </is>
      </c>
      <c r="S558" t="inlineStr">
        <is>
          <t>View details</t>
        </is>
      </c>
    </row>
    <row r="559">
      <c r="A559" t="inlineStr">
        <is>
          <t>898317028833</t>
        </is>
      </c>
      <c r="B559" t="inlineStr">
        <is>
          <t>Umberton Commercial Bank Mexico City</t>
        </is>
      </c>
      <c r="C559" t="inlineStr">
        <is>
          <t>953625291146</t>
        </is>
      </c>
      <c r="D559" t="inlineStr">
        <is>
          <t>Cedar Clearing New York</t>
        </is>
      </c>
      <c r="E559" t="inlineStr">
        <is>
          <t>GBP</t>
        </is>
      </c>
      <c r="F559" t="inlineStr">
        <is>
          <t>NT26081900553</t>
        </is>
      </c>
      <c r="G559" s="6" t="n">
        <v>46253</v>
      </c>
      <c r="H559" s="7" t="n">
        <v>10545796.4976</v>
      </c>
      <c r="I559" t="inlineStr">
        <is>
          <t>GBP</t>
        </is>
      </c>
      <c r="J559" s="7" t="n">
        <v>10545796.498</v>
      </c>
      <c r="K559" t="inlineStr">
        <is>
          <t>SYRM</t>
        </is>
      </c>
      <c r="L559" t="inlineStr">
        <is>
          <t>Balance alignment</t>
        </is>
      </c>
      <c r="M559" s="8" t="n">
        <v>46253.74078703704</v>
      </c>
      <c r="N559" t="inlineStr">
        <is>
          <t>Wren Fairweather</t>
        </is>
      </c>
      <c r="O559" s="8" t="n">
        <v>46253.78175925926</v>
      </c>
      <c r="P559" t="inlineStr">
        <is>
          <t>Oakley Prentice</t>
        </is>
      </c>
      <c r="Q559" t="inlineStr">
        <is>
          <t>LEDGER_OR_CASHFLOW_RECEIVED</t>
        </is>
      </c>
      <c r="R559" t="inlineStr">
        <is>
          <t>SYRM_PENDING</t>
        </is>
      </c>
      <c r="S559" t="inlineStr">
        <is>
          <t>View details</t>
        </is>
      </c>
    </row>
    <row r="560">
      <c r="A560" t="inlineStr">
        <is>
          <t>499062838623</t>
        </is>
      </c>
      <c r="B560" t="inlineStr">
        <is>
          <t>Yarrow Trust Oslo</t>
        </is>
      </c>
      <c r="C560" t="inlineStr">
        <is>
          <t>794226063698</t>
        </is>
      </c>
      <c r="D560" t="inlineStr">
        <is>
          <t>Mallow Commercial Bank Mexico City</t>
        </is>
      </c>
      <c r="E560" t="inlineStr">
        <is>
          <t>USD</t>
        </is>
      </c>
      <c r="F560" t="inlineStr">
        <is>
          <t>NT26081900554</t>
        </is>
      </c>
      <c r="G560" s="6" t="n">
        <v>46253</v>
      </c>
      <c r="H560" s="7" t="n">
        <v>324045912.9744</v>
      </c>
      <c r="I560" t="inlineStr">
        <is>
          <t>GBP</t>
        </is>
      </c>
      <c r="J560" s="7" t="n">
        <v>254051995.772</v>
      </c>
      <c r="K560" t="inlineStr">
        <is>
          <t>SYRM</t>
        </is>
      </c>
      <c r="L560" t="inlineStr">
        <is>
          <t>Intraday top-up</t>
        </is>
      </c>
      <c r="M560" s="8" t="n">
        <v>46253.61537037037</v>
      </c>
      <c r="N560" t="inlineStr">
        <is>
          <t>Quinn Kirby</t>
        </is>
      </c>
      <c r="O560" s="8" t="n">
        <v>46253.62578703704</v>
      </c>
      <c r="P560" t="inlineStr">
        <is>
          <t>Noor Thorne</t>
        </is>
      </c>
      <c r="Q560" t="inlineStr">
        <is>
          <t>LEDGER_RECEIVED</t>
        </is>
      </c>
      <c r="R560" t="inlineStr">
        <is>
          <t>SYRM_ACKNOWLEDGED</t>
        </is>
      </c>
      <c r="S560" t="inlineStr">
        <is>
          <t>View details</t>
        </is>
      </c>
    </row>
    <row r="561">
      <c r="A561" t="inlineStr">
        <is>
          <t>120047354818</t>
        </is>
      </c>
      <c r="B561" t="inlineStr">
        <is>
          <t>Sablewood Settlement Bank Oslo</t>
        </is>
      </c>
      <c r="C561" t="inlineStr">
        <is>
          <t>468341071172</t>
        </is>
      </c>
      <c r="D561" t="inlineStr">
        <is>
          <t>Bramble Settlement Bank Hong Kong</t>
        </is>
      </c>
      <c r="E561" t="inlineStr">
        <is>
          <t>USD</t>
        </is>
      </c>
      <c r="F561" t="inlineStr">
        <is>
          <t>NT26081900555</t>
        </is>
      </c>
      <c r="G561" s="6" t="n">
        <v>46253</v>
      </c>
      <c r="H561" s="7" t="n">
        <v>3488927.5008</v>
      </c>
      <c r="I561" t="inlineStr">
        <is>
          <t>GBP</t>
        </is>
      </c>
      <c r="J561" s="7" t="n">
        <v>2735319.161</v>
      </c>
      <c r="K561" t="inlineStr">
        <is>
          <t>SYRM</t>
        </is>
      </c>
      <c r="L561" t="inlineStr">
        <is>
          <t>Intraday top-up</t>
        </is>
      </c>
      <c r="M561" s="8" t="n">
        <v>46253.2527662037</v>
      </c>
      <c r="N561" t="inlineStr">
        <is>
          <t>Harper Calloway</t>
        </is>
      </c>
      <c r="O561" s="8" t="n">
        <v>46253.30971064815</v>
      </c>
      <c r="P561" t="inlineStr">
        <is>
          <t>Finley Hollis</t>
        </is>
      </c>
      <c r="Q561" t="inlineStr">
        <is>
          <t>LEDGER_OR_CASHFLOW_RECEIVED</t>
        </is>
      </c>
      <c r="R561" t="inlineStr">
        <is>
          <t>SYRM_ACKNOWLEDGED</t>
        </is>
      </c>
      <c r="S561" t="inlineStr">
        <is>
          <t>View details</t>
        </is>
      </c>
    </row>
    <row r="562">
      <c r="A562" t="inlineStr">
        <is>
          <t>120047354818</t>
        </is>
      </c>
      <c r="B562" t="inlineStr">
        <is>
          <t>Mallow Settlement Bank Warsaw</t>
        </is>
      </c>
      <c r="C562" t="inlineStr">
        <is>
          <t>150316825069</t>
        </is>
      </c>
      <c r="D562" t="inlineStr">
        <is>
          <t>Redstart Commercial Bank Dublin</t>
        </is>
      </c>
      <c r="E562" t="inlineStr">
        <is>
          <t>USD</t>
        </is>
      </c>
      <c r="F562" t="inlineStr">
        <is>
          <t>NT26081900556</t>
        </is>
      </c>
      <c r="G562" s="6" t="n">
        <v>46253</v>
      </c>
      <c r="H562" s="7" t="n">
        <v>112375299.9402</v>
      </c>
      <c r="I562" t="inlineStr">
        <is>
          <t>GBP</t>
        </is>
      </c>
      <c r="J562" s="7" t="n">
        <v>88102235.153</v>
      </c>
      <c r="K562" t="inlineStr">
        <is>
          <t>SWIFT</t>
        </is>
      </c>
      <c r="L562" t="inlineStr">
        <is>
          <t>Funding move</t>
        </is>
      </c>
      <c r="M562" s="8" t="n">
        <v>46253.43517361111</v>
      </c>
      <c r="N562" t="inlineStr">
        <is>
          <t>Devon Jennings</t>
        </is>
      </c>
      <c r="O562" s="8" t="n">
        <v>46253.47059027778</v>
      </c>
      <c r="P562" t="inlineStr">
        <is>
          <t>Quinn Kirby</t>
        </is>
      </c>
      <c r="Q562" t="inlineStr">
        <is>
          <t>LEDGER_OR_CASHFLOW_RECEIVED</t>
        </is>
      </c>
      <c r="R562" t="inlineStr">
        <is>
          <t>SYRM_ACKNOWLEDGED</t>
        </is>
      </c>
      <c r="S562" t="inlineStr">
        <is>
          <t>View details</t>
        </is>
      </c>
    </row>
    <row r="563">
      <c r="A563" t="inlineStr">
        <is>
          <t>265771593142</t>
        </is>
      </c>
      <c r="B563" t="inlineStr">
        <is>
          <t>Zephyr Settlement Bank New York</t>
        </is>
      </c>
      <c r="C563" t="inlineStr">
        <is>
          <t>898317028833</t>
        </is>
      </c>
      <c r="D563" t="inlineStr">
        <is>
          <t>Zephyr Bank Singapore</t>
        </is>
      </c>
      <c r="E563" t="inlineStr">
        <is>
          <t>EUR</t>
        </is>
      </c>
      <c r="F563" t="inlineStr">
        <is>
          <t>NT26081900557</t>
        </is>
      </c>
      <c r="G563" s="6" t="n">
        <v>46253</v>
      </c>
      <c r="H563" s="7" t="n">
        <v>2500383.0798</v>
      </c>
      <c r="I563" t="inlineStr">
        <is>
          <t>GBP</t>
        </is>
      </c>
      <c r="J563" s="7" t="n">
        <v>2145328.682</v>
      </c>
      <c r="K563" t="inlineStr">
        <is>
          <t>SWIFT</t>
        </is>
      </c>
      <c r="L563" t="inlineStr">
        <is>
          <t>Funding move</t>
        </is>
      </c>
      <c r="M563" s="8" t="n">
        <v>46253.41828703704</v>
      </c>
      <c r="N563" t="inlineStr">
        <is>
          <t>Noor Sinclair</t>
        </is>
      </c>
      <c r="O563" s="8" t="n">
        <v>46253.42800925926</v>
      </c>
      <c r="P563" t="inlineStr">
        <is>
          <t>Quinn Kirby</t>
        </is>
      </c>
      <c r="Q563" t="inlineStr">
        <is>
          <t>LEDGER_OR_CASHFLOW_RECEIVED</t>
        </is>
      </c>
      <c r="R563" t="inlineStr">
        <is>
          <t>SYRM_ACKNOWLEDGED</t>
        </is>
      </c>
      <c r="S563" t="inlineStr">
        <is>
          <t>View details</t>
        </is>
      </c>
    </row>
    <row r="564">
      <c r="A564" t="inlineStr">
        <is>
          <t>132544340094</t>
        </is>
      </c>
      <c r="B564" t="inlineStr">
        <is>
          <t>Dunlin Commercial Bank Warsaw</t>
        </is>
      </c>
      <c r="C564" t="inlineStr">
        <is>
          <t>898317028833</t>
        </is>
      </c>
      <c r="D564" t="inlineStr">
        <is>
          <t>Granite Commercial Bank Milan</t>
        </is>
      </c>
      <c r="E564" t="inlineStr">
        <is>
          <t>CZK</t>
        </is>
      </c>
      <c r="F564" t="inlineStr">
        <is>
          <t>NT26081900558</t>
        </is>
      </c>
      <c r="G564" s="6" t="n">
        <v>46253</v>
      </c>
      <c r="H564" s="7" t="n">
        <v>12572469.0648</v>
      </c>
      <c r="I564" t="inlineStr">
        <is>
          <t>GBP</t>
        </is>
      </c>
      <c r="J564" s="7" t="n">
        <v>426206.701</v>
      </c>
      <c r="K564" t="inlineStr">
        <is>
          <t>SYRM</t>
        </is>
      </c>
      <c r="L564" t="inlineStr">
        <is>
          <t>Funding move</t>
        </is>
      </c>
      <c r="M564" s="8" t="n">
        <v>46253.78119212963</v>
      </c>
      <c r="N564" t="inlineStr">
        <is>
          <t>Quinn Lindqvist</t>
        </is>
      </c>
      <c r="O564" s="8" t="n">
        <v>46253.81313657408</v>
      </c>
      <c r="P564" t="inlineStr">
        <is>
          <t>Avery Sinclair</t>
        </is>
      </c>
      <c r="Q564" t="inlineStr">
        <is>
          <t>LEDGER_OR_CASHFLOW_RECEIVED</t>
        </is>
      </c>
      <c r="R564" t="inlineStr">
        <is>
          <t>SYRM_ACKNOWLEDGED</t>
        </is>
      </c>
      <c r="S564" t="inlineStr">
        <is>
          <t>View details</t>
        </is>
      </c>
    </row>
    <row r="565">
      <c r="A565" t="inlineStr">
        <is>
          <t>968942362772</t>
        </is>
      </c>
      <c r="B565" t="inlineStr">
        <is>
          <t>Oriel Commercial Bank Toronto</t>
        </is>
      </c>
      <c r="C565" t="inlineStr">
        <is>
          <t>953625291146</t>
        </is>
      </c>
      <c r="D565" t="inlineStr">
        <is>
          <t>Harrow Bank Milan</t>
        </is>
      </c>
      <c r="E565" t="inlineStr">
        <is>
          <t>EUR</t>
        </is>
      </c>
      <c r="F565" t="inlineStr">
        <is>
          <t>NT26081900559</t>
        </is>
      </c>
      <c r="G565" s="6" t="n">
        <v>46253</v>
      </c>
      <c r="H565" s="7" t="n">
        <v>53660949.5124</v>
      </c>
      <c r="I565" t="inlineStr">
        <is>
          <t>GBP</t>
        </is>
      </c>
      <c r="J565" s="7" t="n">
        <v>46041094.682</v>
      </c>
      <c r="K565" t="inlineStr">
        <is>
          <t>SYRM</t>
        </is>
      </c>
      <c r="L565" t="inlineStr">
        <is>
          <t>Funding move</t>
        </is>
      </c>
      <c r="M565" s="8" t="n">
        <v>46253.60107638889</v>
      </c>
      <c r="N565" t="inlineStr">
        <is>
          <t>Finley Jennings</t>
        </is>
      </c>
      <c r="O565" s="8" t="n">
        <v>46253.64135416667</v>
      </c>
      <c r="P565" t="inlineStr">
        <is>
          <t>Avery Sinclair</t>
        </is>
      </c>
      <c r="Q565" t="inlineStr">
        <is>
          <t>LEDGER_OR_CASHFLOW_RECEIVED</t>
        </is>
      </c>
      <c r="R565" t="inlineStr">
        <is>
          <t>SYRM_ACKNOWLEDGED</t>
        </is>
      </c>
      <c r="S565" t="inlineStr">
        <is>
          <t>View details</t>
        </is>
      </c>
    </row>
    <row r="566">
      <c r="A566" t="inlineStr">
        <is>
          <t>968942362772</t>
        </is>
      </c>
      <c r="B566" t="inlineStr">
        <is>
          <t>Larkspur Trust Hong Kong</t>
        </is>
      </c>
      <c r="C566" t="inlineStr">
        <is>
          <t>468341071172</t>
        </is>
      </c>
      <c r="D566" t="inlineStr">
        <is>
          <t>Fernway Trust Tokyo</t>
        </is>
      </c>
      <c r="E566" t="inlineStr">
        <is>
          <t>EUR</t>
        </is>
      </c>
      <c r="F566" t="inlineStr">
        <is>
          <t>NT26081900560</t>
        </is>
      </c>
      <c r="G566" s="6" t="n">
        <v>46253</v>
      </c>
      <c r="H566" s="7" t="n">
        <v>261808.506</v>
      </c>
      <c r="I566" t="inlineStr">
        <is>
          <t>GBP</t>
        </is>
      </c>
      <c r="J566" s="7" t="n">
        <v>224631.698</v>
      </c>
      <c r="K566" t="inlineStr">
        <is>
          <t>SYRM</t>
        </is>
      </c>
      <c r="L566" t="inlineStr">
        <is>
          <t>Balance alignment</t>
        </is>
      </c>
      <c r="M566" s="8" t="n">
        <v>46253.64041666667</v>
      </c>
      <c r="N566" t="inlineStr">
        <is>
          <t>Quinn Lindqvist</t>
        </is>
      </c>
      <c r="O566" s="8" t="n">
        <v>46253.65222222222</v>
      </c>
      <c r="P566" t="inlineStr">
        <is>
          <t>Oakley Novak</t>
        </is>
      </c>
      <c r="Q566" t="inlineStr">
        <is>
          <t>LEDGER_OR_CASHFLOW_RECEIVED</t>
        </is>
      </c>
      <c r="R566" t="inlineStr">
        <is>
          <t>SYRM_ACKNOWLEDGED</t>
        </is>
      </c>
      <c r="S566" t="inlineStr">
        <is>
          <t>View details</t>
        </is>
      </c>
    </row>
    <row r="567">
      <c r="A567" t="inlineStr">
        <is>
          <t>150316825069</t>
        </is>
      </c>
      <c r="B567" t="inlineStr">
        <is>
          <t>Larkspur Clearing New York</t>
        </is>
      </c>
      <c r="C567" t="inlineStr">
        <is>
          <t>794226063698</t>
        </is>
      </c>
      <c r="D567" t="inlineStr">
        <is>
          <t>Juniper Clearing New York</t>
        </is>
      </c>
      <c r="E567" t="inlineStr">
        <is>
          <t>GBP</t>
        </is>
      </c>
      <c r="F567" t="inlineStr">
        <is>
          <t>NT26081900561</t>
        </is>
      </c>
      <c r="G567" s="6" t="n">
        <v>46253</v>
      </c>
      <c r="H567" s="7" t="n">
        <v>36315.8064</v>
      </c>
      <c r="I567" t="inlineStr">
        <is>
          <t>GBP</t>
        </is>
      </c>
      <c r="J567" s="7" t="n">
        <v>36315.806</v>
      </c>
      <c r="K567" t="inlineStr">
        <is>
          <t>SYRM</t>
        </is>
      </c>
      <c r="L567" t="inlineStr">
        <is>
          <t>Intraday top-up</t>
        </is>
      </c>
      <c r="M567" s="8" t="n">
        <v>46253.45834490741</v>
      </c>
      <c r="N567" t="inlineStr">
        <is>
          <t>Marlow Rhodes</t>
        </is>
      </c>
      <c r="O567" s="8" t="n">
        <v>46253.52292824074</v>
      </c>
      <c r="P567" t="inlineStr">
        <is>
          <t>Avery Sinclair</t>
        </is>
      </c>
      <c r="Q567" t="inlineStr">
        <is>
          <t>LEDGER_OR_CASHFLOW_RECEIVED</t>
        </is>
      </c>
      <c r="R567" t="inlineStr">
        <is>
          <t>SYRM_ACKNOWLEDGED</t>
        </is>
      </c>
      <c r="S567" t="inlineStr">
        <is>
          <t>View details</t>
        </is>
      </c>
    </row>
    <row r="568">
      <c r="A568" t="inlineStr">
        <is>
          <t>824840705580</t>
        </is>
      </c>
      <c r="B568" t="inlineStr">
        <is>
          <t>Zephyr Bank Singapore</t>
        </is>
      </c>
      <c r="C568" t="inlineStr">
        <is>
          <t>794226063698</t>
        </is>
      </c>
      <c r="D568" t="inlineStr">
        <is>
          <t>Dunlin Commercial Bank Warsaw</t>
        </is>
      </c>
      <c r="E568" t="inlineStr">
        <is>
          <t>EUR</t>
        </is>
      </c>
      <c r="F568" t="inlineStr">
        <is>
          <t>NT26081900562</t>
        </is>
      </c>
      <c r="G568" s="6" t="n">
        <v>46253</v>
      </c>
      <c r="H568" s="7" t="n">
        <v>505622760.1614</v>
      </c>
      <c r="I568" t="inlineStr">
        <is>
          <t>GBP</t>
        </is>
      </c>
      <c r="J568" s="7" t="n">
        <v>433824328.218</v>
      </c>
      <c r="K568" t="inlineStr">
        <is>
          <t>SYRM</t>
        </is>
      </c>
      <c r="L568" t="inlineStr"/>
      <c r="M568" s="8" t="n">
        <v>46253.39105324074</v>
      </c>
      <c r="N568" t="inlineStr">
        <is>
          <t>Oakley Rhodes</t>
        </is>
      </c>
      <c r="O568" s="8" t="n">
        <v>46253.45008101852</v>
      </c>
      <c r="P568" t="inlineStr">
        <is>
          <t>Finley Sinclair</t>
        </is>
      </c>
      <c r="Q568" t="inlineStr">
        <is>
          <t>LEDGER_OR_CASHFLOW_RECEIVED</t>
        </is>
      </c>
      <c r="R568" t="inlineStr">
        <is>
          <t>SYRM_ACKNOWLEDGED</t>
        </is>
      </c>
      <c r="S568" t="inlineStr">
        <is>
          <t>View details</t>
        </is>
      </c>
    </row>
    <row r="569">
      <c r="A569" t="inlineStr">
        <is>
          <t>898317028833</t>
        </is>
      </c>
      <c r="B569" t="inlineStr">
        <is>
          <t>Alder Settlement Bank Paris</t>
        </is>
      </c>
      <c r="C569" t="inlineStr">
        <is>
          <t>359365220160</t>
        </is>
      </c>
      <c r="D569" t="inlineStr">
        <is>
          <t>Granite Trust Frankfurt</t>
        </is>
      </c>
      <c r="E569" t="inlineStr">
        <is>
          <t>GBP</t>
        </is>
      </c>
      <c r="F569" t="inlineStr">
        <is>
          <t>NT26081900563</t>
        </is>
      </c>
      <c r="G569" s="6" t="n">
        <v>46253</v>
      </c>
      <c r="H569" s="7" t="n">
        <v>3491.0136</v>
      </c>
      <c r="I569" t="inlineStr">
        <is>
          <t>GBP</t>
        </is>
      </c>
      <c r="J569" s="7" t="n">
        <v>3491.014</v>
      </c>
      <c r="K569" t="inlineStr">
        <is>
          <t>SYRM</t>
        </is>
      </c>
      <c r="L569" t="inlineStr">
        <is>
          <t>Balance alignment</t>
        </is>
      </c>
      <c r="M569" s="8" t="n">
        <v>46253.54861111111</v>
      </c>
      <c r="N569" t="inlineStr">
        <is>
          <t>Quinn Lindqvist</t>
        </is>
      </c>
      <c r="O569" s="8" t="n">
        <v>46253.59166666667</v>
      </c>
      <c r="P569" t="inlineStr">
        <is>
          <t>Marlow Rhodes</t>
        </is>
      </c>
      <c r="Q569" t="inlineStr">
        <is>
          <t>LEDGER_OR_CASHFLOW_RECEIVED</t>
        </is>
      </c>
      <c r="R569" t="inlineStr">
        <is>
          <t>SYRM_ACKNOWLEDGED</t>
        </is>
      </c>
      <c r="S569" t="inlineStr">
        <is>
          <t>View details</t>
        </is>
      </c>
    </row>
    <row r="570">
      <c r="A570" t="inlineStr">
        <is>
          <t>120047354818</t>
        </is>
      </c>
      <c r="B570" t="inlineStr">
        <is>
          <t>Nightjar Bank Stockholm</t>
        </is>
      </c>
      <c r="C570" t="inlineStr">
        <is>
          <t>910703979141</t>
        </is>
      </c>
      <c r="D570" t="inlineStr">
        <is>
          <t>Bramble Settlement Bank Hong Kong</t>
        </is>
      </c>
      <c r="E570" t="inlineStr">
        <is>
          <t>USD</t>
        </is>
      </c>
      <c r="F570" t="inlineStr">
        <is>
          <t>NT26081900564</t>
        </is>
      </c>
      <c r="G570" s="6" t="n">
        <v>46253</v>
      </c>
      <c r="H570" s="7" t="n">
        <v>91102568.4288</v>
      </c>
      <c r="I570" t="inlineStr">
        <is>
          <t>GBP</t>
        </is>
      </c>
      <c r="J570" s="7" t="n">
        <v>71424413.648</v>
      </c>
      <c r="K570" t="inlineStr">
        <is>
          <t>SWIFT</t>
        </is>
      </c>
      <c r="L570" t="inlineStr">
        <is>
          <t>Liquidity sweep</t>
        </is>
      </c>
      <c r="M570" s="8" t="n">
        <v>46253.66326388889</v>
      </c>
      <c r="N570" t="inlineStr">
        <is>
          <t>Kai Novak</t>
        </is>
      </c>
      <c r="O570" s="8" t="n">
        <v>46253.69104166667</v>
      </c>
      <c r="P570" t="inlineStr">
        <is>
          <t>Kai Novak</t>
        </is>
      </c>
      <c r="Q570" t="inlineStr">
        <is>
          <t>LEDGER_OR_CASHFLOW_RECEIVED</t>
        </is>
      </c>
      <c r="R570" t="inlineStr">
        <is>
          <t>SYRM_ACKNOWLEDGED</t>
        </is>
      </c>
      <c r="S570" t="inlineStr">
        <is>
          <t>View details</t>
        </is>
      </c>
    </row>
    <row r="571">
      <c r="A571" t="inlineStr">
        <is>
          <t>150316825069</t>
        </is>
      </c>
      <c r="B571" t="inlineStr">
        <is>
          <t>Fernway Clearing Frankfurt</t>
        </is>
      </c>
      <c r="C571" t="inlineStr">
        <is>
          <t>265771593142</t>
        </is>
      </c>
      <c r="D571" t="inlineStr">
        <is>
          <t>Larkspur Trust Hong Kong</t>
        </is>
      </c>
      <c r="E571" t="inlineStr">
        <is>
          <t>GBP</t>
        </is>
      </c>
      <c r="F571" t="inlineStr">
        <is>
          <t>NT26081900565</t>
        </is>
      </c>
      <c r="G571" s="6" t="n">
        <v>46253</v>
      </c>
      <c r="H571" s="7" t="n">
        <v>5.0976</v>
      </c>
      <c r="I571" t="inlineStr">
        <is>
          <t>GBP</t>
        </is>
      </c>
      <c r="J571" s="7" t="n">
        <v>5.098</v>
      </c>
      <c r="K571" t="inlineStr">
        <is>
          <t>SYRM</t>
        </is>
      </c>
      <c r="L571" t="inlineStr">
        <is>
          <t>Funding move</t>
        </is>
      </c>
      <c r="M571" s="8" t="n">
        <v>46253.61501157407</v>
      </c>
      <c r="N571" t="inlineStr">
        <is>
          <t>Oakley Rhodes</t>
        </is>
      </c>
      <c r="O571" s="8" t="n">
        <v>46253.67265046296</v>
      </c>
      <c r="P571" t="inlineStr">
        <is>
          <t>Blake Fairweather</t>
        </is>
      </c>
      <c r="Q571" t="inlineStr">
        <is>
          <t>LEDGER_OR_CASHFLOW_RECEIVED</t>
        </is>
      </c>
      <c r="R571" t="inlineStr">
        <is>
          <t>SYRM_ACKNOWLEDGED</t>
        </is>
      </c>
      <c r="S571" t="inlineStr">
        <is>
          <t>View details</t>
        </is>
      </c>
    </row>
    <row r="572">
      <c r="A572" t="inlineStr">
        <is>
          <t>910703979141</t>
        </is>
      </c>
      <c r="B572" t="inlineStr">
        <is>
          <t>Mallow Trust Frankfurt</t>
        </is>
      </c>
      <c r="C572" t="inlineStr">
        <is>
          <t>898317028833</t>
        </is>
      </c>
      <c r="D572" t="inlineStr">
        <is>
          <t>Pinehurst Trust Toronto</t>
        </is>
      </c>
      <c r="E572" t="inlineStr">
        <is>
          <t>CHF</t>
        </is>
      </c>
      <c r="F572" t="inlineStr">
        <is>
          <t>NT26081900566</t>
        </is>
      </c>
      <c r="G572" s="6" t="n">
        <v>46253</v>
      </c>
      <c r="H572" s="7" t="n">
        <v>354184584.5646001</v>
      </c>
      <c r="I572" t="inlineStr">
        <is>
          <t>GBP</t>
        </is>
      </c>
      <c r="J572" s="7" t="n">
        <v>317703572.354</v>
      </c>
      <c r="K572" t="inlineStr">
        <is>
          <t>INTERNAL</t>
        </is>
      </c>
      <c r="L572" t="inlineStr">
        <is>
          <t>Liquidity sweep</t>
        </is>
      </c>
      <c r="M572" s="8" t="n">
        <v>46253.38229166667</v>
      </c>
      <c r="N572" t="inlineStr">
        <is>
          <t>Noor Brookes</t>
        </is>
      </c>
      <c r="O572" s="8" t="n">
        <v>46253.415625</v>
      </c>
      <c r="P572" t="inlineStr">
        <is>
          <t>Wren Hollis</t>
        </is>
      </c>
      <c r="Q572" t="inlineStr">
        <is>
          <t>LEDGER_OR_CASHFLOW_RECEIVED</t>
        </is>
      </c>
      <c r="R572" t="inlineStr">
        <is>
          <t>SYRM_ACKNOWLEDGED</t>
        </is>
      </c>
      <c r="S572" t="inlineStr">
        <is>
          <t>View details</t>
        </is>
      </c>
    </row>
    <row r="573">
      <c r="A573" t="inlineStr">
        <is>
          <t>953625291146</t>
        </is>
      </c>
      <c r="B573" t="inlineStr">
        <is>
          <t>Juniper Trust London</t>
        </is>
      </c>
      <c r="C573" t="inlineStr">
        <is>
          <t>700726936098</t>
        </is>
      </c>
      <c r="D573" t="inlineStr">
        <is>
          <t>Wrenfield Trust Tokyo</t>
        </is>
      </c>
      <c r="E573" t="inlineStr">
        <is>
          <t>USD</t>
        </is>
      </c>
      <c r="F573" t="inlineStr">
        <is>
          <t>NT26081900567</t>
        </is>
      </c>
      <c r="G573" s="6" t="n">
        <v>46253</v>
      </c>
      <c r="H573" s="7" t="n">
        <v>2053964.5002</v>
      </c>
      <c r="I573" t="inlineStr">
        <is>
          <t>GBP</t>
        </is>
      </c>
      <c r="J573" s="7" t="n">
        <v>1610308.168</v>
      </c>
      <c r="K573" t="inlineStr">
        <is>
          <t>SYRM</t>
        </is>
      </c>
      <c r="L573" t="inlineStr">
        <is>
          <t>Balance alignment</t>
        </is>
      </c>
      <c r="M573" s="8" t="n">
        <v>46253.72469907408</v>
      </c>
      <c r="N573" t="inlineStr">
        <is>
          <t>Oakley Prentice</t>
        </is>
      </c>
      <c r="O573" s="8" t="n">
        <v>46253.78719907408</v>
      </c>
      <c r="P573" t="inlineStr">
        <is>
          <t>Avery Sinclair</t>
        </is>
      </c>
      <c r="Q573" t="inlineStr">
        <is>
          <t>LEDGER_OR_CASHFLOW_RECEIVED</t>
        </is>
      </c>
      <c r="R573" t="inlineStr">
        <is>
          <t>SYRM_ACKNOWLEDGED</t>
        </is>
      </c>
      <c r="S573" t="inlineStr">
        <is>
          <t>View details</t>
        </is>
      </c>
    </row>
    <row r="574">
      <c r="A574" t="inlineStr">
        <is>
          <t>794226063698</t>
        </is>
      </c>
      <c r="B574" t="inlineStr">
        <is>
          <t>Bramble Bank Milan</t>
        </is>
      </c>
      <c r="C574" t="inlineStr">
        <is>
          <t>150316825069</t>
        </is>
      </c>
      <c r="D574" t="inlineStr">
        <is>
          <t>Mallow Trust Frankfurt</t>
        </is>
      </c>
      <c r="E574" t="inlineStr">
        <is>
          <t>AED</t>
        </is>
      </c>
      <c r="F574" t="inlineStr">
        <is>
          <t>NT26081900568</t>
        </is>
      </c>
      <c r="G574" s="6" t="n">
        <v>46253</v>
      </c>
      <c r="H574" s="7" t="n">
        <v>45326020.8492</v>
      </c>
      <c r="I574" t="inlineStr">
        <is>
          <t>GBP</t>
        </is>
      </c>
      <c r="J574" s="7" t="n">
        <v>9654442.441</v>
      </c>
      <c r="K574" t="inlineStr">
        <is>
          <t>SYRM</t>
        </is>
      </c>
      <c r="L574" t="inlineStr">
        <is>
          <t>Funding move</t>
        </is>
      </c>
      <c r="M574" s="8" t="n">
        <v>46253.28842592592</v>
      </c>
      <c r="N574" t="inlineStr">
        <is>
          <t>Wren Delaney</t>
        </is>
      </c>
      <c r="O574" s="8" t="n">
        <v>46253.29884259259</v>
      </c>
      <c r="P574" t="inlineStr">
        <is>
          <t>Noor Thorne</t>
        </is>
      </c>
      <c r="Q574" t="inlineStr">
        <is>
          <t>LEDGER_OR_CASHFLOW_RECEIVED</t>
        </is>
      </c>
      <c r="R574" t="inlineStr">
        <is>
          <t>SYRM_ACKNOWLEDGED</t>
        </is>
      </c>
      <c r="S574" t="inlineStr">
        <is>
          <t>View details</t>
        </is>
      </c>
    </row>
    <row r="575">
      <c r="A575" t="inlineStr">
        <is>
          <t>150316825069</t>
        </is>
      </c>
      <c r="B575" t="inlineStr">
        <is>
          <t>Pinehurst Commercial Bank Sydney</t>
        </is>
      </c>
      <c r="C575" t="inlineStr">
        <is>
          <t>113829985108</t>
        </is>
      </c>
      <c r="D575" t="inlineStr">
        <is>
          <t>Yarrow Bank Stockholm</t>
        </is>
      </c>
      <c r="E575" t="inlineStr">
        <is>
          <t>GBP</t>
        </is>
      </c>
      <c r="F575" t="inlineStr">
        <is>
          <t>NT26081900569</t>
        </is>
      </c>
      <c r="G575" s="6" t="n">
        <v>46253</v>
      </c>
      <c r="H575" s="7" t="n">
        <v>30061062.558</v>
      </c>
      <c r="I575" t="inlineStr">
        <is>
          <t>GBP</t>
        </is>
      </c>
      <c r="J575" s="7" t="n">
        <v>30061062.558</v>
      </c>
      <c r="K575" t="inlineStr">
        <is>
          <t>SWIFT</t>
        </is>
      </c>
      <c r="L575" t="inlineStr">
        <is>
          <t>Liquidity sweep</t>
        </is>
      </c>
      <c r="M575" s="8" t="n">
        <v>46253.3792824074</v>
      </c>
      <c r="N575" t="inlineStr">
        <is>
          <t>Sawyer Calloway</t>
        </is>
      </c>
      <c r="O575" s="8" t="n">
        <v>46253.43067129629</v>
      </c>
      <c r="P575" t="inlineStr">
        <is>
          <t>Quinn Kirby</t>
        </is>
      </c>
      <c r="Q575" t="inlineStr">
        <is>
          <t>LEDGER_RECEIVED</t>
        </is>
      </c>
      <c r="R575" t="inlineStr">
        <is>
          <t>SYRM_ACKNOWLEDGED</t>
        </is>
      </c>
      <c r="S575" t="inlineStr">
        <is>
          <t>View details</t>
        </is>
      </c>
    </row>
    <row r="576">
      <c r="A576" t="inlineStr">
        <is>
          <t>794226063698</t>
        </is>
      </c>
      <c r="B576" t="inlineStr">
        <is>
          <t>Wrenfield Trust Tokyo</t>
        </is>
      </c>
      <c r="C576" t="inlineStr">
        <is>
          <t>794226063698</t>
        </is>
      </c>
      <c r="D576" t="inlineStr">
        <is>
          <t>Bramble Commercial Bank Toronto</t>
        </is>
      </c>
      <c r="E576" t="inlineStr">
        <is>
          <t>AED</t>
        </is>
      </c>
      <c r="F576" t="inlineStr">
        <is>
          <t>NT26081900570</t>
        </is>
      </c>
      <c r="G576" s="6" t="n">
        <v>46253</v>
      </c>
      <c r="H576" s="7" t="n">
        <v>506310364.5642</v>
      </c>
      <c r="I576" t="inlineStr">
        <is>
          <t>GBP</t>
        </is>
      </c>
      <c r="J576" s="7" t="n">
        <v>107844107.652</v>
      </c>
      <c r="K576" t="inlineStr">
        <is>
          <t>SYRM</t>
        </is>
      </c>
      <c r="L576" t="inlineStr">
        <is>
          <t>Liquidity sweep</t>
        </is>
      </c>
      <c r="M576" s="8" t="n">
        <v>46253.64122685185</v>
      </c>
      <c r="N576" t="inlineStr">
        <is>
          <t>Quinn Kirby</t>
        </is>
      </c>
      <c r="O576" s="8" t="n">
        <v>46253.66969907407</v>
      </c>
      <c r="P576" t="inlineStr">
        <is>
          <t>Wren Fairweather</t>
        </is>
      </c>
      <c r="Q576" t="inlineStr">
        <is>
          <t>LEDGER_OR_CASHFLOW_RECEIVED</t>
        </is>
      </c>
      <c r="R576" t="inlineStr">
        <is>
          <t>SYRM_ACKNOWLEDGED</t>
        </is>
      </c>
      <c r="S576" t="inlineStr">
        <is>
          <t>View details</t>
        </is>
      </c>
    </row>
    <row r="577">
      <c r="A577" t="inlineStr">
        <is>
          <t>824840705580</t>
        </is>
      </c>
      <c r="B577" t="inlineStr">
        <is>
          <t>Umberton Commercial Bank Mexico City</t>
        </is>
      </c>
      <c r="C577" t="inlineStr">
        <is>
          <t>265771593142</t>
        </is>
      </c>
      <c r="D577" t="inlineStr">
        <is>
          <t>Cedar Settlement Bank Hong Kong</t>
        </is>
      </c>
      <c r="E577" t="inlineStr">
        <is>
          <t>EUR</t>
        </is>
      </c>
      <c r="F577" t="inlineStr">
        <is>
          <t>NT26081900571</t>
        </is>
      </c>
      <c r="G577" s="6" t="n">
        <v>46253</v>
      </c>
      <c r="H577" s="7" t="n">
        <v>3330074.9574</v>
      </c>
      <c r="I577" t="inlineStr">
        <is>
          <t>GBP</t>
        </is>
      </c>
      <c r="J577" s="7" t="n">
        <v>2857204.313</v>
      </c>
      <c r="K577" t="inlineStr">
        <is>
          <t>INTERNAL</t>
        </is>
      </c>
      <c r="L577" t="inlineStr">
        <is>
          <t>Balance alignment</t>
        </is>
      </c>
      <c r="M577" s="8" t="n">
        <v>46253.73083333333</v>
      </c>
      <c r="N577" t="inlineStr">
        <is>
          <t>Quinn Kirby</t>
        </is>
      </c>
      <c r="O577" s="8" t="n">
        <v>46253.78777777778</v>
      </c>
      <c r="P577" t="inlineStr">
        <is>
          <t>Harper Hollis</t>
        </is>
      </c>
      <c r="Q577" t="inlineStr">
        <is>
          <t>LEDGER_OR_CASHFLOW_RECEIVED</t>
        </is>
      </c>
      <c r="R577" t="inlineStr">
        <is>
          <t>SYRM_PENDING</t>
        </is>
      </c>
      <c r="S577" t="inlineStr">
        <is>
          <t>View details</t>
        </is>
      </c>
    </row>
    <row r="578">
      <c r="A578" t="inlineStr">
        <is>
          <t>113829985108</t>
        </is>
      </c>
      <c r="B578" t="inlineStr">
        <is>
          <t>Pinehurst Trust Toronto</t>
        </is>
      </c>
      <c r="C578" t="inlineStr">
        <is>
          <t>927538182434</t>
        </is>
      </c>
      <c r="D578" t="inlineStr">
        <is>
          <t>Kestrel Bank Frankfurt</t>
        </is>
      </c>
      <c r="E578" t="inlineStr">
        <is>
          <t>EUR</t>
        </is>
      </c>
      <c r="F578" t="inlineStr">
        <is>
          <t>NT26081900572</t>
        </is>
      </c>
      <c r="G578" s="6" t="n">
        <v>46253</v>
      </c>
      <c r="H578" s="7" t="n">
        <v>214357524.7968</v>
      </c>
      <c r="I578" t="inlineStr">
        <is>
          <t>GBP</t>
        </is>
      </c>
      <c r="J578" s="7" t="n">
        <v>183918756.276</v>
      </c>
      <c r="K578" t="inlineStr">
        <is>
          <t>SWIFT</t>
        </is>
      </c>
      <c r="L578" t="inlineStr">
        <is>
          <t>Intraday top-up</t>
        </is>
      </c>
      <c r="M578" s="8" t="n">
        <v>46253.66327546296</v>
      </c>
      <c r="N578" t="inlineStr">
        <is>
          <t>Quinn Brookes</t>
        </is>
      </c>
      <c r="O578" s="8" t="n">
        <v>46253.70355324074</v>
      </c>
      <c r="P578" t="inlineStr">
        <is>
          <t>Quinn Kirby</t>
        </is>
      </c>
      <c r="Q578" t="inlineStr">
        <is>
          <t>LEDGER_OR_CASHFLOW_RECEIVED</t>
        </is>
      </c>
      <c r="R578" t="inlineStr">
        <is>
          <t>SYRM_ACKNOWLEDGED</t>
        </is>
      </c>
      <c r="S578" t="inlineStr">
        <is>
          <t>View details</t>
        </is>
      </c>
    </row>
    <row r="579">
      <c r="A579" t="inlineStr">
        <is>
          <t>468341071172</t>
        </is>
      </c>
      <c r="B579" t="inlineStr">
        <is>
          <t>Pinehurst Settlement Bank Frankfurt</t>
        </is>
      </c>
      <c r="C579" t="inlineStr">
        <is>
          <t>171857983160</t>
        </is>
      </c>
      <c r="D579" t="inlineStr">
        <is>
          <t>Kestrel Bank Frankfurt</t>
        </is>
      </c>
      <c r="E579" t="inlineStr">
        <is>
          <t>EUR</t>
        </is>
      </c>
      <c r="F579" t="inlineStr">
        <is>
          <t>NT26081900573</t>
        </is>
      </c>
      <c r="G579" s="6" t="n">
        <v>46253</v>
      </c>
      <c r="H579" s="7" t="n">
        <v>46752611.7798</v>
      </c>
      <c r="I579" t="inlineStr">
        <is>
          <t>GBP</t>
        </is>
      </c>
      <c r="J579" s="7" t="n">
        <v>40113740.907</v>
      </c>
      <c r="K579" t="inlineStr">
        <is>
          <t>INTERNAL</t>
        </is>
      </c>
      <c r="L579" t="inlineStr">
        <is>
          <t>Balance alignment</t>
        </is>
      </c>
      <c r="M579" s="8" t="n">
        <v>46253.45182870371</v>
      </c>
      <c r="N579" t="inlineStr">
        <is>
          <t>Blake Fairweather</t>
        </is>
      </c>
      <c r="O579" s="8" t="n">
        <v>46253.45738425926</v>
      </c>
      <c r="P579" t="inlineStr">
        <is>
          <t>Oakley Novak</t>
        </is>
      </c>
      <c r="Q579" t="inlineStr">
        <is>
          <t>LEDGER_OR_CASHFLOW_RECEIVED</t>
        </is>
      </c>
      <c r="R579" t="inlineStr">
        <is>
          <t>SYRM_ACKNOWLEDGED</t>
        </is>
      </c>
      <c r="S579" t="inlineStr">
        <is>
          <t>View details</t>
        </is>
      </c>
    </row>
    <row r="580">
      <c r="A580" t="inlineStr">
        <is>
          <t>499062838623</t>
        </is>
      </c>
      <c r="B580" t="inlineStr">
        <is>
          <t>Zephyr Commercial Bank Oslo</t>
        </is>
      </c>
      <c r="C580" t="inlineStr">
        <is>
          <t>150316825069</t>
        </is>
      </c>
      <c r="D580" t="inlineStr">
        <is>
          <t>Ironbark Clearing Frankfurt</t>
        </is>
      </c>
      <c r="E580" t="inlineStr">
        <is>
          <t>USD</t>
        </is>
      </c>
      <c r="F580" t="inlineStr">
        <is>
          <t>NT26081900574</t>
        </is>
      </c>
      <c r="G580" s="6" t="n">
        <v>46253</v>
      </c>
      <c r="H580" s="7" t="n">
        <v>9901907.0604</v>
      </c>
      <c r="I580" t="inlineStr">
        <is>
          <t>GBP</t>
        </is>
      </c>
      <c r="J580" s="7" t="n">
        <v>7763095.135</v>
      </c>
      <c r="K580" t="inlineStr">
        <is>
          <t>SWIFT</t>
        </is>
      </c>
      <c r="L580" t="inlineStr">
        <is>
          <t>Balance alignment</t>
        </is>
      </c>
      <c r="M580" s="8" t="n">
        <v>46253.34699074074</v>
      </c>
      <c r="N580" t="inlineStr">
        <is>
          <t>Avery Sinclair</t>
        </is>
      </c>
      <c r="O580" s="8" t="n">
        <v>46253.41296296296</v>
      </c>
      <c r="P580" t="inlineStr">
        <is>
          <t>Devon Calloway</t>
        </is>
      </c>
      <c r="Q580" t="inlineStr">
        <is>
          <t>LEDGER_OR_CASHFLOW_RECEIVED</t>
        </is>
      </c>
      <c r="R580" t="inlineStr">
        <is>
          <t>SYRM_ACKNOWLEDGED</t>
        </is>
      </c>
      <c r="S580" t="inlineStr">
        <is>
          <t>View details</t>
        </is>
      </c>
    </row>
    <row r="581">
      <c r="A581" t="inlineStr">
        <is>
          <t>968942362772</t>
        </is>
      </c>
      <c r="B581" t="inlineStr">
        <is>
          <t>Kestrel Clearing Oslo</t>
        </is>
      </c>
      <c r="C581" t="inlineStr">
        <is>
          <t>898317028833</t>
        </is>
      </c>
      <c r="D581" t="inlineStr">
        <is>
          <t>Dunlin Commercial Bank Paris</t>
        </is>
      </c>
      <c r="E581" t="inlineStr">
        <is>
          <t>EUR</t>
        </is>
      </c>
      <c r="F581" t="inlineStr">
        <is>
          <t>NT26081900575</t>
        </is>
      </c>
      <c r="G581" s="6" t="n">
        <v>46253</v>
      </c>
      <c r="H581" s="7" t="n">
        <v>14285998.0026</v>
      </c>
      <c r="I581" t="inlineStr">
        <is>
          <t>GBP</t>
        </is>
      </c>
      <c r="J581" s="7" t="n">
        <v>12257386.286</v>
      </c>
      <c r="K581" t="inlineStr">
        <is>
          <t>SWIFT</t>
        </is>
      </c>
      <c r="L581" t="inlineStr">
        <is>
          <t>Intraday top-up</t>
        </is>
      </c>
      <c r="M581" s="8" t="n">
        <v>46253.35517361111</v>
      </c>
      <c r="N581" t="inlineStr">
        <is>
          <t>Devon Calloway</t>
        </is>
      </c>
      <c r="O581" s="8" t="n">
        <v>46253.38295138889</v>
      </c>
      <c r="P581" t="inlineStr">
        <is>
          <t>Ellis Delaney</t>
        </is>
      </c>
      <c r="Q581" t="inlineStr">
        <is>
          <t>LEDGER_OR_CASHFLOW_RECEIVED</t>
        </is>
      </c>
      <c r="R581" t="inlineStr">
        <is>
          <t>SYRM_ACKNOWLEDGED</t>
        </is>
      </c>
      <c r="S581" t="inlineStr">
        <is>
          <t>View details</t>
        </is>
      </c>
    </row>
    <row r="582">
      <c r="A582" t="inlineStr">
        <is>
          <t>132544340094</t>
        </is>
      </c>
      <c r="B582" t="inlineStr">
        <is>
          <t>Bramble Commercial Bank Toronto</t>
        </is>
      </c>
      <c r="C582" t="inlineStr">
        <is>
          <t>468341071172</t>
        </is>
      </c>
      <c r="D582" t="inlineStr">
        <is>
          <t>Oriel Commercial Bank Toronto</t>
        </is>
      </c>
      <c r="E582" t="inlineStr">
        <is>
          <t>CZK</t>
        </is>
      </c>
      <c r="F582" t="inlineStr">
        <is>
          <t>NT26081900576</t>
        </is>
      </c>
      <c r="G582" s="6" t="n">
        <v>46253</v>
      </c>
      <c r="H582" s="7" t="n">
        <v>60972153.71220001</v>
      </c>
      <c r="I582" t="inlineStr">
        <is>
          <t>GBP</t>
        </is>
      </c>
      <c r="J582" s="7" t="n">
        <v>2066956.011</v>
      </c>
      <c r="K582" t="inlineStr">
        <is>
          <t>SWIFT</t>
        </is>
      </c>
      <c r="L582" t="inlineStr">
        <is>
          <t>Funding move</t>
        </is>
      </c>
      <c r="M582" s="8" t="n">
        <v>46253.31351851852</v>
      </c>
      <c r="N582" t="inlineStr">
        <is>
          <t>Noor Thorne</t>
        </is>
      </c>
      <c r="O582" s="8" t="n">
        <v>46253.35449074074</v>
      </c>
      <c r="P582" t="inlineStr">
        <is>
          <t>Marlow Rhodes</t>
        </is>
      </c>
      <c r="Q582" t="inlineStr">
        <is>
          <t>LEDGER_OR_CASHFLOW_RECEIVED</t>
        </is>
      </c>
      <c r="R582" t="inlineStr">
        <is>
          <t>SYRM_ACKNOWLEDGED</t>
        </is>
      </c>
      <c r="S582" t="inlineStr">
        <is>
          <t>View details</t>
        </is>
      </c>
    </row>
    <row r="583">
      <c r="A583" t="inlineStr">
        <is>
          <t>499062838623</t>
        </is>
      </c>
      <c r="B583" t="inlineStr">
        <is>
          <t>Cedar Settlement Bank Hong Kong</t>
        </is>
      </c>
      <c r="C583" t="inlineStr">
        <is>
          <t>910703979141</t>
        </is>
      </c>
      <c r="D583" t="inlineStr">
        <is>
          <t>Juniper Trust London</t>
        </is>
      </c>
      <c r="E583" t="inlineStr">
        <is>
          <t>USD</t>
        </is>
      </c>
      <c r="F583" t="inlineStr">
        <is>
          <t>NT26081900577</t>
        </is>
      </c>
      <c r="G583" s="6" t="n">
        <v>46253</v>
      </c>
      <c r="H583" s="7" t="n">
        <v>29630117.6172</v>
      </c>
      <c r="I583" t="inlineStr">
        <is>
          <t>GBP</t>
        </is>
      </c>
      <c r="J583" s="7" t="n">
        <v>23230012.212</v>
      </c>
      <c r="K583" t="inlineStr">
        <is>
          <t>SYRM</t>
        </is>
      </c>
      <c r="L583" t="inlineStr">
        <is>
          <t>Funding move</t>
        </is>
      </c>
      <c r="M583" s="8" t="n">
        <v>46253.36270833333</v>
      </c>
      <c r="N583" t="inlineStr">
        <is>
          <t>Wren Fairweather</t>
        </is>
      </c>
      <c r="O583" s="8" t="n">
        <v>46253.37173611111</v>
      </c>
      <c r="P583" t="inlineStr">
        <is>
          <t>Avery Prentice</t>
        </is>
      </c>
      <c r="Q583" t="inlineStr">
        <is>
          <t>LEDGER_OR_CASHFLOW_RECEIVED</t>
        </is>
      </c>
      <c r="R583" t="inlineStr">
        <is>
          <t>SYRM_ACKNOWLEDGED</t>
        </is>
      </c>
      <c r="S583" t="inlineStr">
        <is>
          <t>View details</t>
        </is>
      </c>
    </row>
    <row r="584">
      <c r="A584" t="inlineStr">
        <is>
          <t>171857983160</t>
        </is>
      </c>
      <c r="B584" t="inlineStr">
        <is>
          <t>Umberton Trust Tokyo</t>
        </is>
      </c>
      <c r="C584" t="inlineStr">
        <is>
          <t>968942362772</t>
        </is>
      </c>
      <c r="D584" t="inlineStr">
        <is>
          <t>Dunlin Commercial Bank Warsaw</t>
        </is>
      </c>
      <c r="E584" t="inlineStr">
        <is>
          <t>AUD</t>
        </is>
      </c>
      <c r="F584" t="inlineStr">
        <is>
          <t>NT26081900578</t>
        </is>
      </c>
      <c r="G584" s="6" t="n">
        <v>46253</v>
      </c>
      <c r="H584" s="7" t="n">
        <v>1421075935.7748</v>
      </c>
      <c r="I584" t="inlineStr">
        <is>
          <t>GBP</t>
        </is>
      </c>
      <c r="J584" s="7" t="n">
        <v>729011955.052</v>
      </c>
      <c r="K584" t="inlineStr">
        <is>
          <t>SYRM</t>
        </is>
      </c>
      <c r="L584" t="inlineStr">
        <is>
          <t>Balance alignment</t>
        </is>
      </c>
      <c r="M584" s="8" t="n">
        <v>46253.45488425926</v>
      </c>
      <c r="N584" t="inlineStr">
        <is>
          <t>Kai Merrick</t>
        </is>
      </c>
      <c r="O584" s="8" t="n">
        <v>46253.49863425926</v>
      </c>
      <c r="P584" t="inlineStr">
        <is>
          <t>Wren Delaney</t>
        </is>
      </c>
      <c r="Q584" t="inlineStr">
        <is>
          <t>LEDGER_OR_CASHFLOW_RECEIVED</t>
        </is>
      </c>
      <c r="R584" t="inlineStr">
        <is>
          <t>SYRM_REJECTED</t>
        </is>
      </c>
      <c r="S584" t="inlineStr">
        <is>
          <t>View details</t>
        </is>
      </c>
    </row>
    <row r="585">
      <c r="A585" t="inlineStr">
        <is>
          <t>621381112674</t>
        </is>
      </c>
      <c r="B585" t="inlineStr">
        <is>
          <t>Zephyr Settlement Bank Sydney</t>
        </is>
      </c>
      <c r="C585" t="inlineStr">
        <is>
          <t>824840705580</t>
        </is>
      </c>
      <c r="D585" t="inlineStr">
        <is>
          <t>Pinehurst Settlement Bank Frankfurt</t>
        </is>
      </c>
      <c r="E585" t="inlineStr">
        <is>
          <t>PLN</t>
        </is>
      </c>
      <c r="F585" t="inlineStr">
        <is>
          <t>NT26081900579</t>
        </is>
      </c>
      <c r="G585" s="6" t="n">
        <v>46253</v>
      </c>
      <c r="H585" s="7" t="n">
        <v>5446226.952000001</v>
      </c>
      <c r="I585" t="inlineStr">
        <is>
          <t>GBP</t>
        </is>
      </c>
      <c r="J585" s="7" t="n">
        <v>1078352.936</v>
      </c>
      <c r="K585" t="inlineStr">
        <is>
          <t>SYRM</t>
        </is>
      </c>
      <c r="L585" t="inlineStr">
        <is>
          <t>Intraday top-up</t>
        </is>
      </c>
      <c r="M585" s="8" t="n">
        <v>46253.40354166667</v>
      </c>
      <c r="N585" t="inlineStr">
        <is>
          <t>Finley Sinclair</t>
        </is>
      </c>
      <c r="O585" s="8" t="n">
        <v>46253.45215277778</v>
      </c>
      <c r="P585" t="inlineStr">
        <is>
          <t>Tatum Ashford</t>
        </is>
      </c>
      <c r="Q585" t="inlineStr">
        <is>
          <t>LEDGER_OR_CASHFLOW_RECEIVED</t>
        </is>
      </c>
      <c r="R585" t="inlineStr">
        <is>
          <t>SYRM_ACKNOWLEDGED</t>
        </is>
      </c>
      <c r="S585" t="inlineStr">
        <is>
          <t>View details</t>
        </is>
      </c>
    </row>
    <row r="586">
      <c r="A586" t="inlineStr">
        <is>
          <t>468341071172</t>
        </is>
      </c>
      <c r="B586" t="inlineStr">
        <is>
          <t>Umberton Trust Tokyo</t>
        </is>
      </c>
      <c r="C586" t="inlineStr">
        <is>
          <t>150316825069</t>
        </is>
      </c>
      <c r="D586" t="inlineStr">
        <is>
          <t>Wrenfield Commercial Bank Oslo</t>
        </is>
      </c>
      <c r="E586" t="inlineStr">
        <is>
          <t>EUR</t>
        </is>
      </c>
      <c r="F586" t="inlineStr">
        <is>
          <t>NT26081900580</t>
        </is>
      </c>
      <c r="G586" s="6" t="n">
        <v>46253</v>
      </c>
      <c r="H586" s="7" t="n">
        <v>3478015.2132</v>
      </c>
      <c r="I586" t="inlineStr">
        <is>
          <t>GBP</t>
        </is>
      </c>
      <c r="J586" s="7" t="n">
        <v>2984137.053</v>
      </c>
      <c r="K586" t="inlineStr">
        <is>
          <t>SYRM</t>
        </is>
      </c>
      <c r="L586" t="inlineStr"/>
      <c r="M586" s="8" t="n">
        <v>46253.66344907408</v>
      </c>
      <c r="N586" t="inlineStr">
        <is>
          <t>Greer Prentice</t>
        </is>
      </c>
      <c r="O586" s="8" t="n">
        <v>46253.67803240741</v>
      </c>
      <c r="P586" t="inlineStr">
        <is>
          <t>Noor Sinclair</t>
        </is>
      </c>
      <c r="Q586" t="inlineStr">
        <is>
          <t>LEDGER_OR_CASHFLOW_RECEIVED</t>
        </is>
      </c>
      <c r="R586" t="inlineStr">
        <is>
          <t>SYRM_ACKNOWLEDGED</t>
        </is>
      </c>
      <c r="S586" t="inlineStr">
        <is>
          <t>View details</t>
        </is>
      </c>
    </row>
    <row r="587">
      <c r="A587" t="inlineStr">
        <is>
          <t>968942362772</t>
        </is>
      </c>
      <c r="B587" t="inlineStr">
        <is>
          <t>Mallow Commercial Bank Mexico City</t>
        </is>
      </c>
      <c r="C587" t="inlineStr">
        <is>
          <t>120047354818</t>
        </is>
      </c>
      <c r="D587" t="inlineStr">
        <is>
          <t>Cedar Settlement Bank Hong Kong</t>
        </is>
      </c>
      <c r="E587" t="inlineStr">
        <is>
          <t>EUR</t>
        </is>
      </c>
      <c r="F587" t="inlineStr">
        <is>
          <t>NT26081900581</t>
        </is>
      </c>
      <c r="G587" s="6" t="n">
        <v>46253</v>
      </c>
      <c r="H587" s="7" t="n">
        <v>26082676.746</v>
      </c>
      <c r="I587" t="inlineStr">
        <is>
          <t>GBP</t>
        </is>
      </c>
      <c r="J587" s="7" t="n">
        <v>22378936.648</v>
      </c>
      <c r="K587" t="inlineStr">
        <is>
          <t>SYRM</t>
        </is>
      </c>
      <c r="L587" t="inlineStr">
        <is>
          <t>Balance alignment</t>
        </is>
      </c>
      <c r="M587" s="8" t="n">
        <v>46253.65664351852</v>
      </c>
      <c r="N587" t="inlineStr">
        <is>
          <t>Oakley Rhodes</t>
        </is>
      </c>
      <c r="O587" s="8" t="n">
        <v>46253.6767824074</v>
      </c>
      <c r="P587" t="inlineStr">
        <is>
          <t>Oakley Novak</t>
        </is>
      </c>
      <c r="Q587" t="inlineStr">
        <is>
          <t>LEDGER_OR_CASHFLOW_RECEIVED</t>
        </is>
      </c>
      <c r="R587" t="inlineStr">
        <is>
          <t>SYRM_ACKNOWLEDGED</t>
        </is>
      </c>
      <c r="S587" t="inlineStr">
        <is>
          <t>View details</t>
        </is>
      </c>
    </row>
    <row r="588">
      <c r="A588" t="inlineStr">
        <is>
          <t>953625291146</t>
        </is>
      </c>
      <c r="B588" t="inlineStr">
        <is>
          <t>Granite Commercial Bank Milan</t>
        </is>
      </c>
      <c r="C588" t="inlineStr">
        <is>
          <t>700726936098</t>
        </is>
      </c>
      <c r="D588" t="inlineStr">
        <is>
          <t>Yarrow Settlement Bank Oslo</t>
        </is>
      </c>
      <c r="E588" t="inlineStr">
        <is>
          <t>USD</t>
        </is>
      </c>
      <c r="F588" t="inlineStr">
        <is>
          <t>NT26081900582</t>
        </is>
      </c>
      <c r="G588" s="6" t="n">
        <v>46253</v>
      </c>
      <c r="H588" s="7" t="n">
        <v>2284563.3552</v>
      </c>
      <c r="I588" t="inlineStr">
        <is>
          <t>GBP</t>
        </is>
      </c>
      <c r="J588" s="7" t="n">
        <v>1791097.67</v>
      </c>
      <c r="K588" t="inlineStr">
        <is>
          <t>SWIFT</t>
        </is>
      </c>
      <c r="L588" t="inlineStr"/>
      <c r="M588" s="8" t="n">
        <v>46253.38416666666</v>
      </c>
      <c r="N588" t="inlineStr">
        <is>
          <t>Avery Sinclair</t>
        </is>
      </c>
      <c r="O588" s="8" t="n">
        <v>46253.38625</v>
      </c>
      <c r="P588" t="inlineStr">
        <is>
          <t>Oakley Rhodes</t>
        </is>
      </c>
      <c r="Q588" t="inlineStr">
        <is>
          <t>LEDGER_OR_CASHFLOW_RECEIVED</t>
        </is>
      </c>
      <c r="R588" t="inlineStr">
        <is>
          <t>SYRM_ACKNOWLEDGED</t>
        </is>
      </c>
      <c r="S588" t="inlineStr">
        <is>
          <t>View details</t>
        </is>
      </c>
    </row>
    <row r="589">
      <c r="A589" t="inlineStr">
        <is>
          <t>150316825069</t>
        </is>
      </c>
      <c r="B589" t="inlineStr">
        <is>
          <t>Kestrel Clearing Oslo</t>
        </is>
      </c>
      <c r="C589" t="inlineStr">
        <is>
          <t>150316825069</t>
        </is>
      </c>
      <c r="D589" t="inlineStr">
        <is>
          <t>Wrenfield Clearing Frankfurt</t>
        </is>
      </c>
      <c r="E589" t="inlineStr">
        <is>
          <t>GBP</t>
        </is>
      </c>
      <c r="F589" t="inlineStr">
        <is>
          <t>NT26081900583</t>
        </is>
      </c>
      <c r="G589" s="6" t="n">
        <v>46253</v>
      </c>
      <c r="H589" s="7" t="n">
        <v>26906463.7848</v>
      </c>
      <c r="I589" t="inlineStr">
        <is>
          <t>GBP</t>
        </is>
      </c>
      <c r="J589" s="7" t="n">
        <v>26906463.785</v>
      </c>
      <c r="K589" t="inlineStr">
        <is>
          <t>SYRM</t>
        </is>
      </c>
      <c r="L589" t="inlineStr">
        <is>
          <t>Funding move</t>
        </is>
      </c>
      <c r="M589" s="8" t="n">
        <v>46253.78751157408</v>
      </c>
      <c r="N589" t="inlineStr">
        <is>
          <t>Marlow Sinclair</t>
        </is>
      </c>
      <c r="O589" s="8" t="n">
        <v>46253.82640046296</v>
      </c>
      <c r="P589" t="inlineStr">
        <is>
          <t>Finley Hollis</t>
        </is>
      </c>
      <c r="Q589" t="inlineStr">
        <is>
          <t>CASHFLOW_RECEIVED</t>
        </is>
      </c>
      <c r="R589" t="inlineStr">
        <is>
          <t>SYRM_ACKNOWLEDGED</t>
        </is>
      </c>
      <c r="S589" t="inlineStr">
        <is>
          <t>View details</t>
        </is>
      </c>
    </row>
    <row r="590">
      <c r="A590" t="inlineStr">
        <is>
          <t>927538182434</t>
        </is>
      </c>
      <c r="B590" t="inlineStr">
        <is>
          <t>Zephyr Bank Singapore</t>
        </is>
      </c>
      <c r="C590" t="inlineStr">
        <is>
          <t>468341071172</t>
        </is>
      </c>
      <c r="D590" t="inlineStr">
        <is>
          <t>Wrenfield Clearing Mexico City</t>
        </is>
      </c>
      <c r="E590" t="inlineStr">
        <is>
          <t>CNY</t>
        </is>
      </c>
      <c r="F590" t="inlineStr">
        <is>
          <t>NT26081900584</t>
        </is>
      </c>
      <c r="G590" s="6" t="n">
        <v>46253</v>
      </c>
      <c r="H590" s="7" t="n">
        <v>42046642.3932</v>
      </c>
      <c r="I590" t="inlineStr">
        <is>
          <t>GBP</t>
        </is>
      </c>
      <c r="J590" s="7" t="n">
        <v>4583084.021</v>
      </c>
      <c r="K590" t="inlineStr">
        <is>
          <t>SYRM</t>
        </is>
      </c>
      <c r="L590" t="inlineStr">
        <is>
          <t>Funding move</t>
        </is>
      </c>
      <c r="M590" s="8" t="n">
        <v>46253.57300925926</v>
      </c>
      <c r="N590" t="inlineStr">
        <is>
          <t>Sawyer Calloway</t>
        </is>
      </c>
      <c r="O590" s="8" t="n">
        <v>46253.60078703704</v>
      </c>
      <c r="P590" t="inlineStr">
        <is>
          <t>Quinn Osgood</t>
        </is>
      </c>
      <c r="Q590" t="inlineStr">
        <is>
          <t>LEDGER_OR_CASHFLOW_RECEIVED</t>
        </is>
      </c>
      <c r="R590" t="inlineStr">
        <is>
          <t>SYRM_ACKNOWLEDGED</t>
        </is>
      </c>
      <c r="S590" t="inlineStr">
        <is>
          <t>View details</t>
        </is>
      </c>
    </row>
    <row r="591">
      <c r="A591" t="inlineStr">
        <is>
          <t>794226063698</t>
        </is>
      </c>
      <c r="B591" t="inlineStr">
        <is>
          <t>Wrenfield Clearing Mexico City</t>
        </is>
      </c>
      <c r="C591" t="inlineStr">
        <is>
          <t>150316825069</t>
        </is>
      </c>
      <c r="D591" t="inlineStr">
        <is>
          <t>Granite Trust Frankfurt</t>
        </is>
      </c>
      <c r="E591" t="inlineStr">
        <is>
          <t>AED</t>
        </is>
      </c>
      <c r="F591" t="inlineStr">
        <is>
          <t>NT26081900585</t>
        </is>
      </c>
      <c r="G591" s="6" t="n">
        <v>46253</v>
      </c>
      <c r="H591" s="7" t="n">
        <v>59859448.6464</v>
      </c>
      <c r="I591" t="inlineStr">
        <is>
          <t>GBP</t>
        </is>
      </c>
      <c r="J591" s="7" t="n">
        <v>12750062.562</v>
      </c>
      <c r="K591" t="inlineStr">
        <is>
          <t>SWIFT</t>
        </is>
      </c>
      <c r="L591" t="inlineStr">
        <is>
          <t>Balance alignment</t>
        </is>
      </c>
      <c r="M591" s="8" t="n">
        <v>46253.59936342593</v>
      </c>
      <c r="N591" t="inlineStr">
        <is>
          <t>Oakley Novak</t>
        </is>
      </c>
      <c r="O591" s="8" t="n">
        <v>46253.61741898148</v>
      </c>
      <c r="P591" t="inlineStr">
        <is>
          <t>Ellis Delaney</t>
        </is>
      </c>
      <c r="Q591" t="inlineStr">
        <is>
          <t>LEDGER_OR_CASHFLOW_RECEIVED</t>
        </is>
      </c>
      <c r="R591" t="inlineStr">
        <is>
          <t>SYRM_ACKNOWLEDGED</t>
        </is>
      </c>
      <c r="S591" t="inlineStr">
        <is>
          <t>View details</t>
        </is>
      </c>
    </row>
    <row r="592">
      <c r="A592" t="inlineStr">
        <is>
          <t>968942362772</t>
        </is>
      </c>
      <c r="B592" t="inlineStr">
        <is>
          <t>Zephyr Settlement Bank Sydney</t>
        </is>
      </c>
      <c r="C592" t="inlineStr">
        <is>
          <t>150316825069</t>
        </is>
      </c>
      <c r="D592" t="inlineStr">
        <is>
          <t>Zephyr Commercial Bank Oslo</t>
        </is>
      </c>
      <c r="E592" t="inlineStr">
        <is>
          <t>EUR</t>
        </is>
      </c>
      <c r="F592" t="inlineStr">
        <is>
          <t>NT26081900586</t>
        </is>
      </c>
      <c r="G592" s="6" t="n">
        <v>46253</v>
      </c>
      <c r="H592" s="7" t="n">
        <v>133296.0354</v>
      </c>
      <c r="I592" t="inlineStr">
        <is>
          <t>GBP</t>
        </is>
      </c>
      <c r="J592" s="7" t="n">
        <v>114367.998</v>
      </c>
      <c r="K592" t="inlineStr">
        <is>
          <t>SYRM</t>
        </is>
      </c>
      <c r="L592" t="inlineStr">
        <is>
          <t>Intraday top-up</t>
        </is>
      </c>
      <c r="M592" s="8" t="n">
        <v>46253.61291666667</v>
      </c>
      <c r="N592" t="inlineStr">
        <is>
          <t>Kai Calloway</t>
        </is>
      </c>
      <c r="O592" s="8" t="n">
        <v>46253.615</v>
      </c>
      <c r="P592" t="inlineStr">
        <is>
          <t>Kai Calloway</t>
        </is>
      </c>
      <c r="Q592" t="inlineStr">
        <is>
          <t>LEDGER_OR_CASHFLOW_RECEIVED</t>
        </is>
      </c>
      <c r="R592" t="inlineStr">
        <is>
          <t>SYRM_ACKNOWLEDGED</t>
        </is>
      </c>
      <c r="S592" t="inlineStr">
        <is>
          <t>View details</t>
        </is>
      </c>
    </row>
    <row r="593">
      <c r="A593" t="inlineStr">
        <is>
          <t>898317028833</t>
        </is>
      </c>
      <c r="B593" t="inlineStr">
        <is>
          <t>Sablewood Settlement Bank Oslo</t>
        </is>
      </c>
      <c r="C593" t="inlineStr">
        <is>
          <t>499062838623</t>
        </is>
      </c>
      <c r="D593" t="inlineStr">
        <is>
          <t>Juniper Clearing Hong Kong</t>
        </is>
      </c>
      <c r="E593" t="inlineStr">
        <is>
          <t>GBP</t>
        </is>
      </c>
      <c r="F593" t="inlineStr">
        <is>
          <t>NT26081900587</t>
        </is>
      </c>
      <c r="G593" s="6" t="n">
        <v>46253</v>
      </c>
      <c r="H593" s="7" t="n">
        <v>68152084.7616</v>
      </c>
      <c r="I593" t="inlineStr">
        <is>
          <t>GBP</t>
        </is>
      </c>
      <c r="J593" s="7" t="n">
        <v>68152084.76199999</v>
      </c>
      <c r="K593" t="inlineStr">
        <is>
          <t>SYRM</t>
        </is>
      </c>
      <c r="L593" t="inlineStr">
        <is>
          <t>Balance alignment</t>
        </is>
      </c>
      <c r="M593" s="8" t="n">
        <v>46253.34978009259</v>
      </c>
      <c r="N593" t="inlineStr">
        <is>
          <t>Devon Calloway</t>
        </is>
      </c>
      <c r="O593" s="8" t="n">
        <v>46253.38797453704</v>
      </c>
      <c r="P593" t="inlineStr">
        <is>
          <t>Marlow Sinclair</t>
        </is>
      </c>
      <c r="Q593" t="inlineStr">
        <is>
          <t>LEDGER_OR_CASHFLOW_RECEIVED</t>
        </is>
      </c>
      <c r="R593" t="inlineStr">
        <is>
          <t>SYRM_ACKNOWLEDGED</t>
        </is>
      </c>
      <c r="S593" t="inlineStr">
        <is>
          <t>View details</t>
        </is>
      </c>
    </row>
    <row r="594">
      <c r="A594" t="inlineStr">
        <is>
          <t>113829985108</t>
        </is>
      </c>
      <c r="B594" t="inlineStr">
        <is>
          <t>Pinehurst Commercial Bank Stockholm</t>
        </is>
      </c>
      <c r="C594" t="inlineStr">
        <is>
          <t>968942362772</t>
        </is>
      </c>
      <c r="D594" t="inlineStr">
        <is>
          <t>Zephyr Bank Madrid</t>
        </is>
      </c>
      <c r="E594" t="inlineStr">
        <is>
          <t>EUR</t>
        </is>
      </c>
      <c r="F594" t="inlineStr">
        <is>
          <t>NT26081900588</t>
        </is>
      </c>
      <c r="G594" s="6" t="n">
        <v>46253</v>
      </c>
      <c r="H594" s="7" t="n">
        <v>11332960.4394</v>
      </c>
      <c r="I594" t="inlineStr">
        <is>
          <t>GBP</t>
        </is>
      </c>
      <c r="J594" s="7" t="n">
        <v>9723680.057</v>
      </c>
      <c r="K594" t="inlineStr">
        <is>
          <t>SYRM</t>
        </is>
      </c>
      <c r="L594" t="inlineStr"/>
      <c r="M594" s="8" t="n">
        <v>46253.66</v>
      </c>
      <c r="N594" t="inlineStr">
        <is>
          <t>Kai Merrick</t>
        </is>
      </c>
      <c r="O594" s="8" t="n">
        <v>46253.71069444445</v>
      </c>
      <c r="P594" t="inlineStr">
        <is>
          <t>Kai Merrick</t>
        </is>
      </c>
      <c r="Q594" t="inlineStr">
        <is>
          <t>LEDGER_OR_CASHFLOW_RECEIVED</t>
        </is>
      </c>
      <c r="R594" t="inlineStr">
        <is>
          <t>SYRM_ACKNOWLEDGED</t>
        </is>
      </c>
      <c r="S594" t="inlineStr">
        <is>
          <t>View details</t>
        </is>
      </c>
    </row>
    <row r="595">
      <c r="A595" t="inlineStr">
        <is>
          <t>700726936098</t>
        </is>
      </c>
      <c r="B595" t="inlineStr">
        <is>
          <t>Wrenfield Trust Tokyo</t>
        </is>
      </c>
      <c r="C595" t="inlineStr">
        <is>
          <t>953625291146</t>
        </is>
      </c>
      <c r="D595" t="inlineStr">
        <is>
          <t>Pinehurst Trust Toronto</t>
        </is>
      </c>
      <c r="E595" t="inlineStr">
        <is>
          <t>SAR</t>
        </is>
      </c>
      <c r="F595" t="inlineStr">
        <is>
          <t>NT26081900589</t>
        </is>
      </c>
      <c r="G595" s="6" t="n">
        <v>46253</v>
      </c>
      <c r="H595" s="7" t="n">
        <v>353625651.72</v>
      </c>
      <c r="I595" t="inlineStr">
        <is>
          <t>GBP</t>
        </is>
      </c>
      <c r="J595" s="7" t="n">
        <v>73907761.20900001</v>
      </c>
      <c r="K595" t="inlineStr">
        <is>
          <t>INTERNAL</t>
        </is>
      </c>
      <c r="L595" t="inlineStr">
        <is>
          <t>Funding move</t>
        </is>
      </c>
      <c r="M595" s="8" t="n">
        <v>46253.45525462963</v>
      </c>
      <c r="N595" t="inlineStr">
        <is>
          <t>Greer Prentice</t>
        </is>
      </c>
      <c r="O595" s="8" t="n">
        <v>46253.47400462963</v>
      </c>
      <c r="P595" t="inlineStr">
        <is>
          <t>Finley Hollis</t>
        </is>
      </c>
      <c r="Q595" t="inlineStr">
        <is>
          <t>CASHFLOW_RECEIVED</t>
        </is>
      </c>
      <c r="R595" t="inlineStr">
        <is>
          <t>SYRM_PENDING</t>
        </is>
      </c>
      <c r="S595" t="inlineStr">
        <is>
          <t>View details</t>
        </is>
      </c>
    </row>
    <row r="596">
      <c r="A596" t="inlineStr">
        <is>
          <t>953625291146</t>
        </is>
      </c>
      <c r="B596" t="inlineStr">
        <is>
          <t>Zephyr Settlement Bank New York</t>
        </is>
      </c>
      <c r="C596" t="inlineStr">
        <is>
          <t>150316825069</t>
        </is>
      </c>
      <c r="D596" t="inlineStr">
        <is>
          <t>Mallow Trust Frankfurt</t>
        </is>
      </c>
      <c r="E596" t="inlineStr">
        <is>
          <t>USD</t>
        </is>
      </c>
      <c r="F596" t="inlineStr">
        <is>
          <t>NT26081900590</t>
        </is>
      </c>
      <c r="G596" s="6" t="n">
        <v>46253</v>
      </c>
      <c r="H596" s="7" t="n">
        <v>35143.3656</v>
      </c>
      <c r="I596" t="inlineStr">
        <is>
          <t>GBP</t>
        </is>
      </c>
      <c r="J596" s="7" t="n">
        <v>27552.399</v>
      </c>
      <c r="K596" t="inlineStr">
        <is>
          <t>INTERNAL</t>
        </is>
      </c>
      <c r="L596" t="inlineStr">
        <is>
          <t>Funding move</t>
        </is>
      </c>
      <c r="M596" s="8" t="n">
        <v>46253.62657407407</v>
      </c>
      <c r="N596" t="inlineStr">
        <is>
          <t>Finley Hollis</t>
        </is>
      </c>
      <c r="O596" s="8" t="n">
        <v>46253.65921296296</v>
      </c>
      <c r="P596" t="inlineStr">
        <is>
          <t>Finley Hollis</t>
        </is>
      </c>
      <c r="Q596" t="inlineStr">
        <is>
          <t>LEDGER_OR_CASHFLOW_RECEIVED</t>
        </is>
      </c>
      <c r="R596" t="inlineStr">
        <is>
          <t>SYRM_ACKNOWLEDGED</t>
        </is>
      </c>
      <c r="S596" t="inlineStr">
        <is>
          <t>View details</t>
        </is>
      </c>
    </row>
    <row r="597">
      <c r="A597" t="inlineStr">
        <is>
          <t>824840705580</t>
        </is>
      </c>
      <c r="B597" t="inlineStr">
        <is>
          <t>Yarrow Bank Stockholm</t>
        </is>
      </c>
      <c r="C597" t="inlineStr">
        <is>
          <t>468341071172</t>
        </is>
      </c>
      <c r="D597" t="inlineStr">
        <is>
          <t>Kestrel Bank Frankfurt</t>
        </is>
      </c>
      <c r="E597" t="inlineStr">
        <is>
          <t>EUR</t>
        </is>
      </c>
      <c r="F597" t="inlineStr">
        <is>
          <t>NT26081900591</t>
        </is>
      </c>
      <c r="G597" s="6" t="n">
        <v>46253</v>
      </c>
      <c r="H597" s="7" t="n">
        <v>3714365.2698</v>
      </c>
      <c r="I597" t="inlineStr">
        <is>
          <t>GBP</t>
        </is>
      </c>
      <c r="J597" s="7" t="n">
        <v>3186925.401</v>
      </c>
      <c r="K597" t="inlineStr">
        <is>
          <t>SYRM</t>
        </is>
      </c>
      <c r="L597" t="inlineStr">
        <is>
          <t>Liquidity sweep</t>
        </is>
      </c>
      <c r="M597" s="8" t="n">
        <v>46253.82174768519</v>
      </c>
      <c r="N597" t="inlineStr">
        <is>
          <t>Kai Novak</t>
        </is>
      </c>
      <c r="O597" s="8" t="n">
        <v>46253.88702546297</v>
      </c>
      <c r="P597" t="inlineStr">
        <is>
          <t>Greer Osgood</t>
        </is>
      </c>
      <c r="Q597" t="inlineStr">
        <is>
          <t>LEDGER_OR_CASHFLOW_RECEIVED</t>
        </is>
      </c>
      <c r="R597" t="inlineStr">
        <is>
          <t>SYRM_ACKNOWLEDGED</t>
        </is>
      </c>
      <c r="S597" t="inlineStr">
        <is>
          <t>View details</t>
        </is>
      </c>
    </row>
    <row r="598">
      <c r="A598" t="inlineStr">
        <is>
          <t>794226063698</t>
        </is>
      </c>
      <c r="B598" t="inlineStr">
        <is>
          <t>Ironbark Trust Dublin</t>
        </is>
      </c>
      <c r="C598" t="inlineStr">
        <is>
          <t>910703979141</t>
        </is>
      </c>
      <c r="D598" t="inlineStr">
        <is>
          <t>Bramble Commercial Bank Toronto</t>
        </is>
      </c>
      <c r="E598" t="inlineStr">
        <is>
          <t>AED</t>
        </is>
      </c>
      <c r="F598" t="inlineStr">
        <is>
          <t>NT26081900592</t>
        </is>
      </c>
      <c r="G598" s="6" t="n">
        <v>46253</v>
      </c>
      <c r="H598" s="7" t="n">
        <v>151523230834.8018</v>
      </c>
      <c r="I598" t="inlineStr">
        <is>
          <t>GBP</t>
        </is>
      </c>
      <c r="J598" s="7" t="n">
        <v>32274448167.813</v>
      </c>
      <c r="K598" t="inlineStr">
        <is>
          <t>SYRM</t>
        </is>
      </c>
      <c r="L598" t="inlineStr">
        <is>
          <t>Funding move</t>
        </is>
      </c>
      <c r="M598" s="8" t="n">
        <v>46253.42740740741</v>
      </c>
      <c r="N598" t="inlineStr">
        <is>
          <t>Wren Fairweather</t>
        </is>
      </c>
      <c r="O598" s="8" t="n">
        <v>46253.43226851852</v>
      </c>
      <c r="P598" t="inlineStr">
        <is>
          <t>Greer Osgood</t>
        </is>
      </c>
      <c r="Q598" t="inlineStr">
        <is>
          <t>LEDGER_OR_CASHFLOW_RECEIVED</t>
        </is>
      </c>
      <c r="R598" t="inlineStr">
        <is>
          <t>SYRM_ACKNOWLEDGED</t>
        </is>
      </c>
      <c r="S598" t="inlineStr">
        <is>
          <t>View details</t>
        </is>
      </c>
    </row>
    <row r="599">
      <c r="A599" t="inlineStr">
        <is>
          <t>132544340094</t>
        </is>
      </c>
      <c r="B599" t="inlineStr">
        <is>
          <t>Pinehurst Settlement Bank Frankfurt</t>
        </is>
      </c>
      <c r="C599" t="inlineStr">
        <is>
          <t>284925023085</t>
        </is>
      </c>
      <c r="D599" t="inlineStr">
        <is>
          <t>Nightjar Bank Stockholm</t>
        </is>
      </c>
      <c r="E599" t="inlineStr">
        <is>
          <t>CZK</t>
        </is>
      </c>
      <c r="F599" t="inlineStr">
        <is>
          <t>NT26081900593</t>
        </is>
      </c>
      <c r="G599" s="6" t="n">
        <v>46253</v>
      </c>
      <c r="H599" s="7" t="n">
        <v>6749600.535</v>
      </c>
      <c r="I599" t="inlineStr">
        <is>
          <t>GBP</t>
        </is>
      </c>
      <c r="J599" s="7" t="n">
        <v>228811.458</v>
      </c>
      <c r="K599" t="inlineStr">
        <is>
          <t>SYRM</t>
        </is>
      </c>
      <c r="L599" t="inlineStr">
        <is>
          <t>Balance alignment</t>
        </is>
      </c>
      <c r="M599" s="8" t="n">
        <v>46253.63041666667</v>
      </c>
      <c r="N599" t="inlineStr">
        <is>
          <t>Harper Hollis</t>
        </is>
      </c>
      <c r="O599" s="8" t="n">
        <v>46253.64847222222</v>
      </c>
      <c r="P599" t="inlineStr">
        <is>
          <t>Noor Sinclair</t>
        </is>
      </c>
      <c r="Q599" t="inlineStr">
        <is>
          <t>LEDGER_OR_CASHFLOW_RECEIVED</t>
        </is>
      </c>
      <c r="R599" t="inlineStr">
        <is>
          <t>SYRM_PENDING</t>
        </is>
      </c>
      <c r="S599" t="inlineStr">
        <is>
          <t>View details</t>
        </is>
      </c>
    </row>
    <row r="600">
      <c r="A600" t="inlineStr">
        <is>
          <t>132544340094</t>
        </is>
      </c>
      <c r="B600" t="inlineStr">
        <is>
          <t>Ironbark Trust Dublin</t>
        </is>
      </c>
      <c r="C600" t="inlineStr">
        <is>
          <t>150316825069</t>
        </is>
      </c>
      <c r="D600" t="inlineStr">
        <is>
          <t>Nightjar Bank Stockholm</t>
        </is>
      </c>
      <c r="E600" t="inlineStr">
        <is>
          <t>CZK</t>
        </is>
      </c>
      <c r="F600" t="inlineStr">
        <is>
          <t>NT26081900594</t>
        </is>
      </c>
      <c r="G600" s="6" t="n">
        <v>46253</v>
      </c>
      <c r="H600" s="7" t="n">
        <v>1370883999.6216</v>
      </c>
      <c r="I600" t="inlineStr">
        <is>
          <t>GBP</t>
        </is>
      </c>
      <c r="J600" s="7" t="n">
        <v>46472967.587</v>
      </c>
      <c r="K600" t="inlineStr">
        <is>
          <t>SYRM</t>
        </is>
      </c>
      <c r="L600" t="inlineStr">
        <is>
          <t>Balance alignment</t>
        </is>
      </c>
      <c r="M600" s="8" t="n">
        <v>46253.72657407408</v>
      </c>
      <c r="N600" t="inlineStr">
        <is>
          <t>Wren Delaney</t>
        </is>
      </c>
      <c r="O600" s="8" t="n">
        <v>46253.75782407408</v>
      </c>
      <c r="P600" t="inlineStr">
        <is>
          <t>Quinn Brookes</t>
        </is>
      </c>
      <c r="Q600" t="inlineStr">
        <is>
          <t>LEDGER_OR_CASHFLOW_RECEIVED</t>
        </is>
      </c>
      <c r="R600" t="inlineStr">
        <is>
          <t>SYRM_ACKNOWLEDGED</t>
        </is>
      </c>
      <c r="S600" t="inlineStr">
        <is>
          <t>View details</t>
        </is>
      </c>
    </row>
    <row r="601">
      <c r="A601" t="inlineStr">
        <is>
          <t>824840705580</t>
        </is>
      </c>
      <c r="B601" t="inlineStr">
        <is>
          <t>Ironbark Clearing Frankfurt</t>
        </is>
      </c>
      <c r="C601" t="inlineStr">
        <is>
          <t>953625291146</t>
        </is>
      </c>
      <c r="D601" t="inlineStr">
        <is>
          <t>Bramble Bank Milan</t>
        </is>
      </c>
      <c r="E601" t="inlineStr">
        <is>
          <t>EUR</t>
        </is>
      </c>
      <c r="F601" t="inlineStr">
        <is>
          <t>NT26081900595</t>
        </is>
      </c>
      <c r="G601" s="6" t="n">
        <v>46253</v>
      </c>
      <c r="H601" s="7" t="n">
        <v>39299298.87060001</v>
      </c>
      <c r="I601" t="inlineStr">
        <is>
          <t>GBP</t>
        </is>
      </c>
      <c r="J601" s="7" t="n">
        <v>33718798.431</v>
      </c>
      <c r="K601" t="inlineStr">
        <is>
          <t>SYRM</t>
        </is>
      </c>
      <c r="L601" t="inlineStr">
        <is>
          <t>Liquidity sweep</t>
        </is>
      </c>
      <c r="M601" s="8" t="n">
        <v>46253.34347222222</v>
      </c>
      <c r="N601" t="inlineStr">
        <is>
          <t>Kai Novak</t>
        </is>
      </c>
      <c r="O601" s="8" t="n">
        <v>46253.40111111111</v>
      </c>
      <c r="P601" t="inlineStr">
        <is>
          <t>Sawyer Calloway</t>
        </is>
      </c>
      <c r="Q601" t="inlineStr">
        <is>
          <t>LEDGER_OR_CASHFLOW_RECEIVED</t>
        </is>
      </c>
      <c r="R601" t="inlineStr">
        <is>
          <t>SYRM_ACKNOWLEDGED</t>
        </is>
      </c>
      <c r="S601" t="inlineStr">
        <is>
          <t>View details</t>
        </is>
      </c>
    </row>
    <row r="602">
      <c r="A602" t="inlineStr">
        <is>
          <t>284925023085</t>
        </is>
      </c>
      <c r="B602" t="inlineStr">
        <is>
          <t>Yarrow Bank Stockholm</t>
        </is>
      </c>
      <c r="C602" t="inlineStr">
        <is>
          <t>265771593142</t>
        </is>
      </c>
      <c r="D602" t="inlineStr">
        <is>
          <t>Larkspur Clearing New York</t>
        </is>
      </c>
      <c r="E602" t="inlineStr">
        <is>
          <t>MXN</t>
        </is>
      </c>
      <c r="F602" t="inlineStr">
        <is>
          <t>NT26081900596</t>
        </is>
      </c>
      <c r="G602" s="6" t="n">
        <v>46253</v>
      </c>
      <c r="H602" s="7" t="n">
        <v>170239926.5028</v>
      </c>
      <c r="I602" t="inlineStr">
        <is>
          <t>GBP</t>
        </is>
      </c>
      <c r="J602" s="7" t="n">
        <v>7286268.854</v>
      </c>
      <c r="K602" t="inlineStr">
        <is>
          <t>SYRM</t>
        </is>
      </c>
      <c r="L602" t="inlineStr">
        <is>
          <t>Liquidity sweep</t>
        </is>
      </c>
      <c r="M602" s="8" t="n">
        <v>46253.46143518519</v>
      </c>
      <c r="N602" t="inlineStr">
        <is>
          <t>Greer Osgood</t>
        </is>
      </c>
      <c r="O602" s="8" t="n">
        <v>46253.4725462963</v>
      </c>
      <c r="P602" t="inlineStr">
        <is>
          <t>Noor Sinclair</t>
        </is>
      </c>
      <c r="Q602" t="inlineStr">
        <is>
          <t>LEDGER_OR_CASHFLOW_RECEIVED</t>
        </is>
      </c>
      <c r="R602" t="inlineStr">
        <is>
          <t>SYRM_REJECTED</t>
        </is>
      </c>
      <c r="S602" t="inlineStr">
        <is>
          <t>View details</t>
        </is>
      </c>
    </row>
    <row r="603">
      <c r="A603" t="inlineStr">
        <is>
          <t>953625291146</t>
        </is>
      </c>
      <c r="B603" t="inlineStr">
        <is>
          <t>Umberton Trust Tokyo</t>
        </is>
      </c>
      <c r="C603" t="inlineStr">
        <is>
          <t>794226063698</t>
        </is>
      </c>
      <c r="D603" t="inlineStr">
        <is>
          <t>Cedar Settlement Bank Hong Kong</t>
        </is>
      </c>
      <c r="E603" t="inlineStr">
        <is>
          <t>USD</t>
        </is>
      </c>
      <c r="F603" t="inlineStr">
        <is>
          <t>NT26081900597</t>
        </is>
      </c>
      <c r="G603" s="6" t="n">
        <v>46253</v>
      </c>
      <c r="H603" s="7" t="n">
        <v>376198408.6758</v>
      </c>
      <c r="I603" t="inlineStr">
        <is>
          <t>GBP</t>
        </is>
      </c>
      <c r="J603" s="7" t="n">
        <v>294939552.402</v>
      </c>
      <c r="K603" t="inlineStr">
        <is>
          <t>SYRM</t>
        </is>
      </c>
      <c r="L603" t="inlineStr">
        <is>
          <t>Liquidity sweep</t>
        </is>
      </c>
      <c r="M603" s="8" t="n">
        <v>46253.36304398148</v>
      </c>
      <c r="N603" t="inlineStr">
        <is>
          <t>Noor Brookes</t>
        </is>
      </c>
      <c r="O603" s="8" t="n">
        <v>46253.39082175926</v>
      </c>
      <c r="P603" t="inlineStr">
        <is>
          <t>Oakley Prentice</t>
        </is>
      </c>
      <c r="Q603" t="inlineStr">
        <is>
          <t>LEDGER_OR_CASHFLOW_RECEIVED</t>
        </is>
      </c>
      <c r="R603" t="inlineStr">
        <is>
          <t>SYRM_ACKNOWLEDGED</t>
        </is>
      </c>
      <c r="S603" t="inlineStr">
        <is>
          <t>View details</t>
        </is>
      </c>
    </row>
    <row r="604">
      <c r="A604" t="inlineStr">
        <is>
          <t>621381112674</t>
        </is>
      </c>
      <c r="B604" t="inlineStr">
        <is>
          <t>Bramble Trust Zurich</t>
        </is>
      </c>
      <c r="C604" t="inlineStr">
        <is>
          <t>700726936098</t>
        </is>
      </c>
      <c r="D604" t="inlineStr">
        <is>
          <t>Oriel Commercial Bank Toronto</t>
        </is>
      </c>
      <c r="E604" t="inlineStr">
        <is>
          <t>PLN</t>
        </is>
      </c>
      <c r="F604" t="inlineStr">
        <is>
          <t>NT26081900598</t>
        </is>
      </c>
      <c r="G604" s="6" t="n">
        <v>46253</v>
      </c>
      <c r="H604" s="7" t="n">
        <v>855901591.101</v>
      </c>
      <c r="I604" t="inlineStr">
        <is>
          <t>GBP</t>
        </is>
      </c>
      <c r="J604" s="7" t="n">
        <v>169468515.038</v>
      </c>
      <c r="K604" t="inlineStr">
        <is>
          <t>SYRM</t>
        </is>
      </c>
      <c r="L604" t="inlineStr">
        <is>
          <t>Balance alignment</t>
        </is>
      </c>
      <c r="M604" s="8" t="n">
        <v>46253.73018518519</v>
      </c>
      <c r="N604" t="inlineStr">
        <is>
          <t>Marlow Thorne</t>
        </is>
      </c>
      <c r="O604" s="8" t="n">
        <v>46253.76976851852</v>
      </c>
      <c r="P604" t="inlineStr">
        <is>
          <t>Finley Sinclair</t>
        </is>
      </c>
      <c r="Q604" t="inlineStr">
        <is>
          <t>LEDGER_OR_CASHFLOW_RECEIVED</t>
        </is>
      </c>
      <c r="R604" t="inlineStr">
        <is>
          <t>SYRM_ACKNOWLEDGED</t>
        </is>
      </c>
      <c r="S604" t="inlineStr">
        <is>
          <t>View details</t>
        </is>
      </c>
    </row>
    <row r="605">
      <c r="A605" t="inlineStr">
        <is>
          <t>927538182434</t>
        </is>
      </c>
      <c r="B605" t="inlineStr">
        <is>
          <t>Wrenfield Trust Tokyo</t>
        </is>
      </c>
      <c r="C605" t="inlineStr">
        <is>
          <t>499062838623</t>
        </is>
      </c>
      <c r="D605" t="inlineStr">
        <is>
          <t>Pinehurst Commercial Bank Stockholm</t>
        </is>
      </c>
      <c r="E605" t="inlineStr">
        <is>
          <t>CNY</t>
        </is>
      </c>
      <c r="F605" t="inlineStr">
        <is>
          <t>NT26081900599</t>
        </is>
      </c>
      <c r="G605" s="6" t="n">
        <v>46253</v>
      </c>
      <c r="H605" s="7" t="n">
        <v>56274.2694</v>
      </c>
      <c r="I605" t="inlineStr">
        <is>
          <t>GBP</t>
        </is>
      </c>
      <c r="J605" s="7" t="n">
        <v>6133.895</v>
      </c>
      <c r="K605" t="inlineStr">
        <is>
          <t>SYRM</t>
        </is>
      </c>
      <c r="L605" t="inlineStr">
        <is>
          <t>Balance alignment</t>
        </is>
      </c>
      <c r="M605" s="8" t="n">
        <v>46253.65325231481</v>
      </c>
      <c r="N605" t="inlineStr">
        <is>
          <t>Devon Delaney</t>
        </is>
      </c>
      <c r="O605" s="8" t="n">
        <v>46253.66853009259</v>
      </c>
      <c r="P605" t="inlineStr">
        <is>
          <t>Avery Prentice</t>
        </is>
      </c>
      <c r="Q605" t="inlineStr">
        <is>
          <t>LEDGER_OR_CASHFLOW_RECEIVED</t>
        </is>
      </c>
      <c r="R605" t="inlineStr">
        <is>
          <t>SYRM_ACKNOWLEDGED</t>
        </is>
      </c>
      <c r="S605" t="inlineStr">
        <is>
          <t>View details</t>
        </is>
      </c>
    </row>
    <row r="606">
      <c r="A606" t="inlineStr">
        <is>
          <t>113829985108</t>
        </is>
      </c>
      <c r="B606" t="inlineStr">
        <is>
          <t>Bramble Commercial Bank Toronto</t>
        </is>
      </c>
      <c r="C606" t="inlineStr">
        <is>
          <t>265771593142</t>
        </is>
      </c>
      <c r="D606" t="inlineStr">
        <is>
          <t>Fernway Trust Tokyo</t>
        </is>
      </c>
      <c r="E606" t="inlineStr">
        <is>
          <t>EUR</t>
        </is>
      </c>
      <c r="F606" t="inlineStr">
        <is>
          <t>NT26081900600</t>
        </is>
      </c>
      <c r="G606" s="6" t="n">
        <v>46253</v>
      </c>
      <c r="H606" s="7" t="n">
        <v>3683302.5564</v>
      </c>
      <c r="I606" t="inlineStr">
        <is>
          <t>GBP</t>
        </is>
      </c>
      <c r="J606" s="7" t="n">
        <v>3160273.593</v>
      </c>
      <c r="K606" t="inlineStr">
        <is>
          <t>SWIFT</t>
        </is>
      </c>
      <c r="L606" t="inlineStr">
        <is>
          <t>Liquidity sweep</t>
        </is>
      </c>
      <c r="M606" s="8" t="n">
        <v>46253.68331018519</v>
      </c>
      <c r="N606" t="inlineStr">
        <is>
          <t>Ellis Delaney</t>
        </is>
      </c>
      <c r="O606" s="8" t="n">
        <v>46253.70206018518</v>
      </c>
      <c r="P606" t="inlineStr">
        <is>
          <t>Noor Sinclair</t>
        </is>
      </c>
      <c r="Q606" t="inlineStr">
        <is>
          <t>LEDGER_OR_CASHFLOW_RECEIVED</t>
        </is>
      </c>
      <c r="R606" t="inlineStr">
        <is>
          <t>SYRM_ACKNOWLEDGED</t>
        </is>
      </c>
      <c r="S606" t="inlineStr">
        <is>
          <t>View details</t>
        </is>
      </c>
    </row>
    <row r="607">
      <c r="A607" t="inlineStr">
        <is>
          <t>150316825069</t>
        </is>
      </c>
      <c r="B607" t="inlineStr">
        <is>
          <t>Fernway Clearing Frankfurt</t>
        </is>
      </c>
      <c r="C607" t="inlineStr">
        <is>
          <t>150316825069</t>
        </is>
      </c>
      <c r="D607" t="inlineStr">
        <is>
          <t>Larkspur Clearing New York</t>
        </is>
      </c>
      <c r="E607" t="inlineStr">
        <is>
          <t>GBP</t>
        </is>
      </c>
      <c r="F607" t="inlineStr">
        <is>
          <t>NT26081900601</t>
        </is>
      </c>
      <c r="G607" s="6" t="n">
        <v>46253</v>
      </c>
      <c r="H607" s="7" t="n">
        <v>18899593.9596</v>
      </c>
      <c r="I607" t="inlineStr">
        <is>
          <t>GBP</t>
        </is>
      </c>
      <c r="J607" s="7" t="n">
        <v>18899593.96</v>
      </c>
      <c r="K607" t="inlineStr">
        <is>
          <t>SYRM</t>
        </is>
      </c>
      <c r="L607" t="inlineStr">
        <is>
          <t>Liquidity sweep</t>
        </is>
      </c>
      <c r="M607" s="8" t="n">
        <v>46253.50916666666</v>
      </c>
      <c r="N607" t="inlineStr">
        <is>
          <t>Finley Sinclair</t>
        </is>
      </c>
      <c r="O607" s="8" t="n"/>
      <c r="Q607" t="inlineStr">
        <is>
          <t>PENDING_APPROVAL</t>
        </is>
      </c>
      <c r="R607" t="inlineStr">
        <is>
          <t>SYRM_ACKNOWLEDGED</t>
        </is>
      </c>
      <c r="S607" t="inlineStr">
        <is>
          <t>View details</t>
        </is>
      </c>
    </row>
    <row r="608">
      <c r="A608" t="inlineStr">
        <is>
          <t>150316825069</t>
        </is>
      </c>
      <c r="B608" t="inlineStr">
        <is>
          <t>Nightjar Clearing Dublin</t>
        </is>
      </c>
      <c r="C608" t="inlineStr">
        <is>
          <t>150316825069</t>
        </is>
      </c>
      <c r="D608" t="inlineStr">
        <is>
          <t>Bramble Commercial Bank Toronto</t>
        </is>
      </c>
      <c r="E608" t="inlineStr">
        <is>
          <t>GBP</t>
        </is>
      </c>
      <c r="F608" t="inlineStr">
        <is>
          <t>NT26081900602</t>
        </is>
      </c>
      <c r="G608" s="6" t="n">
        <v>46253</v>
      </c>
      <c r="H608" s="7" t="n">
        <v>5.049</v>
      </c>
      <c r="I608" t="inlineStr">
        <is>
          <t>GBP</t>
        </is>
      </c>
      <c r="J608" s="7" t="n">
        <v>5.049</v>
      </c>
      <c r="K608" t="inlineStr">
        <is>
          <t>INTERNAL</t>
        </is>
      </c>
      <c r="L608" t="inlineStr"/>
      <c r="M608" s="8" t="n">
        <v>46253.46141203704</v>
      </c>
      <c r="N608" t="inlineStr">
        <is>
          <t>Wren Fairweather</t>
        </is>
      </c>
      <c r="O608" s="8" t="n">
        <v>46253.47391203704</v>
      </c>
      <c r="P608" t="inlineStr">
        <is>
          <t>Wren Fairweather</t>
        </is>
      </c>
      <c r="Q608" t="inlineStr">
        <is>
          <t>LEDGER_OR_CASHFLOW_RECEIVED</t>
        </is>
      </c>
      <c r="R608" t="inlineStr">
        <is>
          <t>SYRM_ACKNOWLEDGED</t>
        </is>
      </c>
      <c r="S608" t="inlineStr">
        <is>
          <t>View details</t>
        </is>
      </c>
    </row>
    <row r="609">
      <c r="A609" t="inlineStr">
        <is>
          <t>499062838623</t>
        </is>
      </c>
      <c r="B609" t="inlineStr">
        <is>
          <t>Wrenfield Clearing Frankfurt</t>
        </is>
      </c>
      <c r="C609" t="inlineStr">
        <is>
          <t>794226063698</t>
        </is>
      </c>
      <c r="D609" t="inlineStr">
        <is>
          <t>Kestrel Clearing Oslo</t>
        </is>
      </c>
      <c r="E609" t="inlineStr">
        <is>
          <t>USD</t>
        </is>
      </c>
      <c r="F609" t="inlineStr">
        <is>
          <t>NT26081900603</t>
        </is>
      </c>
      <c r="G609" s="6" t="n">
        <v>46253</v>
      </c>
      <c r="H609" s="7" t="n">
        <v>50432794.4286</v>
      </c>
      <c r="I609" t="inlineStr">
        <is>
          <t>GBP</t>
        </is>
      </c>
      <c r="J609" s="7" t="n">
        <v>39539310.832</v>
      </c>
      <c r="K609" t="inlineStr">
        <is>
          <t>INTERNAL</t>
        </is>
      </c>
      <c r="L609" t="inlineStr">
        <is>
          <t>Balance alignment</t>
        </is>
      </c>
      <c r="M609" s="8" t="n">
        <v>46253.63439814815</v>
      </c>
      <c r="N609" t="inlineStr">
        <is>
          <t>Noor Sinclair</t>
        </is>
      </c>
      <c r="O609" s="8" t="n">
        <v>46253.64689814814</v>
      </c>
      <c r="P609" t="inlineStr">
        <is>
          <t>Greer Prentice</t>
        </is>
      </c>
      <c r="Q609" t="inlineStr">
        <is>
          <t>LEDGER_OR_CASHFLOW_RECEIVED</t>
        </is>
      </c>
      <c r="R609" t="inlineStr">
        <is>
          <t>SYRM_ACKNOWLEDGED</t>
        </is>
      </c>
      <c r="S609" t="inlineStr">
        <is>
          <t>View details</t>
        </is>
      </c>
    </row>
    <row r="610">
      <c r="A610" t="inlineStr">
        <is>
          <t>700726936098</t>
        </is>
      </c>
      <c r="B610" t="inlineStr">
        <is>
          <t>Pinehurst Commercial Bank Stockholm</t>
        </is>
      </c>
      <c r="C610" t="inlineStr">
        <is>
          <t>150316825069</t>
        </is>
      </c>
      <c r="D610" t="inlineStr">
        <is>
          <t>Larkspur Clearing New York</t>
        </is>
      </c>
      <c r="E610" t="inlineStr">
        <is>
          <t>SAR</t>
        </is>
      </c>
      <c r="F610" t="inlineStr">
        <is>
          <t>NT26081900604</t>
        </is>
      </c>
      <c r="G610" s="6" t="n">
        <v>46253</v>
      </c>
      <c r="H610" s="7" t="n">
        <v>108580614.4476</v>
      </c>
      <c r="I610" t="inlineStr">
        <is>
          <t>GBP</t>
        </is>
      </c>
      <c r="J610" s="7" t="n">
        <v>22693348.42</v>
      </c>
      <c r="K610" t="inlineStr">
        <is>
          <t>SYRM</t>
        </is>
      </c>
      <c r="L610" t="inlineStr">
        <is>
          <t>Funding move</t>
        </is>
      </c>
      <c r="M610" s="8" t="n">
        <v>46253.551875</v>
      </c>
      <c r="N610" t="inlineStr">
        <is>
          <t>Harper Calloway</t>
        </is>
      </c>
      <c r="O610" s="8" t="n">
        <v>46253.57895833333</v>
      </c>
      <c r="P610" t="inlineStr">
        <is>
          <t>Avery Sinclair</t>
        </is>
      </c>
      <c r="Q610" t="inlineStr">
        <is>
          <t>LEDGER_OR_CASHFLOW_RECEIVED</t>
        </is>
      </c>
      <c r="R610" t="inlineStr">
        <is>
          <t>SYRM_ACKNOWLEDGED</t>
        </is>
      </c>
      <c r="S610" t="inlineStr">
        <is>
          <t>View details</t>
        </is>
      </c>
    </row>
    <row r="611">
      <c r="A611" t="inlineStr">
        <is>
          <t>468341071172</t>
        </is>
      </c>
      <c r="B611" t="inlineStr">
        <is>
          <t>Redstart Commercial Bank Dublin</t>
        </is>
      </c>
      <c r="C611" t="inlineStr">
        <is>
          <t>794226063698</t>
        </is>
      </c>
      <c r="D611" t="inlineStr">
        <is>
          <t>Nightjar Bank Stockholm</t>
        </is>
      </c>
      <c r="E611" t="inlineStr">
        <is>
          <t>EUR</t>
        </is>
      </c>
      <c r="F611" t="inlineStr">
        <is>
          <t>NT26081900605</t>
        </is>
      </c>
      <c r="G611" s="6" t="n">
        <v>46253</v>
      </c>
      <c r="H611" s="7" t="n">
        <v>16831562.436</v>
      </c>
      <c r="I611" t="inlineStr">
        <is>
          <t>GBP</t>
        </is>
      </c>
      <c r="J611" s="7" t="n">
        <v>14441480.57</v>
      </c>
      <c r="K611" t="inlineStr">
        <is>
          <t>SYRM</t>
        </is>
      </c>
      <c r="L611" t="inlineStr">
        <is>
          <t>Balance alignment</t>
        </is>
      </c>
      <c r="M611" s="8" t="n">
        <v>46253.524375</v>
      </c>
      <c r="N611" t="inlineStr">
        <is>
          <t>Devon Calloway</t>
        </is>
      </c>
      <c r="O611" s="8" t="n">
        <v>46253.54451388889</v>
      </c>
      <c r="P611" t="inlineStr">
        <is>
          <t>Harper Hollis</t>
        </is>
      </c>
      <c r="Q611" t="inlineStr">
        <is>
          <t>LEDGER_OR_CASHFLOW_RECEIVED</t>
        </is>
      </c>
      <c r="R611" t="inlineStr">
        <is>
          <t>SYRM_ACKNOWLEDGED</t>
        </is>
      </c>
      <c r="S611" t="inlineStr">
        <is>
          <t>View details</t>
        </is>
      </c>
    </row>
    <row r="612">
      <c r="A612" t="inlineStr">
        <is>
          <t>898317028833</t>
        </is>
      </c>
      <c r="B612" t="inlineStr">
        <is>
          <t>Zephyr Settlement Bank Sydney</t>
        </is>
      </c>
      <c r="C612" t="inlineStr">
        <is>
          <t>150316825069</t>
        </is>
      </c>
      <c r="D612" t="inlineStr">
        <is>
          <t>Dunlin Commercial Bank Warsaw</t>
        </is>
      </c>
      <c r="E612" t="inlineStr">
        <is>
          <t>GBP</t>
        </is>
      </c>
      <c r="F612" t="inlineStr">
        <is>
          <t>NT26081900606</t>
        </is>
      </c>
      <c r="G612" s="6" t="n">
        <v>46253</v>
      </c>
      <c r="H612" s="7" t="n">
        <v>465608.6514</v>
      </c>
      <c r="I612" t="inlineStr">
        <is>
          <t>GBP</t>
        </is>
      </c>
      <c r="J612" s="7" t="n">
        <v>465608.651</v>
      </c>
      <c r="K612" t="inlineStr">
        <is>
          <t>SWIFT</t>
        </is>
      </c>
      <c r="L612" t="inlineStr">
        <is>
          <t>Balance alignment</t>
        </is>
      </c>
      <c r="M612" s="8" t="n">
        <v>46253.41792824074</v>
      </c>
      <c r="N612" t="inlineStr">
        <is>
          <t>Wren Delaney</t>
        </is>
      </c>
      <c r="O612" s="8" t="n">
        <v>46253.48181712963</v>
      </c>
      <c r="P612" t="inlineStr">
        <is>
          <t>Kai Novak</t>
        </is>
      </c>
      <c r="Q612" t="inlineStr">
        <is>
          <t>LEDGER_OR_CASHFLOW_RECEIVED</t>
        </is>
      </c>
      <c r="R612" t="inlineStr">
        <is>
          <t>SYRM_ACKNOWLEDGED</t>
        </is>
      </c>
      <c r="S612" t="inlineStr">
        <is>
          <t>View details</t>
        </is>
      </c>
    </row>
    <row r="613">
      <c r="A613" t="inlineStr">
        <is>
          <t>265771593142</t>
        </is>
      </c>
      <c r="B613" t="inlineStr">
        <is>
          <t>Cedar Settlement Bank Hong Kong</t>
        </is>
      </c>
      <c r="C613" t="inlineStr">
        <is>
          <t>132544340094</t>
        </is>
      </c>
      <c r="D613" t="inlineStr">
        <is>
          <t>Dunlin Commercial Bank Paris</t>
        </is>
      </c>
      <c r="E613" t="inlineStr">
        <is>
          <t>EUR</t>
        </is>
      </c>
      <c r="F613" t="inlineStr">
        <is>
          <t>NT26081900607</t>
        </is>
      </c>
      <c r="G613" s="6" t="n">
        <v>46253</v>
      </c>
      <c r="H613" s="7" t="n">
        <v>444348497.0628</v>
      </c>
      <c r="I613" t="inlineStr">
        <is>
          <t>GBP</t>
        </is>
      </c>
      <c r="J613" s="7" t="n">
        <v>381251010.48</v>
      </c>
      <c r="K613" t="inlineStr">
        <is>
          <t>SYRM</t>
        </is>
      </c>
      <c r="L613" t="inlineStr"/>
      <c r="M613" s="8" t="n">
        <v>46253.33966435185</v>
      </c>
      <c r="N613" t="inlineStr">
        <is>
          <t>Oakley Delaney</t>
        </is>
      </c>
      <c r="O613" s="8" t="n">
        <v>46253.35980324074</v>
      </c>
      <c r="P613" t="inlineStr">
        <is>
          <t>Blake Fairweather</t>
        </is>
      </c>
      <c r="Q613" t="inlineStr">
        <is>
          <t>LEDGER_OR_CASHFLOW_RECEIVED</t>
        </is>
      </c>
      <c r="R613" t="inlineStr">
        <is>
          <t>SYRM_ACKNOWLEDGED</t>
        </is>
      </c>
      <c r="S613" t="inlineStr">
        <is>
          <t>View details</t>
        </is>
      </c>
    </row>
    <row r="614">
      <c r="A614" t="inlineStr">
        <is>
          <t>468341071172</t>
        </is>
      </c>
      <c r="B614" t="inlineStr">
        <is>
          <t>Zephyr Commercial Bank Oslo</t>
        </is>
      </c>
      <c r="C614" t="inlineStr">
        <is>
          <t>468341071172</t>
        </is>
      </c>
      <c r="D614" t="inlineStr">
        <is>
          <t>Umberton Trust Tokyo</t>
        </is>
      </c>
      <c r="E614" t="inlineStr">
        <is>
          <t>EUR</t>
        </is>
      </c>
      <c r="F614" t="inlineStr">
        <is>
          <t>NT26081900608</t>
        </is>
      </c>
      <c r="G614" s="6" t="n">
        <v>46253</v>
      </c>
      <c r="H614" s="7" t="n">
        <v>14991224.1678</v>
      </c>
      <c r="I614" t="inlineStr">
        <is>
          <t>GBP</t>
        </is>
      </c>
      <c r="J614" s="7" t="n">
        <v>12862470.336</v>
      </c>
      <c r="K614" t="inlineStr">
        <is>
          <t>SYRM</t>
        </is>
      </c>
      <c r="L614" t="inlineStr">
        <is>
          <t>Liquidity sweep</t>
        </is>
      </c>
      <c r="M614" s="8" t="n">
        <v>46253.39166666667</v>
      </c>
      <c r="N614" t="inlineStr">
        <is>
          <t>Oakley Rhodes</t>
        </is>
      </c>
      <c r="O614" s="8" t="n">
        <v>46253.42847222222</v>
      </c>
      <c r="P614" t="inlineStr">
        <is>
          <t>Noor Sinclair</t>
        </is>
      </c>
      <c r="Q614" t="inlineStr">
        <is>
          <t>LEDGER_OR_CASHFLOW_RECEIVED</t>
        </is>
      </c>
      <c r="R614" t="inlineStr">
        <is>
          <t>SYRM_ACKNOWLEDGED</t>
        </is>
      </c>
      <c r="S614" t="inlineStr">
        <is>
          <t>View details</t>
        </is>
      </c>
    </row>
    <row r="615">
      <c r="A615" t="inlineStr">
        <is>
          <t>968942362772</t>
        </is>
      </c>
      <c r="B615" t="inlineStr">
        <is>
          <t>Pinehurst Trust Toronto</t>
        </is>
      </c>
      <c r="C615" t="inlineStr">
        <is>
          <t>150316825069</t>
        </is>
      </c>
      <c r="D615" t="inlineStr">
        <is>
          <t>Granite Trust Frankfurt</t>
        </is>
      </c>
      <c r="E615" t="inlineStr">
        <is>
          <t>EUR</t>
        </is>
      </c>
      <c r="F615" t="inlineStr">
        <is>
          <t>NT26081900609</t>
        </is>
      </c>
      <c r="G615" s="6" t="n">
        <v>46253</v>
      </c>
      <c r="H615" s="7" t="n">
        <v>788.5404</v>
      </c>
      <c r="I615" t="inlineStr">
        <is>
          <t>GBP</t>
        </is>
      </c>
      <c r="J615" s="7" t="n">
        <v>676.568</v>
      </c>
      <c r="K615" t="inlineStr">
        <is>
          <t>INTERNAL</t>
        </is>
      </c>
      <c r="L615" t="inlineStr">
        <is>
          <t>Funding move</t>
        </is>
      </c>
      <c r="M615" s="8" t="n">
        <v>46253.38292824074</v>
      </c>
      <c r="N615" t="inlineStr">
        <is>
          <t>Oakley Novak</t>
        </is>
      </c>
      <c r="O615" s="8" t="n">
        <v>46253.43501157407</v>
      </c>
      <c r="P615" t="inlineStr">
        <is>
          <t>Kai Calloway</t>
        </is>
      </c>
      <c r="Q615" t="inlineStr">
        <is>
          <t>LEDGER_OR_CASHFLOW_RECEIVED</t>
        </is>
      </c>
      <c r="R615" t="inlineStr">
        <is>
          <t>SYRM_ACKNOWLEDGED</t>
        </is>
      </c>
      <c r="S615" t="inlineStr">
        <is>
          <t>View details</t>
        </is>
      </c>
    </row>
    <row r="616">
      <c r="A616" t="inlineStr">
        <is>
          <t>953625291146</t>
        </is>
      </c>
      <c r="B616" t="inlineStr">
        <is>
          <t>Juniper Clearing New York</t>
        </is>
      </c>
      <c r="C616" t="inlineStr">
        <is>
          <t>359365220160</t>
        </is>
      </c>
      <c r="D616" t="inlineStr">
        <is>
          <t>Yarrow Bank Stockholm</t>
        </is>
      </c>
      <c r="E616" t="inlineStr">
        <is>
          <t>USD</t>
        </is>
      </c>
      <c r="F616" t="inlineStr">
        <is>
          <t>NT26081900610</t>
        </is>
      </c>
      <c r="G616" s="6" t="n">
        <v>46253</v>
      </c>
      <c r="H616" s="7" t="n">
        <v>195237890.9118</v>
      </c>
      <c r="I616" t="inlineStr">
        <is>
          <t>GBP</t>
        </is>
      </c>
      <c r="J616" s="7" t="n">
        <v>153066506.475</v>
      </c>
      <c r="K616" t="inlineStr">
        <is>
          <t>SWIFT</t>
        </is>
      </c>
      <c r="L616" t="inlineStr">
        <is>
          <t>Balance alignment</t>
        </is>
      </c>
      <c r="M616" s="8" t="n">
        <v>46253.52479166666</v>
      </c>
      <c r="N616" t="inlineStr">
        <is>
          <t>Marlow Sinclair</t>
        </is>
      </c>
      <c r="O616" s="8" t="n">
        <v>46253.53520833333</v>
      </c>
      <c r="P616" t="inlineStr">
        <is>
          <t>Tatum Ashford</t>
        </is>
      </c>
      <c r="Q616" t="inlineStr">
        <is>
          <t>LEDGER_OR_CASHFLOW_RECEIVED</t>
        </is>
      </c>
      <c r="R616" t="inlineStr">
        <is>
          <t>SYRM_ACKNOWLEDGED</t>
        </is>
      </c>
      <c r="S616" t="inlineStr">
        <is>
          <t>View details</t>
        </is>
      </c>
    </row>
    <row r="617">
      <c r="A617" t="inlineStr">
        <is>
          <t>132544340094</t>
        </is>
      </c>
      <c r="B617" t="inlineStr">
        <is>
          <t>Zephyr Settlement Bank New York</t>
        </is>
      </c>
      <c r="C617" t="inlineStr">
        <is>
          <t>824840705580</t>
        </is>
      </c>
      <c r="D617" t="inlineStr">
        <is>
          <t>Cedar Settlement Bank Hong Kong</t>
        </is>
      </c>
      <c r="E617" t="inlineStr">
        <is>
          <t>CZK</t>
        </is>
      </c>
      <c r="F617" t="inlineStr">
        <is>
          <t>NT26081900611</t>
        </is>
      </c>
      <c r="G617" s="6" t="n">
        <v>46253</v>
      </c>
      <c r="H617" s="7" t="n">
        <v>57668163.7464</v>
      </c>
      <c r="I617" t="inlineStr">
        <is>
          <t>GBP</t>
        </is>
      </c>
      <c r="J617" s="7" t="n">
        <v>1954950.751</v>
      </c>
      <c r="K617" t="inlineStr">
        <is>
          <t>SYRM</t>
        </is>
      </c>
      <c r="L617" t="inlineStr">
        <is>
          <t>Intraday top-up</t>
        </is>
      </c>
      <c r="M617" s="8" t="n">
        <v>46253.45425925926</v>
      </c>
      <c r="N617" t="inlineStr">
        <is>
          <t>Devon Calloway</t>
        </is>
      </c>
      <c r="O617" s="8" t="n"/>
      <c r="Q617" t="inlineStr">
        <is>
          <t>PENDING_APPROVAL</t>
        </is>
      </c>
      <c r="R617" t="inlineStr">
        <is>
          <t>SYRM_ACKNOWLEDGED</t>
        </is>
      </c>
      <c r="S617" t="inlineStr">
        <is>
          <t>View details</t>
        </is>
      </c>
    </row>
    <row r="618">
      <c r="A618" t="inlineStr">
        <is>
          <t>499062838623</t>
        </is>
      </c>
      <c r="B618" t="inlineStr">
        <is>
          <t>Ironbark Trust Dublin</t>
        </is>
      </c>
      <c r="C618" t="inlineStr">
        <is>
          <t>284925023085</t>
        </is>
      </c>
      <c r="D618" t="inlineStr">
        <is>
          <t>Bramble Bank Milan</t>
        </is>
      </c>
      <c r="E618" t="inlineStr">
        <is>
          <t>USD</t>
        </is>
      </c>
      <c r="F618" t="inlineStr">
        <is>
          <t>NT26081900612</t>
        </is>
      </c>
      <c r="G618" s="6" t="n">
        <v>46253</v>
      </c>
      <c r="H618" s="7" t="n">
        <v>1073644886.4102</v>
      </c>
      <c r="I618" t="inlineStr">
        <is>
          <t>GBP</t>
        </is>
      </c>
      <c r="J618" s="7" t="n">
        <v>841737590.946</v>
      </c>
      <c r="K618" t="inlineStr">
        <is>
          <t>SYRM</t>
        </is>
      </c>
      <c r="L618" t="inlineStr">
        <is>
          <t>Funding move</t>
        </is>
      </c>
      <c r="M618" s="8" t="n">
        <v>46253.34299768518</v>
      </c>
      <c r="N618" t="inlineStr">
        <is>
          <t>Quinn Brookes</t>
        </is>
      </c>
      <c r="O618" s="8" t="n">
        <v>46253.34508101852</v>
      </c>
      <c r="P618" t="inlineStr">
        <is>
          <t>Tatum Ashford</t>
        </is>
      </c>
      <c r="Q618" t="inlineStr">
        <is>
          <t>LEDGER_OR_CASHFLOW_RECEIVED</t>
        </is>
      </c>
      <c r="R618" t="inlineStr">
        <is>
          <t>SYRM_ACKNOWLEDGED</t>
        </is>
      </c>
      <c r="S618" t="inlineStr">
        <is>
          <t>View details</t>
        </is>
      </c>
    </row>
    <row r="619">
      <c r="A619" t="inlineStr">
        <is>
          <t>968942362772</t>
        </is>
      </c>
      <c r="B619" t="inlineStr">
        <is>
          <t>Yarrow Settlement Bank Oslo</t>
        </is>
      </c>
      <c r="C619" t="inlineStr">
        <is>
          <t>794226063698</t>
        </is>
      </c>
      <c r="D619" t="inlineStr">
        <is>
          <t>Oriel Commercial Bank Toronto</t>
        </is>
      </c>
      <c r="E619" t="inlineStr">
        <is>
          <t>EUR</t>
        </is>
      </c>
      <c r="F619" t="inlineStr">
        <is>
          <t>NT26081900613</t>
        </is>
      </c>
      <c r="G619" s="6" t="n">
        <v>46253</v>
      </c>
      <c r="H619" s="7" t="n">
        <v>11261212.011</v>
      </c>
      <c r="I619" t="inlineStr">
        <is>
          <t>GBP</t>
        </is>
      </c>
      <c r="J619" s="7" t="n">
        <v>9662119.904999999</v>
      </c>
      <c r="K619" t="inlineStr">
        <is>
          <t>SYRM</t>
        </is>
      </c>
      <c r="L619" t="inlineStr">
        <is>
          <t>Funding move</t>
        </is>
      </c>
      <c r="M619" s="8" t="n">
        <v>46253.45710648148</v>
      </c>
      <c r="N619" t="inlineStr">
        <is>
          <t>Ellis Gallagher</t>
        </is>
      </c>
      <c r="O619" s="8" t="n">
        <v>46253.50849537037</v>
      </c>
      <c r="P619" t="inlineStr">
        <is>
          <t>Quinn Brookes</t>
        </is>
      </c>
      <c r="Q619" t="inlineStr">
        <is>
          <t>LEDGER_RECEIVED</t>
        </is>
      </c>
      <c r="R619" t="inlineStr">
        <is>
          <t>SYRM_ACKNOWLEDGED</t>
        </is>
      </c>
      <c r="S619" t="inlineStr">
        <is>
          <t>View details</t>
        </is>
      </c>
    </row>
    <row r="620">
      <c r="A620" t="inlineStr">
        <is>
          <t>499062838623</t>
        </is>
      </c>
      <c r="B620" t="inlineStr">
        <is>
          <t>Oriel Commercial Bank Toronto</t>
        </is>
      </c>
      <c r="C620" t="inlineStr">
        <is>
          <t>120047354818</t>
        </is>
      </c>
      <c r="D620" t="inlineStr">
        <is>
          <t>Ironbark Clearing Frankfurt</t>
        </is>
      </c>
      <c r="E620" t="inlineStr">
        <is>
          <t>USD</t>
        </is>
      </c>
      <c r="F620" t="inlineStr">
        <is>
          <t>NT26081900614</t>
        </is>
      </c>
      <c r="G620" s="6" t="n">
        <v>46253</v>
      </c>
      <c r="H620" s="7" t="n">
        <v>8297021.334600001</v>
      </c>
      <c r="I620" t="inlineStr">
        <is>
          <t>GBP</t>
        </is>
      </c>
      <c r="J620" s="7" t="n">
        <v>6504864.726</v>
      </c>
      <c r="K620" t="inlineStr">
        <is>
          <t>SYRM</t>
        </is>
      </c>
      <c r="L620" t="inlineStr"/>
      <c r="M620" s="8" t="n">
        <v>46253.73671296296</v>
      </c>
      <c r="N620" t="inlineStr">
        <is>
          <t>Kai Calloway</t>
        </is>
      </c>
      <c r="O620" s="8" t="n">
        <v>46253.75685185185</v>
      </c>
      <c r="P620" t="inlineStr">
        <is>
          <t>Ellis Delaney</t>
        </is>
      </c>
      <c r="Q620" t="inlineStr">
        <is>
          <t>LEDGER_OR_CASHFLOW_RECEIVED</t>
        </is>
      </c>
      <c r="R620" t="inlineStr">
        <is>
          <t>SYRM_ACKNOWLEDGED</t>
        </is>
      </c>
      <c r="S620" t="inlineStr">
        <is>
          <t>View details</t>
        </is>
      </c>
    </row>
    <row r="621">
      <c r="A621" t="inlineStr">
        <is>
          <t>968942362772</t>
        </is>
      </c>
      <c r="B621" t="inlineStr">
        <is>
          <t>Larkspur Clearing New York</t>
        </is>
      </c>
      <c r="C621" t="inlineStr">
        <is>
          <t>621381112674</t>
        </is>
      </c>
      <c r="D621" t="inlineStr">
        <is>
          <t>Zephyr Bank Singapore</t>
        </is>
      </c>
      <c r="E621" t="inlineStr">
        <is>
          <t>EUR</t>
        </is>
      </c>
      <c r="F621" t="inlineStr">
        <is>
          <t>NT26081900615</t>
        </is>
      </c>
      <c r="G621" s="6" t="n">
        <v>46253</v>
      </c>
      <c r="H621" s="7" t="n">
        <v>135436710.0348</v>
      </c>
      <c r="I621" t="inlineStr">
        <is>
          <t>GBP</t>
        </is>
      </c>
      <c r="J621" s="7" t="n">
        <v>116204697.21</v>
      </c>
      <c r="K621" t="inlineStr">
        <is>
          <t>SYRM</t>
        </is>
      </c>
      <c r="L621" t="inlineStr">
        <is>
          <t>Intraday top-up</t>
        </is>
      </c>
      <c r="M621" s="8" t="n">
        <v>46253.39444444444</v>
      </c>
      <c r="N621" t="inlineStr">
        <is>
          <t>Devon Jennings</t>
        </is>
      </c>
      <c r="O621" s="8" t="n">
        <v>46253.44236111111</v>
      </c>
      <c r="P621" t="inlineStr">
        <is>
          <t>Harper Hollis</t>
        </is>
      </c>
      <c r="Q621" t="inlineStr">
        <is>
          <t>LEDGER_OR_CASHFLOW_RECEIVED</t>
        </is>
      </c>
      <c r="R621" t="inlineStr">
        <is>
          <t>SYRM_ACKNOWLEDGED</t>
        </is>
      </c>
      <c r="S621" t="inlineStr">
        <is>
          <t>View details</t>
        </is>
      </c>
    </row>
    <row r="622">
      <c r="A622" t="inlineStr">
        <is>
          <t>726928343448</t>
        </is>
      </c>
      <c r="B622" t="inlineStr">
        <is>
          <t>Larkspur Trust Hong Kong</t>
        </is>
      </c>
      <c r="C622" t="inlineStr">
        <is>
          <t>150316825069</t>
        </is>
      </c>
      <c r="D622" t="inlineStr">
        <is>
          <t>Mallow Trust Frankfurt</t>
        </is>
      </c>
      <c r="E622" t="inlineStr">
        <is>
          <t>EUR</t>
        </is>
      </c>
      <c r="F622" t="inlineStr">
        <is>
          <t>NT26081900616</t>
        </is>
      </c>
      <c r="G622" s="6" t="n">
        <v>46253</v>
      </c>
      <c r="H622" s="7" t="n">
        <v>63230013.009</v>
      </c>
      <c r="I622" t="inlineStr">
        <is>
          <t>GBP</t>
        </is>
      </c>
      <c r="J622" s="7" t="n">
        <v>54251351.162</v>
      </c>
      <c r="K622" t="inlineStr">
        <is>
          <t>SWIFT</t>
        </is>
      </c>
      <c r="L622" t="inlineStr"/>
      <c r="M622" s="8" t="n">
        <v>46253.37430555555</v>
      </c>
      <c r="N622" t="inlineStr">
        <is>
          <t>Greer Prentice</t>
        </is>
      </c>
      <c r="O622" s="8" t="n">
        <v>46253.39652777778</v>
      </c>
      <c r="P622" t="inlineStr">
        <is>
          <t>Blake Fairweather</t>
        </is>
      </c>
      <c r="Q622" t="inlineStr">
        <is>
          <t>CASHFLOW_RECEIVED</t>
        </is>
      </c>
      <c r="R622" t="inlineStr">
        <is>
          <t>SYRM_ACKNOWLEDGED</t>
        </is>
      </c>
      <c r="S622" t="inlineStr">
        <is>
          <t>View details</t>
        </is>
      </c>
    </row>
    <row r="623">
      <c r="A623" t="inlineStr">
        <is>
          <t>150316825069</t>
        </is>
      </c>
      <c r="B623" t="inlineStr">
        <is>
          <t>Wrenfield Clearing Frankfurt</t>
        </is>
      </c>
      <c r="C623" t="inlineStr">
        <is>
          <t>468341071172</t>
        </is>
      </c>
      <c r="D623" t="inlineStr">
        <is>
          <t>Juniper Clearing Hong Kong</t>
        </is>
      </c>
      <c r="E623" t="inlineStr">
        <is>
          <t>GBP</t>
        </is>
      </c>
      <c r="F623" t="inlineStr">
        <is>
          <t>NT26081900617</t>
        </is>
      </c>
      <c r="G623" s="6" t="n">
        <v>46253</v>
      </c>
      <c r="H623" s="7" t="n">
        <v>238784992.7274</v>
      </c>
      <c r="I623" t="inlineStr">
        <is>
          <t>GBP</t>
        </is>
      </c>
      <c r="J623" s="7" t="n">
        <v>238784992.727</v>
      </c>
      <c r="K623" t="inlineStr">
        <is>
          <t>SYRM</t>
        </is>
      </c>
      <c r="L623" t="inlineStr">
        <is>
          <t>Liquidity sweep</t>
        </is>
      </c>
      <c r="M623" s="8" t="n">
        <v>46253.59226851852</v>
      </c>
      <c r="N623" t="inlineStr">
        <is>
          <t>Oakley Fairweather</t>
        </is>
      </c>
      <c r="O623" s="8" t="n">
        <v>46253.65685185185</v>
      </c>
      <c r="P623" t="inlineStr">
        <is>
          <t>Ellis Delaney</t>
        </is>
      </c>
      <c r="Q623" t="inlineStr">
        <is>
          <t>LEDGER_OR_CASHFLOW_RECEIVED</t>
        </is>
      </c>
      <c r="R623" t="inlineStr">
        <is>
          <t>SYRM_ACKNOWLEDGED</t>
        </is>
      </c>
      <c r="S623" t="inlineStr">
        <is>
          <t>View details</t>
        </is>
      </c>
    </row>
    <row r="624">
      <c r="A624" t="inlineStr">
        <is>
          <t>120047354818</t>
        </is>
      </c>
      <c r="B624" t="inlineStr">
        <is>
          <t>Yarrow Bank Stockholm</t>
        </is>
      </c>
      <c r="C624" t="inlineStr">
        <is>
          <t>150316825069</t>
        </is>
      </c>
      <c r="D624" t="inlineStr">
        <is>
          <t>Bramble Commercial Bank Toronto</t>
        </is>
      </c>
      <c r="E624" t="inlineStr">
        <is>
          <t>USD</t>
        </is>
      </c>
      <c r="F624" t="inlineStr">
        <is>
          <t>NT26081900618</t>
        </is>
      </c>
      <c r="G624" s="6" t="n">
        <v>46253</v>
      </c>
      <c r="H624" s="7" t="n">
        <v>2538220.2102</v>
      </c>
      <c r="I624" t="inlineStr">
        <is>
          <t>GBP</t>
        </is>
      </c>
      <c r="J624" s="7" t="n">
        <v>1989964.645</v>
      </c>
      <c r="K624" t="inlineStr">
        <is>
          <t>SYRM</t>
        </is>
      </c>
      <c r="L624" t="inlineStr">
        <is>
          <t>Intraday top-up</t>
        </is>
      </c>
      <c r="M624" s="8" t="n">
        <v>46253.37782407407</v>
      </c>
      <c r="N624" t="inlineStr">
        <is>
          <t>Harper Hollis</t>
        </is>
      </c>
      <c r="O624" s="8" t="n">
        <v>46253.4062962963</v>
      </c>
      <c r="P624" t="inlineStr">
        <is>
          <t>Greer Osgood</t>
        </is>
      </c>
      <c r="Q624" t="inlineStr">
        <is>
          <t>LEDGER_OR_CASHFLOW_RECEIVED</t>
        </is>
      </c>
      <c r="R624" t="inlineStr">
        <is>
          <t>SYRM_ACKNOWLEDGED</t>
        </is>
      </c>
      <c r="S624" t="inlineStr">
        <is>
          <t>View details</t>
        </is>
      </c>
    </row>
    <row r="625">
      <c r="A625" t="inlineStr">
        <is>
          <t>898317028833</t>
        </is>
      </c>
      <c r="B625" t="inlineStr">
        <is>
          <t>Mallow Settlement Bank Oslo</t>
        </is>
      </c>
      <c r="C625" t="inlineStr">
        <is>
          <t>910703979141</t>
        </is>
      </c>
      <c r="D625" t="inlineStr">
        <is>
          <t>Fernway Clearing Frankfurt</t>
        </is>
      </c>
      <c r="E625" t="inlineStr">
        <is>
          <t>GBP</t>
        </is>
      </c>
      <c r="F625" t="inlineStr">
        <is>
          <t>NT26081900619</t>
        </is>
      </c>
      <c r="G625" s="6" t="n">
        <v>46253</v>
      </c>
      <c r="H625" s="7" t="n">
        <v>3384381.3372</v>
      </c>
      <c r="I625" t="inlineStr">
        <is>
          <t>GBP</t>
        </is>
      </c>
      <c r="J625" s="7" t="n">
        <v>3384381.337</v>
      </c>
      <c r="K625" t="inlineStr">
        <is>
          <t>SWIFT</t>
        </is>
      </c>
      <c r="L625" t="inlineStr"/>
      <c r="M625" s="8" t="n">
        <v>46253.55193287037</v>
      </c>
      <c r="N625" t="inlineStr">
        <is>
          <t>Kai Calloway</t>
        </is>
      </c>
      <c r="O625" s="8" t="n">
        <v>46253.59151620371</v>
      </c>
      <c r="P625" t="inlineStr">
        <is>
          <t>Avery Prentice</t>
        </is>
      </c>
      <c r="Q625" t="inlineStr">
        <is>
          <t>LEDGER_OR_CASHFLOW_RECEIVED</t>
        </is>
      </c>
      <c r="R625" t="inlineStr">
        <is>
          <t>SYRM_ACKNOWLEDGED</t>
        </is>
      </c>
      <c r="S625" t="inlineStr">
        <is>
          <t>View details</t>
        </is>
      </c>
    </row>
    <row r="626">
      <c r="A626" t="inlineStr">
        <is>
          <t>953625291146</t>
        </is>
      </c>
      <c r="B626" t="inlineStr">
        <is>
          <t>Zephyr Commercial Bank Oslo</t>
        </is>
      </c>
      <c r="C626" t="inlineStr">
        <is>
          <t>898317028833</t>
        </is>
      </c>
      <c r="D626" t="inlineStr">
        <is>
          <t>Granite Commercial Bank Milan</t>
        </is>
      </c>
      <c r="E626" t="inlineStr">
        <is>
          <t>USD</t>
        </is>
      </c>
      <c r="F626" t="inlineStr">
        <is>
          <t>NT26081900620</t>
        </is>
      </c>
      <c r="G626" s="6" t="n">
        <v>46253</v>
      </c>
      <c r="H626" s="7" t="n">
        <v>20100656.6784</v>
      </c>
      <c r="I626" t="inlineStr">
        <is>
          <t>GBP</t>
        </is>
      </c>
      <c r="J626" s="7" t="n">
        <v>15758914.836</v>
      </c>
      <c r="K626" t="inlineStr">
        <is>
          <t>SYRM</t>
        </is>
      </c>
      <c r="L626" t="inlineStr">
        <is>
          <t>Liquidity sweep</t>
        </is>
      </c>
      <c r="M626" s="8" t="n">
        <v>46253.29650462963</v>
      </c>
      <c r="N626" t="inlineStr">
        <is>
          <t>Finley Sinclair</t>
        </is>
      </c>
      <c r="O626" s="8" t="n">
        <v>46253.31247685185</v>
      </c>
      <c r="P626" t="inlineStr">
        <is>
          <t>Harper Hollis</t>
        </is>
      </c>
      <c r="Q626" t="inlineStr">
        <is>
          <t>LEDGER_OR_CASHFLOW_RECEIVED</t>
        </is>
      </c>
      <c r="R626" t="inlineStr">
        <is>
          <t>SYRM_PENDING</t>
        </is>
      </c>
      <c r="S626" t="inlineStr">
        <is>
          <t>View details</t>
        </is>
      </c>
    </row>
    <row r="627">
      <c r="A627" t="inlineStr">
        <is>
          <t>953625291146</t>
        </is>
      </c>
      <c r="B627" t="inlineStr">
        <is>
          <t>Ironbark Clearing Frankfurt</t>
        </is>
      </c>
      <c r="C627" t="inlineStr">
        <is>
          <t>794226063698</t>
        </is>
      </c>
      <c r="D627" t="inlineStr">
        <is>
          <t>Mallow Settlement Bank Oslo</t>
        </is>
      </c>
      <c r="E627" t="inlineStr">
        <is>
          <t>USD</t>
        </is>
      </c>
      <c r="F627" t="inlineStr">
        <is>
          <t>NT26081900621</t>
        </is>
      </c>
      <c r="G627" s="6" t="n">
        <v>46253</v>
      </c>
      <c r="H627" s="7" t="n">
        <v>79070364.6786</v>
      </c>
      <c r="I627" t="inlineStr">
        <is>
          <t>GBP</t>
        </is>
      </c>
      <c r="J627" s="7" t="n">
        <v>61991165.908</v>
      </c>
      <c r="K627" t="inlineStr">
        <is>
          <t>SYRM</t>
        </is>
      </c>
      <c r="L627" t="inlineStr">
        <is>
          <t>Funding move</t>
        </is>
      </c>
      <c r="M627" s="8" t="n">
        <v>46253.49878472222</v>
      </c>
      <c r="N627" t="inlineStr">
        <is>
          <t>Kai Merrick</t>
        </is>
      </c>
      <c r="O627" s="8" t="n">
        <v>46253.5328125</v>
      </c>
      <c r="P627" t="inlineStr">
        <is>
          <t>Wren Fairweather</t>
        </is>
      </c>
      <c r="Q627" t="inlineStr">
        <is>
          <t>CASHFLOW_RECEIVED</t>
        </is>
      </c>
      <c r="R627" t="inlineStr">
        <is>
          <t>SYRM_PENDING</t>
        </is>
      </c>
      <c r="S627" t="inlineStr">
        <is>
          <t>View details</t>
        </is>
      </c>
    </row>
    <row r="628">
      <c r="A628" t="inlineStr">
        <is>
          <t>150316825069</t>
        </is>
      </c>
      <c r="B628" t="inlineStr">
        <is>
          <t>Zephyr Bank Madrid</t>
        </is>
      </c>
      <c r="C628" t="inlineStr">
        <is>
          <t>150316825069</t>
        </is>
      </c>
      <c r="D628" t="inlineStr">
        <is>
          <t>Bramble Clearing Milan</t>
        </is>
      </c>
      <c r="E628" t="inlineStr">
        <is>
          <t>GBP</t>
        </is>
      </c>
      <c r="F628" t="inlineStr">
        <is>
          <t>NT26081900622</t>
        </is>
      </c>
      <c r="G628" s="6" t="n">
        <v>46253</v>
      </c>
      <c r="H628" s="7" t="n">
        <v>5485237.9128</v>
      </c>
      <c r="I628" t="inlineStr">
        <is>
          <t>GBP</t>
        </is>
      </c>
      <c r="J628" s="7" t="n">
        <v>5485237.913</v>
      </c>
      <c r="K628" t="inlineStr">
        <is>
          <t>SWIFT</t>
        </is>
      </c>
      <c r="L628" t="inlineStr"/>
      <c r="M628" s="8" t="n">
        <v>46253.66550925926</v>
      </c>
      <c r="N628" t="inlineStr">
        <is>
          <t>Finley Sinclair</t>
        </is>
      </c>
      <c r="O628" s="8" t="n">
        <v>46253.70092592593</v>
      </c>
      <c r="P628" t="inlineStr">
        <is>
          <t>Noor Thorne</t>
        </is>
      </c>
      <c r="Q628" t="inlineStr">
        <is>
          <t>LEDGER_OR_CASHFLOW_RECEIVED</t>
        </is>
      </c>
      <c r="R628" t="inlineStr">
        <is>
          <t>SYRM_ACKNOWLEDGED</t>
        </is>
      </c>
      <c r="S628" t="inlineStr">
        <is>
          <t>View details</t>
        </is>
      </c>
    </row>
    <row r="629">
      <c r="A629" t="inlineStr">
        <is>
          <t>359365220160</t>
        </is>
      </c>
      <c r="B629" t="inlineStr">
        <is>
          <t>Yarrow Trust Oslo</t>
        </is>
      </c>
      <c r="C629" t="inlineStr">
        <is>
          <t>794226063698</t>
        </is>
      </c>
      <c r="D629" t="inlineStr">
        <is>
          <t>Bramble Bank Milan</t>
        </is>
      </c>
      <c r="E629" t="inlineStr">
        <is>
          <t>EUR</t>
        </is>
      </c>
      <c r="F629" t="inlineStr">
        <is>
          <t>NT26081900623</t>
        </is>
      </c>
      <c r="G629" s="6" t="n">
        <v>46253</v>
      </c>
      <c r="H629" s="7" t="n">
        <v>52768.53</v>
      </c>
      <c r="I629" t="inlineStr">
        <is>
          <t>GBP</t>
        </is>
      </c>
      <c r="J629" s="7" t="n">
        <v>45275.399</v>
      </c>
      <c r="K629" t="inlineStr">
        <is>
          <t>SYRM</t>
        </is>
      </c>
      <c r="L629" t="inlineStr">
        <is>
          <t>Liquidity sweep</t>
        </is>
      </c>
      <c r="M629" s="8" t="n">
        <v>46253.18388888889</v>
      </c>
      <c r="N629" t="inlineStr">
        <is>
          <t>Devon Jennings</t>
        </is>
      </c>
      <c r="O629" s="8" t="n">
        <v>46253.21375</v>
      </c>
      <c r="P629" t="inlineStr">
        <is>
          <t>Quinn Brookes</t>
        </is>
      </c>
      <c r="Q629" t="inlineStr">
        <is>
          <t>LEDGER_OR_CASHFLOW_RECEIVED</t>
        </is>
      </c>
      <c r="R629" t="inlineStr">
        <is>
          <t>SYRM_ACKNOWLEDGED</t>
        </is>
      </c>
      <c r="S629" t="inlineStr">
        <is>
          <t>View details</t>
        </is>
      </c>
    </row>
    <row r="630">
      <c r="A630" t="inlineStr">
        <is>
          <t>150316825069</t>
        </is>
      </c>
      <c r="B630" t="inlineStr">
        <is>
          <t>Juniper Clearing Hong Kong</t>
        </is>
      </c>
      <c r="C630" t="inlineStr">
        <is>
          <t>726928343448</t>
        </is>
      </c>
      <c r="D630" t="inlineStr">
        <is>
          <t>Wrenfield Clearing Mexico City</t>
        </is>
      </c>
      <c r="E630" t="inlineStr">
        <is>
          <t>GBP</t>
        </is>
      </c>
      <c r="F630" t="inlineStr">
        <is>
          <t>NT26081900624</t>
        </is>
      </c>
      <c r="G630" s="6" t="n">
        <v>46253</v>
      </c>
      <c r="H630" s="7" t="n">
        <v>34098542.7876</v>
      </c>
      <c r="I630" t="inlineStr">
        <is>
          <t>GBP</t>
        </is>
      </c>
      <c r="J630" s="7" t="n">
        <v>34098542.788</v>
      </c>
      <c r="K630" t="inlineStr">
        <is>
          <t>SYRM</t>
        </is>
      </c>
      <c r="L630" t="inlineStr">
        <is>
          <t>Liquidity sweep</t>
        </is>
      </c>
      <c r="M630" s="8" t="n">
        <v>46253.69766203704</v>
      </c>
      <c r="N630" t="inlineStr">
        <is>
          <t>Oakley Rhodes</t>
        </is>
      </c>
      <c r="O630" s="8" t="n">
        <v>46253.73099537037</v>
      </c>
      <c r="P630" t="inlineStr">
        <is>
          <t>Quinn Brookes</t>
        </is>
      </c>
      <c r="Q630" t="inlineStr">
        <is>
          <t>LEDGER_OR_CASHFLOW_RECEIVED</t>
        </is>
      </c>
      <c r="R630" t="inlineStr">
        <is>
          <t>SYRM_ACKNOWLEDGED</t>
        </is>
      </c>
      <c r="S630" t="inlineStr">
        <is>
          <t>View details</t>
        </is>
      </c>
    </row>
    <row r="631">
      <c r="A631" t="inlineStr">
        <is>
          <t>968942362772</t>
        </is>
      </c>
      <c r="B631" t="inlineStr">
        <is>
          <t>Redstart Commercial Bank Stockholm</t>
        </is>
      </c>
      <c r="C631" t="inlineStr">
        <is>
          <t>794226063698</t>
        </is>
      </c>
      <c r="D631" t="inlineStr">
        <is>
          <t>Nightjar Clearing Dublin</t>
        </is>
      </c>
      <c r="E631" t="inlineStr">
        <is>
          <t>EUR</t>
        </is>
      </c>
      <c r="F631" t="inlineStr">
        <is>
          <t>NT26081900625</t>
        </is>
      </c>
      <c r="G631" s="6" t="n">
        <v>46253</v>
      </c>
      <c r="H631" s="7" t="n">
        <v>538921751.7132001</v>
      </c>
      <c r="I631" t="inlineStr">
        <is>
          <t>GBP</t>
        </is>
      </c>
      <c r="J631" s="7" t="n">
        <v>462394862.97</v>
      </c>
      <c r="K631" t="inlineStr">
        <is>
          <t>SYRM</t>
        </is>
      </c>
      <c r="L631" t="inlineStr">
        <is>
          <t>Funding move</t>
        </is>
      </c>
      <c r="M631" s="8" t="n">
        <v>46253.74013888889</v>
      </c>
      <c r="N631" t="inlineStr">
        <is>
          <t>Kai Merrick</t>
        </is>
      </c>
      <c r="O631" s="8" t="n">
        <v>46253.76444444444</v>
      </c>
      <c r="P631" t="inlineStr">
        <is>
          <t>Finley Sinclair</t>
        </is>
      </c>
      <c r="Q631" t="inlineStr">
        <is>
          <t>LEDGER_OR_CASHFLOW_RECEIVED</t>
        </is>
      </c>
      <c r="R631" t="inlineStr">
        <is>
          <t>SYRM_PENDING</t>
        </is>
      </c>
      <c r="S631" t="inlineStr">
        <is>
          <t>View details</t>
        </is>
      </c>
    </row>
    <row r="632">
      <c r="A632" t="inlineStr">
        <is>
          <t>468341071172</t>
        </is>
      </c>
      <c r="B632" t="inlineStr">
        <is>
          <t>Wrenfield Trust Tokyo</t>
        </is>
      </c>
      <c r="C632" t="inlineStr">
        <is>
          <t>468341071172</t>
        </is>
      </c>
      <c r="D632" t="inlineStr">
        <is>
          <t>Zephyr Bank Madrid</t>
        </is>
      </c>
      <c r="E632" t="inlineStr">
        <is>
          <t>EUR</t>
        </is>
      </c>
      <c r="F632" t="inlineStr">
        <is>
          <t>NT26081900626</t>
        </is>
      </c>
      <c r="G632" s="6" t="n">
        <v>46253</v>
      </c>
      <c r="H632" s="7" t="n">
        <v>675274.8402000001</v>
      </c>
      <c r="I632" t="inlineStr">
        <is>
          <t>GBP</t>
        </is>
      </c>
      <c r="J632" s="7" t="n">
        <v>579385.813</v>
      </c>
      <c r="K632" t="inlineStr">
        <is>
          <t>INTERNAL</t>
        </is>
      </c>
      <c r="L632" t="inlineStr">
        <is>
          <t>Balance alignment</t>
        </is>
      </c>
      <c r="M632" s="8" t="n">
        <v>46253.39248842592</v>
      </c>
      <c r="N632" t="inlineStr">
        <is>
          <t>Oakley Delaney</t>
        </is>
      </c>
      <c r="O632" s="8" t="n">
        <v>46253.41193287037</v>
      </c>
      <c r="P632" t="inlineStr">
        <is>
          <t>Oakley Delaney</t>
        </is>
      </c>
      <c r="Q632" t="inlineStr">
        <is>
          <t>LEDGER_OR_CASHFLOW_RECEIVED</t>
        </is>
      </c>
      <c r="R632" t="inlineStr">
        <is>
          <t>SYRM_ACKNOWLEDGED</t>
        </is>
      </c>
      <c r="S632" t="inlineStr">
        <is>
          <t>View details</t>
        </is>
      </c>
    </row>
    <row r="633">
      <c r="A633" t="inlineStr">
        <is>
          <t>265771593142</t>
        </is>
      </c>
      <c r="B633" t="inlineStr">
        <is>
          <t>Cedar Clearing New York</t>
        </is>
      </c>
      <c r="C633" t="inlineStr">
        <is>
          <t>150316825069</t>
        </is>
      </c>
      <c r="D633" t="inlineStr">
        <is>
          <t>Larkspur Clearing New York</t>
        </is>
      </c>
      <c r="E633" t="inlineStr">
        <is>
          <t>EUR</t>
        </is>
      </c>
      <c r="F633" t="inlineStr">
        <is>
          <t>NT26081900627</t>
        </is>
      </c>
      <c r="G633" s="6" t="n">
        <v>46253</v>
      </c>
      <c r="H633" s="7" t="n">
        <v>2511767.7252</v>
      </c>
      <c r="I633" t="inlineStr">
        <is>
          <t>GBP</t>
        </is>
      </c>
      <c r="J633" s="7" t="n">
        <v>2155096.708</v>
      </c>
      <c r="K633" t="inlineStr">
        <is>
          <t>SWIFT</t>
        </is>
      </c>
      <c r="L633" t="inlineStr">
        <is>
          <t>Liquidity sweep</t>
        </is>
      </c>
      <c r="M633" s="8" t="n">
        <v>46253.57444444444</v>
      </c>
      <c r="N633" t="inlineStr">
        <is>
          <t>Devon Delaney</t>
        </is>
      </c>
      <c r="O633" s="8" t="n">
        <v>46253.59666666666</v>
      </c>
      <c r="P633" t="inlineStr">
        <is>
          <t>Devon Jennings</t>
        </is>
      </c>
      <c r="Q633" t="inlineStr">
        <is>
          <t>LEDGER_OR_CASHFLOW_RECEIVED</t>
        </is>
      </c>
      <c r="R633" t="inlineStr">
        <is>
          <t>SYRM_ACKNOWLEDGED</t>
        </is>
      </c>
      <c r="S633" t="inlineStr">
        <is>
          <t>View details</t>
        </is>
      </c>
    </row>
    <row r="634">
      <c r="A634" t="inlineStr">
        <is>
          <t>171857983160</t>
        </is>
      </c>
      <c r="B634" t="inlineStr">
        <is>
          <t>Nightjar Clearing Dublin</t>
        </is>
      </c>
      <c r="C634" t="inlineStr">
        <is>
          <t>120047354818</t>
        </is>
      </c>
      <c r="D634" t="inlineStr">
        <is>
          <t>Pinehurst Trust Toronto</t>
        </is>
      </c>
      <c r="E634" t="inlineStr">
        <is>
          <t>AUD</t>
        </is>
      </c>
      <c r="F634" t="inlineStr">
        <is>
          <t>NT26081900628</t>
        </is>
      </c>
      <c r="G634" s="6" t="n">
        <v>46253</v>
      </c>
      <c r="H634" s="7" t="n">
        <v>10839700.278</v>
      </c>
      <c r="I634" t="inlineStr">
        <is>
          <t>GBP</t>
        </is>
      </c>
      <c r="J634" s="7" t="n">
        <v>5560766.243</v>
      </c>
      <c r="K634" t="inlineStr">
        <is>
          <t>SYRM</t>
        </is>
      </c>
      <c r="L634" t="inlineStr">
        <is>
          <t>Intraday top-up</t>
        </is>
      </c>
      <c r="M634" s="8" t="n">
        <v>46253.46545138889</v>
      </c>
      <c r="N634" t="inlineStr">
        <is>
          <t>Finley Hollis</t>
        </is>
      </c>
      <c r="O634" s="8" t="n">
        <v>46253.48767361111</v>
      </c>
      <c r="P634" t="inlineStr">
        <is>
          <t>Kai Calloway</t>
        </is>
      </c>
      <c r="Q634" t="inlineStr">
        <is>
          <t>LEDGER_OR_CASHFLOW_RECEIVED</t>
        </is>
      </c>
      <c r="R634" t="inlineStr">
        <is>
          <t>SYRM_ACKNOWLEDGED</t>
        </is>
      </c>
      <c r="S634" t="inlineStr">
        <is>
          <t>View details</t>
        </is>
      </c>
    </row>
    <row r="635">
      <c r="A635" t="inlineStr">
        <is>
          <t>120047354818</t>
        </is>
      </c>
      <c r="B635" t="inlineStr">
        <is>
          <t>Alder Settlement Bank Paris</t>
        </is>
      </c>
      <c r="C635" t="inlineStr">
        <is>
          <t>132544340094</t>
        </is>
      </c>
      <c r="D635" t="inlineStr">
        <is>
          <t>Sablewood Settlement Bank Oslo</t>
        </is>
      </c>
      <c r="E635" t="inlineStr">
        <is>
          <t>USD</t>
        </is>
      </c>
      <c r="F635" t="inlineStr">
        <is>
          <t>NT26081900629</t>
        </is>
      </c>
      <c r="G635" s="6" t="n">
        <v>46253</v>
      </c>
      <c r="H635" s="7" t="n">
        <v>999101169.1980001</v>
      </c>
      <c r="I635" t="inlineStr">
        <is>
          <t>GBP</t>
        </is>
      </c>
      <c r="J635" s="7" t="n">
        <v>783295316.651</v>
      </c>
      <c r="K635" t="inlineStr">
        <is>
          <t>SWIFT</t>
        </is>
      </c>
      <c r="L635" t="inlineStr"/>
      <c r="M635" s="8" t="n">
        <v>46253.49679398148</v>
      </c>
      <c r="N635" t="inlineStr">
        <is>
          <t>Noor Sinclair</t>
        </is>
      </c>
      <c r="O635" s="8" t="n">
        <v>46253.52457175926</v>
      </c>
      <c r="P635" t="inlineStr">
        <is>
          <t>Ellis Delaney</t>
        </is>
      </c>
      <c r="Q635" t="inlineStr">
        <is>
          <t>LEDGER_OR_CASHFLOW_RECEIVED</t>
        </is>
      </c>
      <c r="R635" t="inlineStr">
        <is>
          <t>SYRM_ACKNOWLEDGED</t>
        </is>
      </c>
      <c r="S635" t="inlineStr">
        <is>
          <t>View details</t>
        </is>
      </c>
    </row>
    <row r="636">
      <c r="A636" t="inlineStr">
        <is>
          <t>499062838623</t>
        </is>
      </c>
      <c r="B636" t="inlineStr">
        <is>
          <t>Zephyr Bank Madrid</t>
        </is>
      </c>
      <c r="C636" t="inlineStr">
        <is>
          <t>794226063698</t>
        </is>
      </c>
      <c r="D636" t="inlineStr">
        <is>
          <t>Cedar Clearing New York</t>
        </is>
      </c>
      <c r="E636" t="inlineStr">
        <is>
          <t>USD</t>
        </is>
      </c>
      <c r="F636" t="inlineStr">
        <is>
          <t>NT26081900630</t>
        </is>
      </c>
      <c r="G636" s="6" t="n">
        <v>46253</v>
      </c>
      <c r="H636" s="7" t="n">
        <v>4367817.3006</v>
      </c>
      <c r="I636" t="inlineStr">
        <is>
          <t>GBP</t>
        </is>
      </c>
      <c r="J636" s="7" t="n">
        <v>3424368.764</v>
      </c>
      <c r="K636" t="inlineStr">
        <is>
          <t>SWIFT</t>
        </is>
      </c>
      <c r="L636" t="inlineStr">
        <is>
          <t>Balance alignment</t>
        </is>
      </c>
      <c r="M636" s="8" t="n">
        <v>46253.44951388889</v>
      </c>
      <c r="N636" t="inlineStr">
        <is>
          <t>Wren Fairweather</t>
        </is>
      </c>
      <c r="O636" s="8" t="n">
        <v>46253.47451388889</v>
      </c>
      <c r="P636" t="inlineStr">
        <is>
          <t>Avery Prentice</t>
        </is>
      </c>
      <c r="Q636" t="inlineStr">
        <is>
          <t>LEDGER_OR_CASHFLOW_RECEIVED</t>
        </is>
      </c>
      <c r="R636" t="inlineStr">
        <is>
          <t>SYRM_ACKNOWLEDGED</t>
        </is>
      </c>
      <c r="S636" t="inlineStr">
        <is>
          <t>View details</t>
        </is>
      </c>
    </row>
    <row r="637">
      <c r="A637" t="inlineStr">
        <is>
          <t>910703979141</t>
        </is>
      </c>
      <c r="B637" t="inlineStr">
        <is>
          <t>Larkspur Clearing New York</t>
        </is>
      </c>
      <c r="C637" t="inlineStr">
        <is>
          <t>265771593142</t>
        </is>
      </c>
      <c r="D637" t="inlineStr">
        <is>
          <t>Redstart Commercial Bank Dublin</t>
        </is>
      </c>
      <c r="E637" t="inlineStr">
        <is>
          <t>CHF</t>
        </is>
      </c>
      <c r="F637" t="inlineStr">
        <is>
          <t>NT26081900631</t>
        </is>
      </c>
      <c r="G637" s="6" t="n">
        <v>46253</v>
      </c>
      <c r="H637" s="7" t="n">
        <v>210357302.2758</v>
      </c>
      <c r="I637" t="inlineStr">
        <is>
          <t>GBP</t>
        </is>
      </c>
      <c r="J637" s="7" t="n">
        <v>188690500.141</v>
      </c>
      <c r="K637" t="inlineStr">
        <is>
          <t>SWIFT</t>
        </is>
      </c>
      <c r="L637" t="inlineStr">
        <is>
          <t>Funding move</t>
        </is>
      </c>
      <c r="M637" s="8" t="n">
        <v>46253.74690972222</v>
      </c>
      <c r="N637" t="inlineStr">
        <is>
          <t>Devon Jennings</t>
        </is>
      </c>
      <c r="O637" s="8" t="n">
        <v>46253.78440972222</v>
      </c>
      <c r="P637" t="inlineStr">
        <is>
          <t>Oakley Delaney</t>
        </is>
      </c>
      <c r="Q637" t="inlineStr">
        <is>
          <t>LEDGER_OR_CASHFLOW_RECEIVED</t>
        </is>
      </c>
      <c r="R637" t="inlineStr">
        <is>
          <t>SYRM_ACKNOWLEDGED</t>
        </is>
      </c>
      <c r="S637" t="inlineStr">
        <is>
          <t>View details</t>
        </is>
      </c>
    </row>
    <row r="638">
      <c r="A638" t="inlineStr">
        <is>
          <t>150316825069</t>
        </is>
      </c>
      <c r="B638" t="inlineStr">
        <is>
          <t>Wrenfield Clearing Mexico City</t>
        </is>
      </c>
      <c r="C638" t="inlineStr">
        <is>
          <t>265771593142</t>
        </is>
      </c>
      <c r="D638" t="inlineStr">
        <is>
          <t>Pinehurst Settlement Bank Frankfurt</t>
        </is>
      </c>
      <c r="E638" t="inlineStr">
        <is>
          <t>GBP</t>
        </is>
      </c>
      <c r="F638" t="inlineStr">
        <is>
          <t>NT26081900632</t>
        </is>
      </c>
      <c r="G638" s="6" t="n">
        <v>46253</v>
      </c>
      <c r="H638" s="7" t="n">
        <v>1201223290.8492</v>
      </c>
      <c r="I638" t="inlineStr">
        <is>
          <t>GBP</t>
        </is>
      </c>
      <c r="J638" s="7" t="n">
        <v>1201223290.849</v>
      </c>
      <c r="K638" t="inlineStr">
        <is>
          <t>SYRM</t>
        </is>
      </c>
      <c r="L638" t="inlineStr">
        <is>
          <t>Funding move</t>
        </is>
      </c>
      <c r="M638" s="8" t="n">
        <v>46253.42653935185</v>
      </c>
      <c r="N638" t="inlineStr">
        <is>
          <t>Wren Fairweather</t>
        </is>
      </c>
      <c r="O638" s="8" t="n">
        <v>46253.46820601852</v>
      </c>
      <c r="P638" t="inlineStr">
        <is>
          <t>Oakley Novak</t>
        </is>
      </c>
      <c r="Q638" t="inlineStr">
        <is>
          <t>LEDGER_OR_CASHFLOW_RECEIVED</t>
        </is>
      </c>
      <c r="R638" t="inlineStr">
        <is>
          <t>SYRM_ACKNOWLEDGED</t>
        </is>
      </c>
      <c r="S638" t="inlineStr">
        <is>
          <t>View details</t>
        </is>
      </c>
    </row>
    <row r="639">
      <c r="A639" t="inlineStr">
        <is>
          <t>968942362772</t>
        </is>
      </c>
      <c r="B639" t="inlineStr">
        <is>
          <t>Fernway Clearing Frankfurt</t>
        </is>
      </c>
      <c r="C639" t="inlineStr">
        <is>
          <t>150316825069</t>
        </is>
      </c>
      <c r="D639" t="inlineStr">
        <is>
          <t>Yarrow Bank Stockholm</t>
        </is>
      </c>
      <c r="E639" t="inlineStr">
        <is>
          <t>EUR</t>
        </is>
      </c>
      <c r="F639" t="inlineStr">
        <is>
          <t>NT26081900633</t>
        </is>
      </c>
      <c r="G639" s="6" t="n">
        <v>46253</v>
      </c>
      <c r="H639" s="7" t="n">
        <v>56295784.6398</v>
      </c>
      <c r="I639" t="inlineStr">
        <is>
          <t>GBP</t>
        </is>
      </c>
      <c r="J639" s="7" t="n">
        <v>48301783.221</v>
      </c>
      <c r="K639" t="inlineStr">
        <is>
          <t>SYRM</t>
        </is>
      </c>
      <c r="L639" t="inlineStr">
        <is>
          <t>Liquidity sweep</t>
        </is>
      </c>
      <c r="M639" s="8" t="n">
        <v>46253.68064814815</v>
      </c>
      <c r="N639" t="inlineStr">
        <is>
          <t>Greer Prentice</t>
        </is>
      </c>
      <c r="O639" s="8" t="n">
        <v>46253.70912037037</v>
      </c>
      <c r="P639" t="inlineStr">
        <is>
          <t>Oakley Prentice</t>
        </is>
      </c>
      <c r="Q639" t="inlineStr">
        <is>
          <t>LEDGER_OR_CASHFLOW_RECEIVED</t>
        </is>
      </c>
      <c r="R639" t="inlineStr">
        <is>
          <t>SYRM_ACKNOWLEDGED</t>
        </is>
      </c>
      <c r="S639" t="inlineStr">
        <is>
          <t>View details</t>
        </is>
      </c>
    </row>
    <row r="640">
      <c r="A640" t="inlineStr">
        <is>
          <t>726928343448</t>
        </is>
      </c>
      <c r="B640" t="inlineStr">
        <is>
          <t>Harrow Bank Milan</t>
        </is>
      </c>
      <c r="C640" t="inlineStr">
        <is>
          <t>953625291146</t>
        </is>
      </c>
      <c r="D640" t="inlineStr">
        <is>
          <t>Thornbury Commercial Bank London</t>
        </is>
      </c>
      <c r="E640" t="inlineStr">
        <is>
          <t>EUR</t>
        </is>
      </c>
      <c r="F640" t="inlineStr">
        <is>
          <t>NT26081900634</t>
        </is>
      </c>
      <c r="G640" s="6" t="n">
        <v>46253</v>
      </c>
      <c r="H640" s="7" t="n">
        <v>1862411.0544</v>
      </c>
      <c r="I640" t="inlineStr">
        <is>
          <t>GBP</t>
        </is>
      </c>
      <c r="J640" s="7" t="n">
        <v>1597948.685</v>
      </c>
      <c r="K640" t="inlineStr">
        <is>
          <t>INTERNAL</t>
        </is>
      </c>
      <c r="L640" t="inlineStr">
        <is>
          <t>Funding move</t>
        </is>
      </c>
      <c r="M640" s="8" t="n">
        <v>46253.32599537037</v>
      </c>
      <c r="N640" t="inlineStr">
        <is>
          <t>Ellis Gallagher</t>
        </is>
      </c>
      <c r="O640" s="8" t="n"/>
      <c r="Q640" t="inlineStr">
        <is>
          <t>PENDING_APPROVAL</t>
        </is>
      </c>
      <c r="R640" t="inlineStr">
        <is>
          <t>SYRM_ACKNOWLEDGED</t>
        </is>
      </c>
      <c r="S640" t="inlineStr">
        <is>
          <t>View details</t>
        </is>
      </c>
    </row>
    <row r="641">
      <c r="A641" t="inlineStr">
        <is>
          <t>150316825069</t>
        </is>
      </c>
      <c r="B641" t="inlineStr">
        <is>
          <t>Pinehurst Settlement Bank Frankfurt</t>
        </is>
      </c>
      <c r="C641" t="inlineStr">
        <is>
          <t>468341071172</t>
        </is>
      </c>
      <c r="D641" t="inlineStr">
        <is>
          <t>Larkspur Trust Hong Kong</t>
        </is>
      </c>
      <c r="E641" t="inlineStr">
        <is>
          <t>GBP</t>
        </is>
      </c>
      <c r="F641" t="inlineStr">
        <is>
          <t>NT26081900635</t>
        </is>
      </c>
      <c r="G641" s="6" t="n">
        <v>46253</v>
      </c>
      <c r="H641" s="7" t="n">
        <v>2265779.0862</v>
      </c>
      <c r="I641" t="inlineStr">
        <is>
          <t>GBP</t>
        </is>
      </c>
      <c r="J641" s="7" t="n">
        <v>2265779.086</v>
      </c>
      <c r="K641" t="inlineStr">
        <is>
          <t>SYRM</t>
        </is>
      </c>
      <c r="L641" t="inlineStr">
        <is>
          <t>Balance alignment</t>
        </is>
      </c>
      <c r="M641" s="8" t="n">
        <v>46253.36049768519</v>
      </c>
      <c r="N641" t="inlineStr">
        <is>
          <t>Wren Fairweather</t>
        </is>
      </c>
      <c r="O641" s="8" t="n">
        <v>46253.4028587963</v>
      </c>
      <c r="P641" t="inlineStr">
        <is>
          <t>Devon Delaney</t>
        </is>
      </c>
      <c r="Q641" t="inlineStr">
        <is>
          <t>LEDGER_OR_CASHFLOW_RECEIVED</t>
        </is>
      </c>
      <c r="R641" t="inlineStr">
        <is>
          <t>SYRM_ACKNOWLEDGED</t>
        </is>
      </c>
      <c r="S641" t="inlineStr">
        <is>
          <t>View details</t>
        </is>
      </c>
    </row>
    <row r="642">
      <c r="A642" t="inlineStr">
        <is>
          <t>927538182434</t>
        </is>
      </c>
      <c r="B642" t="inlineStr">
        <is>
          <t>Fernway Clearing Frankfurt</t>
        </is>
      </c>
      <c r="C642" t="inlineStr">
        <is>
          <t>468341071172</t>
        </is>
      </c>
      <c r="D642" t="inlineStr">
        <is>
          <t>Mallow Trust Frankfurt</t>
        </is>
      </c>
      <c r="E642" t="inlineStr">
        <is>
          <t>CNY</t>
        </is>
      </c>
      <c r="F642" t="inlineStr">
        <is>
          <t>NT26081900636</t>
        </is>
      </c>
      <c r="G642" s="6" t="n">
        <v>46253</v>
      </c>
      <c r="H642" s="7" t="n">
        <v>2147296.5522</v>
      </c>
      <c r="I642" t="inlineStr">
        <is>
          <t>GBP</t>
        </is>
      </c>
      <c r="J642" s="7" t="n">
        <v>234055.324</v>
      </c>
      <c r="K642" t="inlineStr">
        <is>
          <t>SYRM</t>
        </is>
      </c>
      <c r="L642" t="inlineStr">
        <is>
          <t>Balance alignment</t>
        </is>
      </c>
      <c r="M642" s="8" t="n">
        <v>46253.71736111111</v>
      </c>
      <c r="N642" t="inlineStr">
        <is>
          <t>Quinn Hollis</t>
        </is>
      </c>
      <c r="O642" s="8" t="n">
        <v>46253.78055555555</v>
      </c>
      <c r="P642" t="inlineStr">
        <is>
          <t>Kai Calloway</t>
        </is>
      </c>
      <c r="Q642" t="inlineStr">
        <is>
          <t>LEDGER_OR_CASHFLOW_RECEIVED</t>
        </is>
      </c>
      <c r="R642" t="inlineStr">
        <is>
          <t>SYRM_ACKNOWLEDGED</t>
        </is>
      </c>
      <c r="S642" t="inlineStr">
        <is>
          <t>View details</t>
        </is>
      </c>
    </row>
    <row r="643">
      <c r="A643" t="inlineStr">
        <is>
          <t>284925023085</t>
        </is>
      </c>
      <c r="B643" t="inlineStr">
        <is>
          <t>Wrenfield Clearing Frankfurt</t>
        </is>
      </c>
      <c r="C643" t="inlineStr">
        <is>
          <t>898317028833</t>
        </is>
      </c>
      <c r="D643" t="inlineStr">
        <is>
          <t>Yarrow Bank Stockholm</t>
        </is>
      </c>
      <c r="E643" t="inlineStr">
        <is>
          <t>MXN</t>
        </is>
      </c>
      <c r="F643" t="inlineStr">
        <is>
          <t>NT26081900637</t>
        </is>
      </c>
      <c r="G643" s="6" t="n">
        <v>46253</v>
      </c>
      <c r="H643" s="7" t="n">
        <v>70374.55499999999</v>
      </c>
      <c r="I643" t="inlineStr">
        <is>
          <t>GBP</t>
        </is>
      </c>
      <c r="J643" s="7" t="n">
        <v>3012.031</v>
      </c>
      <c r="K643" t="inlineStr">
        <is>
          <t>SYRM</t>
        </is>
      </c>
      <c r="L643" t="inlineStr">
        <is>
          <t>Balance alignment</t>
        </is>
      </c>
      <c r="M643" s="8" t="n">
        <v>46253.43136574074</v>
      </c>
      <c r="N643" t="inlineStr">
        <is>
          <t>Ellis Gallagher</t>
        </is>
      </c>
      <c r="O643" s="8" t="n">
        <v>46253.45289351852</v>
      </c>
      <c r="P643" t="inlineStr">
        <is>
          <t>Ellis Gallagher</t>
        </is>
      </c>
      <c r="Q643" t="inlineStr">
        <is>
          <t>LEDGER_OR_CASHFLOW_RECEIVED</t>
        </is>
      </c>
      <c r="R643" t="inlineStr">
        <is>
          <t>SYRM_ACKNOWLEDGED</t>
        </is>
      </c>
      <c r="S643" t="inlineStr">
        <is>
          <t>View details</t>
        </is>
      </c>
    </row>
    <row r="644">
      <c r="A644" t="inlineStr">
        <is>
          <t>700726936098</t>
        </is>
      </c>
      <c r="B644" t="inlineStr">
        <is>
          <t>Bramble Commercial Bank Toronto</t>
        </is>
      </c>
      <c r="C644" t="inlineStr">
        <is>
          <t>898317028833</t>
        </is>
      </c>
      <c r="D644" t="inlineStr">
        <is>
          <t>Redstart Commercial Bank Dublin</t>
        </is>
      </c>
      <c r="E644" t="inlineStr">
        <is>
          <t>SAR</t>
        </is>
      </c>
      <c r="F644" t="inlineStr">
        <is>
          <t>NT26081900638</t>
        </is>
      </c>
      <c r="G644" s="6" t="n">
        <v>46253</v>
      </c>
      <c r="H644" s="7" t="n">
        <v>1497128264.541</v>
      </c>
      <c r="I644" t="inlineStr">
        <is>
          <t>GBP</t>
        </is>
      </c>
      <c r="J644" s="7" t="n">
        <v>312899807.289</v>
      </c>
      <c r="K644" t="inlineStr">
        <is>
          <t>INTERNAL</t>
        </is>
      </c>
      <c r="L644" t="inlineStr">
        <is>
          <t>Funding move</t>
        </is>
      </c>
      <c r="M644" s="8" t="n">
        <v>46253.76826388889</v>
      </c>
      <c r="N644" t="inlineStr">
        <is>
          <t>Noor Brookes</t>
        </is>
      </c>
      <c r="O644" s="8" t="n">
        <v>46253.81201388889</v>
      </c>
      <c r="P644" t="inlineStr">
        <is>
          <t>Harper Hollis</t>
        </is>
      </c>
      <c r="Q644" t="inlineStr">
        <is>
          <t>LEDGER_OR_CASHFLOW_RECEIVED</t>
        </is>
      </c>
      <c r="R644" t="inlineStr">
        <is>
          <t>SYRM_ACKNOWLEDGED</t>
        </is>
      </c>
      <c r="S644" t="inlineStr">
        <is>
          <t>View details</t>
        </is>
      </c>
    </row>
    <row r="645">
      <c r="A645" t="inlineStr">
        <is>
          <t>150316825069</t>
        </is>
      </c>
      <c r="B645" t="inlineStr">
        <is>
          <t>Juniper Bank Warsaw</t>
        </is>
      </c>
      <c r="C645" t="inlineStr">
        <is>
          <t>621381112674</t>
        </is>
      </c>
      <c r="D645" t="inlineStr">
        <is>
          <t>Zephyr Bank Singapore</t>
        </is>
      </c>
      <c r="E645" t="inlineStr">
        <is>
          <t>GBP</t>
        </is>
      </c>
      <c r="F645" t="inlineStr">
        <is>
          <t>NT26081900639</t>
        </is>
      </c>
      <c r="G645" s="6" t="n">
        <v>46253</v>
      </c>
      <c r="H645" s="7" t="n">
        <v>5715.855</v>
      </c>
      <c r="I645" t="inlineStr">
        <is>
          <t>GBP</t>
        </is>
      </c>
      <c r="J645" s="7" t="n">
        <v>5715.855</v>
      </c>
      <c r="K645" t="inlineStr">
        <is>
          <t>SYRM</t>
        </is>
      </c>
      <c r="L645" t="inlineStr">
        <is>
          <t>Liquidity sweep</t>
        </is>
      </c>
      <c r="M645" s="8" t="n">
        <v>46253.24238425926</v>
      </c>
      <c r="N645" t="inlineStr">
        <is>
          <t>Wren Fairweather</t>
        </is>
      </c>
      <c r="O645" s="8" t="n">
        <v>46253.29724537037</v>
      </c>
      <c r="P645" t="inlineStr">
        <is>
          <t>Kai Merrick</t>
        </is>
      </c>
      <c r="Q645" t="inlineStr">
        <is>
          <t>LEDGER_OR_CASHFLOW_RECEIVED</t>
        </is>
      </c>
      <c r="R645" t="inlineStr">
        <is>
          <t>SYRM_ACKNOWLEDGED</t>
        </is>
      </c>
      <c r="S645" t="inlineStr">
        <is>
          <t>View details</t>
        </is>
      </c>
    </row>
    <row r="646">
      <c r="A646" t="inlineStr">
        <is>
          <t>150316825069</t>
        </is>
      </c>
      <c r="B646" t="inlineStr">
        <is>
          <t>Harrow Bank Milan</t>
        </is>
      </c>
      <c r="C646" t="inlineStr">
        <is>
          <t>794226063698</t>
        </is>
      </c>
      <c r="D646" t="inlineStr">
        <is>
          <t>Bramble Clearing Milan</t>
        </is>
      </c>
      <c r="E646" t="inlineStr">
        <is>
          <t>GBP</t>
        </is>
      </c>
      <c r="F646" t="inlineStr">
        <is>
          <t>NT26081900640</t>
        </is>
      </c>
      <c r="G646" s="6" t="n">
        <v>46253</v>
      </c>
      <c r="H646" s="7" t="n">
        <v>2007.108</v>
      </c>
      <c r="I646" t="inlineStr">
        <is>
          <t>GBP</t>
        </is>
      </c>
      <c r="J646" s="7" t="n">
        <v>2007.108</v>
      </c>
      <c r="K646" t="inlineStr">
        <is>
          <t>INTERNAL</t>
        </is>
      </c>
      <c r="L646" t="inlineStr"/>
      <c r="M646" s="8" t="n">
        <v>46253.78640046297</v>
      </c>
      <c r="N646" t="inlineStr">
        <is>
          <t>Kai Calloway</t>
        </is>
      </c>
      <c r="O646" s="8" t="n"/>
      <c r="Q646" t="inlineStr">
        <is>
          <t>PENDING_APPROVAL</t>
        </is>
      </c>
      <c r="R646" t="inlineStr">
        <is>
          <t>SYRM_ACKNOWLEDGED</t>
        </is>
      </c>
      <c r="S646" t="inlineStr">
        <is>
          <t>View details</t>
        </is>
      </c>
    </row>
    <row r="647">
      <c r="A647" t="inlineStr">
        <is>
          <t>150316825069</t>
        </is>
      </c>
      <c r="B647" t="inlineStr">
        <is>
          <t>Granite Commercial Bank Milan</t>
        </is>
      </c>
      <c r="C647" t="inlineStr">
        <is>
          <t>824840705580</t>
        </is>
      </c>
      <c r="D647" t="inlineStr">
        <is>
          <t>Juniper Bank Warsaw</t>
        </is>
      </c>
      <c r="E647" t="inlineStr">
        <is>
          <t>GBP</t>
        </is>
      </c>
      <c r="F647" t="inlineStr">
        <is>
          <t>NT26081900641</t>
        </is>
      </c>
      <c r="G647" s="6" t="n">
        <v>46253</v>
      </c>
      <c r="H647" s="7" t="n">
        <v>62274517.81740001</v>
      </c>
      <c r="I647" t="inlineStr">
        <is>
          <t>GBP</t>
        </is>
      </c>
      <c r="J647" s="7" t="n">
        <v>62274517.817</v>
      </c>
      <c r="K647" t="inlineStr">
        <is>
          <t>SYRM</t>
        </is>
      </c>
      <c r="L647" t="inlineStr">
        <is>
          <t>Liquidity sweep</t>
        </is>
      </c>
      <c r="M647" s="8" t="n">
        <v>46253.41342592592</v>
      </c>
      <c r="N647" t="inlineStr">
        <is>
          <t>Quinn Brookes</t>
        </is>
      </c>
      <c r="O647" s="8" t="n">
        <v>46253.46203703704</v>
      </c>
      <c r="P647" t="inlineStr">
        <is>
          <t>Greer Osgood</t>
        </is>
      </c>
      <c r="Q647" t="inlineStr">
        <is>
          <t>LEDGER_OR_CASHFLOW_RECEIVED</t>
        </is>
      </c>
      <c r="R647" t="inlineStr">
        <is>
          <t>SYRM_ACKNOWLEDGED</t>
        </is>
      </c>
      <c r="S647" t="inlineStr">
        <is>
          <t>View details</t>
        </is>
      </c>
    </row>
    <row r="648">
      <c r="A648" t="inlineStr">
        <is>
          <t>265771593142</t>
        </is>
      </c>
      <c r="B648" t="inlineStr">
        <is>
          <t>Redstart Commercial Bank Stockholm</t>
        </is>
      </c>
      <c r="C648" t="inlineStr">
        <is>
          <t>953625291146</t>
        </is>
      </c>
      <c r="D648" t="inlineStr">
        <is>
          <t>Harrow Bank Milan</t>
        </is>
      </c>
      <c r="E648" t="inlineStr">
        <is>
          <t>EUR</t>
        </is>
      </c>
      <c r="F648" t="inlineStr">
        <is>
          <t>NT26081900642</t>
        </is>
      </c>
      <c r="G648" s="6" t="n">
        <v>46253</v>
      </c>
      <c r="H648" s="7" t="n">
        <v>2119057.2486</v>
      </c>
      <c r="I648" t="inlineStr">
        <is>
          <t>GBP</t>
        </is>
      </c>
      <c r="J648" s="7" t="n">
        <v>1818151.119</v>
      </c>
      <c r="K648" t="inlineStr">
        <is>
          <t>SYRM</t>
        </is>
      </c>
      <c r="L648" t="inlineStr">
        <is>
          <t>Intraday top-up</t>
        </is>
      </c>
      <c r="M648" s="8" t="n">
        <v>46253.50405092593</v>
      </c>
      <c r="N648" t="inlineStr">
        <is>
          <t>Wren Hollis</t>
        </is>
      </c>
      <c r="O648" s="8" t="n">
        <v>46253.52349537037</v>
      </c>
      <c r="P648" t="inlineStr">
        <is>
          <t>Finley Sinclair</t>
        </is>
      </c>
      <c r="Q648" t="inlineStr">
        <is>
          <t>LEDGER_OR_CASHFLOW_RECEIVED</t>
        </is>
      </c>
      <c r="R648" t="inlineStr">
        <is>
          <t>SYRM_ACKNOWLEDGED</t>
        </is>
      </c>
      <c r="S648" t="inlineStr">
        <is>
          <t>View details</t>
        </is>
      </c>
    </row>
    <row r="649">
      <c r="A649" t="inlineStr">
        <is>
          <t>794226063698</t>
        </is>
      </c>
      <c r="B649" t="inlineStr">
        <is>
          <t>Dunlin Commercial Bank Paris</t>
        </is>
      </c>
      <c r="C649" t="inlineStr">
        <is>
          <t>265771593142</t>
        </is>
      </c>
      <c r="D649" t="inlineStr">
        <is>
          <t>Zephyr Settlement Bank New York</t>
        </is>
      </c>
      <c r="E649" t="inlineStr">
        <is>
          <t>AED</t>
        </is>
      </c>
      <c r="F649" t="inlineStr">
        <is>
          <t>NT26081900643</t>
        </is>
      </c>
      <c r="G649" s="6" t="n">
        <v>46253</v>
      </c>
      <c r="H649" s="7" t="n">
        <v>10922763.7368</v>
      </c>
      <c r="I649" t="inlineStr">
        <is>
          <t>GBP</t>
        </is>
      </c>
      <c r="J649" s="7" t="n">
        <v>2326548.676</v>
      </c>
      <c r="K649" t="inlineStr">
        <is>
          <t>SYRM</t>
        </is>
      </c>
      <c r="L649" t="inlineStr">
        <is>
          <t>Balance alignment</t>
        </is>
      </c>
      <c r="M649" s="8" t="n">
        <v>46253.42490740741</v>
      </c>
      <c r="N649" t="inlineStr">
        <is>
          <t>Devon Delaney</t>
        </is>
      </c>
      <c r="O649" s="8" t="n">
        <v>46253.47976851852</v>
      </c>
      <c r="P649" t="inlineStr">
        <is>
          <t>Marlow Sinclair</t>
        </is>
      </c>
      <c r="Q649" t="inlineStr">
        <is>
          <t>LEDGER_OR_CASHFLOW_RECEIVED</t>
        </is>
      </c>
      <c r="R649" t="inlineStr">
        <is>
          <t>SYRM_ACKNOWLEDGED</t>
        </is>
      </c>
      <c r="S649" t="inlineStr">
        <is>
          <t>View details</t>
        </is>
      </c>
    </row>
    <row r="650">
      <c r="A650" t="inlineStr">
        <is>
          <t>898317028833</t>
        </is>
      </c>
      <c r="B650" t="inlineStr">
        <is>
          <t>Zephyr Commercial Bank Oslo</t>
        </is>
      </c>
      <c r="C650" t="inlineStr">
        <is>
          <t>113829985108</t>
        </is>
      </c>
      <c r="D650" t="inlineStr">
        <is>
          <t>Fernway Clearing Frankfurt</t>
        </is>
      </c>
      <c r="E650" t="inlineStr">
        <is>
          <t>GBP</t>
        </is>
      </c>
      <c r="F650" t="inlineStr">
        <is>
          <t>NT26081900644</t>
        </is>
      </c>
      <c r="G650" s="6" t="n">
        <v>46253</v>
      </c>
      <c r="H650" s="7" t="n">
        <v>30513675.9222</v>
      </c>
      <c r="I650" t="inlineStr">
        <is>
          <t>GBP</t>
        </is>
      </c>
      <c r="J650" s="7" t="n">
        <v>30513675.922</v>
      </c>
      <c r="K650" t="inlineStr">
        <is>
          <t>SYRM</t>
        </is>
      </c>
      <c r="L650" t="inlineStr">
        <is>
          <t>Funding move</t>
        </is>
      </c>
      <c r="M650" s="8" t="n">
        <v>46253.36314814815</v>
      </c>
      <c r="N650" t="inlineStr">
        <is>
          <t>Finley Sinclair</t>
        </is>
      </c>
      <c r="O650" s="8" t="n">
        <v>46253.4249537037</v>
      </c>
      <c r="P650" t="inlineStr">
        <is>
          <t>Greer Prentice</t>
        </is>
      </c>
      <c r="Q650" t="inlineStr">
        <is>
          <t>LEDGER_OR_CASHFLOW_RECEIVED</t>
        </is>
      </c>
      <c r="R650" t="inlineStr">
        <is>
          <t>SYRM_PENDING</t>
        </is>
      </c>
      <c r="S650" t="inlineStr">
        <is>
          <t>View details</t>
        </is>
      </c>
    </row>
    <row r="651">
      <c r="A651" t="inlineStr">
        <is>
          <t>700726936098</t>
        </is>
      </c>
      <c r="B651" t="inlineStr">
        <is>
          <t>Larkspur Trust Hong Kong</t>
        </is>
      </c>
      <c r="C651" t="inlineStr">
        <is>
          <t>621381112674</t>
        </is>
      </c>
      <c r="D651" t="inlineStr">
        <is>
          <t>Fernway Trust Tokyo</t>
        </is>
      </c>
      <c r="E651" t="inlineStr">
        <is>
          <t>SAR</t>
        </is>
      </c>
      <c r="F651" t="inlineStr">
        <is>
          <t>NT26081900645</t>
        </is>
      </c>
      <c r="G651" s="6" t="n">
        <v>46253</v>
      </c>
      <c r="H651" s="7" t="n">
        <v>121553536.7646</v>
      </c>
      <c r="I651" t="inlineStr">
        <is>
          <t>GBP</t>
        </is>
      </c>
      <c r="J651" s="7" t="n">
        <v>25404689.184</v>
      </c>
      <c r="K651" t="inlineStr">
        <is>
          <t>SYRM</t>
        </is>
      </c>
      <c r="L651" t="inlineStr">
        <is>
          <t>Funding move</t>
        </is>
      </c>
      <c r="M651" s="8" t="n">
        <v>46253.62137731481</v>
      </c>
      <c r="N651" t="inlineStr">
        <is>
          <t>Harper Hollis</t>
        </is>
      </c>
      <c r="O651" s="8" t="n">
        <v>46253.62484953704</v>
      </c>
      <c r="P651" t="inlineStr">
        <is>
          <t>Greer Prentice</t>
        </is>
      </c>
      <c r="Q651" t="inlineStr">
        <is>
          <t>LEDGER_OR_CASHFLOW_RECEIVED</t>
        </is>
      </c>
      <c r="R651" t="inlineStr">
        <is>
          <t>SYRM_ACKNOWLEDGED</t>
        </is>
      </c>
      <c r="S651" t="inlineStr">
        <is>
          <t>View details</t>
        </is>
      </c>
    </row>
    <row r="652">
      <c r="A652" t="inlineStr">
        <is>
          <t>794226063698</t>
        </is>
      </c>
      <c r="B652" t="inlineStr">
        <is>
          <t>Oriel Settlement Bank Madrid</t>
        </is>
      </c>
      <c r="C652" t="inlineStr">
        <is>
          <t>150316825069</t>
        </is>
      </c>
      <c r="D652" t="inlineStr">
        <is>
          <t>Zephyr Bank Madrid</t>
        </is>
      </c>
      <c r="E652" t="inlineStr">
        <is>
          <t>AED</t>
        </is>
      </c>
      <c r="F652" t="inlineStr">
        <is>
          <t>NT26081900646</t>
        </is>
      </c>
      <c r="G652" s="6" t="n">
        <v>46253</v>
      </c>
      <c r="H652" s="7" t="n">
        <v>222421136.1966</v>
      </c>
      <c r="I652" t="inlineStr">
        <is>
          <t>GBP</t>
        </is>
      </c>
      <c r="J652" s="7" t="n">
        <v>47375702.01</v>
      </c>
      <c r="K652" t="inlineStr">
        <is>
          <t>SYRM</t>
        </is>
      </c>
      <c r="L652" t="inlineStr"/>
      <c r="M652" s="8" t="n">
        <v>46253.29422453704</v>
      </c>
      <c r="N652" t="inlineStr">
        <is>
          <t>Finley Hollis</t>
        </is>
      </c>
      <c r="O652" s="8" t="n">
        <v>46253.3171412037</v>
      </c>
      <c r="P652" t="inlineStr">
        <is>
          <t>Oakley Fairweather</t>
        </is>
      </c>
      <c r="Q652" t="inlineStr">
        <is>
          <t>LEDGER_OR_CASHFLOW_RECEIVED</t>
        </is>
      </c>
      <c r="R652" t="inlineStr">
        <is>
          <t>SYRM_ACKNOWLEDGED</t>
        </is>
      </c>
      <c r="S652" t="inlineStr">
        <is>
          <t>View details</t>
        </is>
      </c>
    </row>
    <row r="653">
      <c r="A653" t="inlineStr">
        <is>
          <t>468341071172</t>
        </is>
      </c>
      <c r="B653" t="inlineStr">
        <is>
          <t>Redstart Commercial Bank Dublin</t>
        </is>
      </c>
      <c r="C653" t="inlineStr">
        <is>
          <t>468341071172</t>
        </is>
      </c>
      <c r="D653" t="inlineStr">
        <is>
          <t>Pinehurst Clearing Oslo</t>
        </is>
      </c>
      <c r="E653" t="inlineStr">
        <is>
          <t>EUR</t>
        </is>
      </c>
      <c r="F653" t="inlineStr">
        <is>
          <t>NT26081900647</t>
        </is>
      </c>
      <c r="G653" s="6" t="n">
        <v>46253</v>
      </c>
      <c r="H653" s="7" t="n">
        <v>151296250.5072</v>
      </c>
      <c r="I653" t="inlineStr">
        <is>
          <t>GBP</t>
        </is>
      </c>
      <c r="J653" s="7" t="n">
        <v>129812182.935</v>
      </c>
      <c r="K653" t="inlineStr">
        <is>
          <t>SYRM</t>
        </is>
      </c>
      <c r="L653" t="inlineStr"/>
      <c r="M653" s="8" t="n">
        <v>46253.67859953704</v>
      </c>
      <c r="N653" t="inlineStr">
        <is>
          <t>Quinn Brookes</t>
        </is>
      </c>
      <c r="O653" s="8" t="n">
        <v>46253.70568287037</v>
      </c>
      <c r="P653" t="inlineStr">
        <is>
          <t>Avery Sinclair</t>
        </is>
      </c>
      <c r="Q653" t="inlineStr">
        <is>
          <t>LEDGER_OR_CASHFLOW_RECEIVED</t>
        </is>
      </c>
      <c r="R653" t="inlineStr">
        <is>
          <t>SYRM_ACKNOWLEDGED</t>
        </is>
      </c>
      <c r="S653" t="inlineStr">
        <is>
          <t>View details</t>
        </is>
      </c>
    </row>
    <row r="654">
      <c r="A654" t="inlineStr">
        <is>
          <t>113829985108</t>
        </is>
      </c>
      <c r="B654" t="inlineStr">
        <is>
          <t>Kestrel Bank Frankfurt</t>
        </is>
      </c>
      <c r="C654" t="inlineStr">
        <is>
          <t>499062838623</t>
        </is>
      </c>
      <c r="D654" t="inlineStr">
        <is>
          <t>Alder Settlement Bank Paris</t>
        </is>
      </c>
      <c r="E654" t="inlineStr">
        <is>
          <t>EUR</t>
        </is>
      </c>
      <c r="F654" t="inlineStr">
        <is>
          <t>NT26081900648</t>
        </is>
      </c>
      <c r="G654" s="6" t="n">
        <v>46253</v>
      </c>
      <c r="H654" s="7" t="n">
        <v>3183485.1534</v>
      </c>
      <c r="I654" t="inlineStr">
        <is>
          <t>GBP</t>
        </is>
      </c>
      <c r="J654" s="7" t="n">
        <v>2731430.262</v>
      </c>
      <c r="K654" t="inlineStr">
        <is>
          <t>SWIFT</t>
        </is>
      </c>
      <c r="L654" t="inlineStr">
        <is>
          <t>Intraday top-up</t>
        </is>
      </c>
      <c r="M654" s="8" t="n">
        <v>46253.74368055556</v>
      </c>
      <c r="N654" t="inlineStr">
        <is>
          <t>Devon Jennings</t>
        </is>
      </c>
      <c r="O654" s="8" t="n">
        <v>46253.75826388889</v>
      </c>
      <c r="P654" t="inlineStr">
        <is>
          <t>Finley Jennings</t>
        </is>
      </c>
      <c r="Q654" t="inlineStr">
        <is>
          <t>LEDGER_RECEIVED</t>
        </is>
      </c>
      <c r="R654" t="inlineStr">
        <is>
          <t>SYRM_ACKNOWLEDGED</t>
        </is>
      </c>
      <c r="S654" t="inlineStr">
        <is>
          <t>View details</t>
        </is>
      </c>
    </row>
    <row r="655">
      <c r="A655" t="inlineStr">
        <is>
          <t>700726936098</t>
        </is>
      </c>
      <c r="B655" t="inlineStr">
        <is>
          <t>Pinehurst Trust Toronto</t>
        </is>
      </c>
      <c r="C655" t="inlineStr">
        <is>
          <t>150316825069</t>
        </is>
      </c>
      <c r="D655" t="inlineStr">
        <is>
          <t>Bramble Trust Zurich</t>
        </is>
      </c>
      <c r="E655" t="inlineStr">
        <is>
          <t>SAR</t>
        </is>
      </c>
      <c r="F655" t="inlineStr">
        <is>
          <t>NT26081900649</t>
        </is>
      </c>
      <c r="G655" s="6" t="n">
        <v>46253</v>
      </c>
      <c r="H655" s="7" t="n">
        <v>368047.2114</v>
      </c>
      <c r="I655" t="inlineStr">
        <is>
          <t>GBP</t>
        </is>
      </c>
      <c r="J655" s="7" t="n">
        <v>76921.867</v>
      </c>
      <c r="K655" t="inlineStr">
        <is>
          <t>INTERNAL</t>
        </is>
      </c>
      <c r="L655" t="inlineStr">
        <is>
          <t>Liquidity sweep</t>
        </is>
      </c>
      <c r="M655" s="8" t="n">
        <v>46253.44207175926</v>
      </c>
      <c r="N655" t="inlineStr">
        <is>
          <t>Quinn Osgood</t>
        </is>
      </c>
      <c r="O655" s="8" t="n">
        <v>46253.46915509259</v>
      </c>
      <c r="P655" t="inlineStr">
        <is>
          <t>Kai Merrick</t>
        </is>
      </c>
      <c r="Q655" t="inlineStr">
        <is>
          <t>LEDGER_OR_CASHFLOW_RECEIVED</t>
        </is>
      </c>
      <c r="R655" t="inlineStr">
        <is>
          <t>SYRM_ACKNOWLEDGED</t>
        </is>
      </c>
      <c r="S655" t="inlineStr">
        <is>
          <t>View details</t>
        </is>
      </c>
    </row>
    <row r="656">
      <c r="A656" t="inlineStr">
        <is>
          <t>113829985108</t>
        </is>
      </c>
      <c r="B656" t="inlineStr">
        <is>
          <t>Wrenfield Trust Tokyo</t>
        </is>
      </c>
      <c r="C656" t="inlineStr">
        <is>
          <t>968942362772</t>
        </is>
      </c>
      <c r="D656" t="inlineStr">
        <is>
          <t>Juniper Trust London</t>
        </is>
      </c>
      <c r="E656" t="inlineStr">
        <is>
          <t>EUR</t>
        </is>
      </c>
      <c r="F656" t="inlineStr">
        <is>
          <t>NT26081900650</t>
        </is>
      </c>
      <c r="G656" s="6" t="n">
        <v>46253</v>
      </c>
      <c r="H656" s="7" t="n">
        <v>464870867.535</v>
      </c>
      <c r="I656" t="inlineStr">
        <is>
          <t>GBP</t>
        </is>
      </c>
      <c r="J656" s="7" t="n">
        <v>398859204.345</v>
      </c>
      <c r="K656" t="inlineStr">
        <is>
          <t>SYRM</t>
        </is>
      </c>
      <c r="L656" t="inlineStr">
        <is>
          <t>Intraday top-up</t>
        </is>
      </c>
      <c r="M656" s="8" t="n">
        <v>46253.26356481481</v>
      </c>
      <c r="N656" t="inlineStr">
        <is>
          <t>Oakley Novak</t>
        </is>
      </c>
      <c r="O656" s="8" t="n">
        <v>46253.29273148148</v>
      </c>
      <c r="P656" t="inlineStr">
        <is>
          <t>Kai Calloway</t>
        </is>
      </c>
      <c r="Q656" t="inlineStr">
        <is>
          <t>LEDGER_OR_CASHFLOW_RECEIVED</t>
        </is>
      </c>
      <c r="R656" t="inlineStr">
        <is>
          <t>SYRM_ACKNOWLEDGED</t>
        </is>
      </c>
      <c r="S656" t="inlineStr">
        <is>
          <t>View details</t>
        </is>
      </c>
    </row>
    <row r="657">
      <c r="A657" t="inlineStr">
        <is>
          <t>120047354818</t>
        </is>
      </c>
      <c r="B657" t="inlineStr">
        <is>
          <t>Kestrel Clearing Oslo</t>
        </is>
      </c>
      <c r="C657" t="inlineStr">
        <is>
          <t>794226063698</t>
        </is>
      </c>
      <c r="D657" t="inlineStr">
        <is>
          <t>Zephyr Bank Madrid</t>
        </is>
      </c>
      <c r="E657" t="inlineStr">
        <is>
          <t>USD</t>
        </is>
      </c>
      <c r="F657" t="inlineStr">
        <is>
          <t>NT26081900651</t>
        </is>
      </c>
      <c r="G657" s="6" t="n">
        <v>46253</v>
      </c>
      <c r="H657" s="7" t="n">
        <v>1943236.8126</v>
      </c>
      <c r="I657" t="inlineStr">
        <is>
          <t>GBP</t>
        </is>
      </c>
      <c r="J657" s="7" t="n">
        <v>1523497.661</v>
      </c>
      <c r="K657" t="inlineStr">
        <is>
          <t>SYRM</t>
        </is>
      </c>
      <c r="L657" t="inlineStr"/>
      <c r="M657" s="8" t="n">
        <v>46253.52445601852</v>
      </c>
      <c r="N657" t="inlineStr">
        <is>
          <t>Oakley Rhodes</t>
        </is>
      </c>
      <c r="O657" s="8" t="n">
        <v>46253.53417824074</v>
      </c>
      <c r="P657" t="inlineStr">
        <is>
          <t>Ellis Delaney</t>
        </is>
      </c>
      <c r="Q657" t="inlineStr">
        <is>
          <t>CASHFLOW_RECEIVED</t>
        </is>
      </c>
      <c r="R657" t="inlineStr">
        <is>
          <t>SYRM_REJECTED</t>
        </is>
      </c>
      <c r="S657" t="inlineStr">
        <is>
          <t>View details</t>
        </is>
      </c>
    </row>
    <row r="658">
      <c r="A658" t="inlineStr">
        <is>
          <t>150316825069</t>
        </is>
      </c>
      <c r="B658" t="inlineStr">
        <is>
          <t>Larkspur Clearing New York</t>
        </is>
      </c>
      <c r="C658" t="inlineStr">
        <is>
          <t>359365220160</t>
        </is>
      </c>
      <c r="D658" t="inlineStr">
        <is>
          <t>Mallow Trust Frankfurt</t>
        </is>
      </c>
      <c r="E658" t="inlineStr">
        <is>
          <t>GBP</t>
        </is>
      </c>
      <c r="F658" t="inlineStr">
        <is>
          <t>NT26081900652</t>
        </is>
      </c>
      <c r="G658" s="6" t="n">
        <v>46253</v>
      </c>
      <c r="H658" s="7" t="n">
        <v>6962265.6534</v>
      </c>
      <c r="I658" t="inlineStr">
        <is>
          <t>GBP</t>
        </is>
      </c>
      <c r="J658" s="7" t="n">
        <v>6962265.653</v>
      </c>
      <c r="K658" t="inlineStr">
        <is>
          <t>SWIFT</t>
        </is>
      </c>
      <c r="L658" t="inlineStr"/>
      <c r="M658" s="8" t="n">
        <v>46253.36123842592</v>
      </c>
      <c r="N658" t="inlineStr">
        <is>
          <t>Marlow Thorne</t>
        </is>
      </c>
      <c r="O658" s="8" t="n">
        <v>46253.42512731482</v>
      </c>
      <c r="P658" t="inlineStr">
        <is>
          <t>Devon Delaney</t>
        </is>
      </c>
      <c r="Q658" t="inlineStr">
        <is>
          <t>LEDGER_OR_CASHFLOW_RECEIVED</t>
        </is>
      </c>
      <c r="R658" t="inlineStr">
        <is>
          <t>SYRM_ACKNOWLEDGED</t>
        </is>
      </c>
      <c r="S658" t="inlineStr">
        <is>
          <t>View details</t>
        </is>
      </c>
    </row>
    <row r="659">
      <c r="A659" t="inlineStr">
        <is>
          <t>794226063698</t>
        </is>
      </c>
      <c r="B659" t="inlineStr">
        <is>
          <t>Granite Trust Frankfurt</t>
        </is>
      </c>
      <c r="C659" t="inlineStr">
        <is>
          <t>265771593142</t>
        </is>
      </c>
      <c r="D659" t="inlineStr">
        <is>
          <t>Bramble Trust Zurich</t>
        </is>
      </c>
      <c r="E659" t="inlineStr">
        <is>
          <t>AED</t>
        </is>
      </c>
      <c r="F659" t="inlineStr">
        <is>
          <t>NT26081900653</t>
        </is>
      </c>
      <c r="G659" s="6" t="n">
        <v>46253</v>
      </c>
      <c r="H659" s="7" t="n">
        <v>57184844.5746</v>
      </c>
      <c r="I659" t="inlineStr">
        <is>
          <t>GBP</t>
        </is>
      </c>
      <c r="J659" s="7" t="n">
        <v>12180371.894</v>
      </c>
      <c r="K659" t="inlineStr">
        <is>
          <t>SYRM</t>
        </is>
      </c>
      <c r="L659" t="inlineStr"/>
      <c r="M659" s="8" t="n">
        <v>46253.72292824074</v>
      </c>
      <c r="N659" t="inlineStr">
        <is>
          <t>Noor Sinclair</t>
        </is>
      </c>
      <c r="O659" s="8" t="n">
        <v>46253.73265046296</v>
      </c>
      <c r="P659" t="inlineStr">
        <is>
          <t>Oakley Novak</t>
        </is>
      </c>
      <c r="Q659" t="inlineStr">
        <is>
          <t>LEDGER_RECEIVED</t>
        </is>
      </c>
      <c r="R659" t="inlineStr">
        <is>
          <t>SYRM_ACKNOWLEDGED</t>
        </is>
      </c>
      <c r="S659" t="inlineStr">
        <is>
          <t>View details</t>
        </is>
      </c>
    </row>
    <row r="660">
      <c r="A660" t="inlineStr">
        <is>
          <t>132544340094</t>
        </is>
      </c>
      <c r="B660" t="inlineStr">
        <is>
          <t>Yarrow Bank Stockholm</t>
        </is>
      </c>
      <c r="C660" t="inlineStr">
        <is>
          <t>927538182434</t>
        </is>
      </c>
      <c r="D660" t="inlineStr">
        <is>
          <t>Wrenfield Clearing Frankfurt</t>
        </is>
      </c>
      <c r="E660" t="inlineStr">
        <is>
          <t>CZK</t>
        </is>
      </c>
      <c r="F660" t="inlineStr">
        <is>
          <t>NT26081900654</t>
        </is>
      </c>
      <c r="G660" s="6" t="n">
        <v>46253</v>
      </c>
      <c r="H660" s="7" t="n">
        <v>231274051.4466</v>
      </c>
      <c r="I660" t="inlineStr">
        <is>
          <t>GBP</t>
        </is>
      </c>
      <c r="J660" s="7" t="n">
        <v>7840190.344</v>
      </c>
      <c r="K660" t="inlineStr">
        <is>
          <t>SYRM</t>
        </is>
      </c>
      <c r="L660" t="inlineStr">
        <is>
          <t>Balance alignment</t>
        </is>
      </c>
      <c r="M660" s="8" t="n">
        <v>46253.30489583333</v>
      </c>
      <c r="N660" t="inlineStr">
        <is>
          <t>Wren Hollis</t>
        </is>
      </c>
      <c r="O660" s="8" t="n">
        <v>46253.36392361111</v>
      </c>
      <c r="P660" t="inlineStr">
        <is>
          <t>Oakley Fairweather</t>
        </is>
      </c>
      <c r="Q660" t="inlineStr">
        <is>
          <t>LEDGER_OR_CASHFLOW_RECEIVED</t>
        </is>
      </c>
      <c r="R660" t="inlineStr">
        <is>
          <t>SYRM_ACKNOWLEDGED</t>
        </is>
      </c>
      <c r="S660" t="inlineStr">
        <is>
          <t>View details</t>
        </is>
      </c>
    </row>
    <row r="661">
      <c r="A661" t="inlineStr">
        <is>
          <t>468341071172</t>
        </is>
      </c>
      <c r="B661" t="inlineStr">
        <is>
          <t>Juniper Clearing New York</t>
        </is>
      </c>
      <c r="C661" t="inlineStr">
        <is>
          <t>794226063698</t>
        </is>
      </c>
      <c r="D661" t="inlineStr">
        <is>
          <t>Umberton Trust Tokyo</t>
        </is>
      </c>
      <c r="E661" t="inlineStr">
        <is>
          <t>EUR</t>
        </is>
      </c>
      <c r="F661" t="inlineStr">
        <is>
          <t>NT26081900655</t>
        </is>
      </c>
      <c r="G661" s="6" t="n">
        <v>46253</v>
      </c>
      <c r="H661" s="7" t="n">
        <v>8872150.5792</v>
      </c>
      <c r="I661" t="inlineStr">
        <is>
          <t>GBP</t>
        </is>
      </c>
      <c r="J661" s="7" t="n">
        <v>7612305.197</v>
      </c>
      <c r="K661" t="inlineStr">
        <is>
          <t>SYRM</t>
        </is>
      </c>
      <c r="L661" t="inlineStr">
        <is>
          <t>Liquidity sweep</t>
        </is>
      </c>
      <c r="M661" s="8" t="n">
        <v>46253.41118055556</v>
      </c>
      <c r="N661" t="inlineStr">
        <is>
          <t>Kai Merrick</t>
        </is>
      </c>
      <c r="O661" s="8" t="n">
        <v>46253.42229166667</v>
      </c>
      <c r="P661" t="inlineStr">
        <is>
          <t>Ellis Delaney</t>
        </is>
      </c>
      <c r="Q661" t="inlineStr">
        <is>
          <t>LEDGER_OR_CASHFLOW_RECEIVED</t>
        </is>
      </c>
      <c r="R661" t="inlineStr">
        <is>
          <t>SYRM_ACKNOWLEDGED</t>
        </is>
      </c>
      <c r="S661" t="inlineStr">
        <is>
          <t>View details</t>
        </is>
      </c>
    </row>
    <row r="662">
      <c r="A662" t="inlineStr">
        <is>
          <t>910703979141</t>
        </is>
      </c>
      <c r="B662" t="inlineStr">
        <is>
          <t>Bramble Trust Zurich</t>
        </is>
      </c>
      <c r="C662" t="inlineStr">
        <is>
          <t>968942362772</t>
        </is>
      </c>
      <c r="D662" t="inlineStr">
        <is>
          <t>Wrenfield Bank Paris</t>
        </is>
      </c>
      <c r="E662" t="inlineStr">
        <is>
          <t>CHF</t>
        </is>
      </c>
      <c r="F662" t="inlineStr">
        <is>
          <t>NT26081900656</t>
        </is>
      </c>
      <c r="G662" s="6" t="n">
        <v>46253</v>
      </c>
      <c r="H662" s="7" t="n">
        <v>311894403.5844</v>
      </c>
      <c r="I662" t="inlineStr">
        <is>
          <t>GBP</t>
        </is>
      </c>
      <c r="J662" s="7" t="n">
        <v>279769280.015</v>
      </c>
      <c r="K662" t="inlineStr">
        <is>
          <t>SWIFT</t>
        </is>
      </c>
      <c r="L662" t="inlineStr">
        <is>
          <t>Liquidity sweep</t>
        </is>
      </c>
      <c r="M662" s="8" t="n">
        <v>46253.70755787037</v>
      </c>
      <c r="N662" t="inlineStr">
        <is>
          <t>Oakley Fairweather</t>
        </is>
      </c>
      <c r="O662" s="8" t="n">
        <v>46253.71311342593</v>
      </c>
      <c r="P662" t="inlineStr">
        <is>
          <t>Harper Hollis</t>
        </is>
      </c>
      <c r="Q662" t="inlineStr">
        <is>
          <t>LEDGER_OR_CASHFLOW_RECEIVED</t>
        </is>
      </c>
      <c r="R662" t="inlineStr">
        <is>
          <t>SYRM_ACKNOWLEDGED</t>
        </is>
      </c>
      <c r="S662" t="inlineStr">
        <is>
          <t>View details</t>
        </is>
      </c>
    </row>
    <row r="663">
      <c r="A663" t="inlineStr">
        <is>
          <t>953625291146</t>
        </is>
      </c>
      <c r="B663" t="inlineStr">
        <is>
          <t>Ironbark Trust Dublin</t>
        </is>
      </c>
      <c r="C663" t="inlineStr">
        <is>
          <t>794226063698</t>
        </is>
      </c>
      <c r="D663" t="inlineStr">
        <is>
          <t>Juniper Bank Warsaw</t>
        </is>
      </c>
      <c r="E663" t="inlineStr">
        <is>
          <t>USD</t>
        </is>
      </c>
      <c r="F663" t="inlineStr">
        <is>
          <t>NT26081900657</t>
        </is>
      </c>
      <c r="G663" s="6" t="n">
        <v>46253</v>
      </c>
      <c r="H663" s="7" t="n">
        <v>654941408.1426001</v>
      </c>
      <c r="I663" t="inlineStr">
        <is>
          <t>GBP</t>
        </is>
      </c>
      <c r="J663" s="7" t="n">
        <v>513474063.984</v>
      </c>
      <c r="K663" t="inlineStr">
        <is>
          <t>SYRM</t>
        </is>
      </c>
      <c r="L663" t="inlineStr"/>
      <c r="M663" s="8" t="n">
        <v>46253.55109953704</v>
      </c>
      <c r="N663" t="inlineStr">
        <is>
          <t>Oakley Delaney</t>
        </is>
      </c>
      <c r="O663" s="8" t="n">
        <v>46253.59693287037</v>
      </c>
      <c r="P663" t="inlineStr">
        <is>
          <t>Tatum Ashford</t>
        </is>
      </c>
      <c r="Q663" t="inlineStr">
        <is>
          <t>LEDGER_OR_CASHFLOW_RECEIVED</t>
        </is>
      </c>
      <c r="R663" t="inlineStr">
        <is>
          <t>SYRM_PENDING</t>
        </is>
      </c>
      <c r="S663" t="inlineStr">
        <is>
          <t>View details</t>
        </is>
      </c>
    </row>
    <row r="664">
      <c r="A664" t="inlineStr">
        <is>
          <t>968942362772</t>
        </is>
      </c>
      <c r="B664" t="inlineStr">
        <is>
          <t>Larkspur Trust Hong Kong</t>
        </is>
      </c>
      <c r="C664" t="inlineStr">
        <is>
          <t>910703979141</t>
        </is>
      </c>
      <c r="D664" t="inlineStr">
        <is>
          <t>Wrenfield Trust Tokyo</t>
        </is>
      </c>
      <c r="E664" t="inlineStr">
        <is>
          <t>EUR</t>
        </is>
      </c>
      <c r="F664" t="inlineStr">
        <is>
          <t>NT26081900658</t>
        </is>
      </c>
      <c r="G664" s="6" t="n">
        <v>46253</v>
      </c>
      <c r="H664" s="7" t="n">
        <v>3305715009.0606</v>
      </c>
      <c r="I664" t="inlineStr">
        <is>
          <t>GBP</t>
        </is>
      </c>
      <c r="J664" s="7" t="n">
        <v>2836303477.774</v>
      </c>
      <c r="K664" t="inlineStr">
        <is>
          <t>SYRM</t>
        </is>
      </c>
      <c r="L664" t="inlineStr">
        <is>
          <t>Liquidity sweep</t>
        </is>
      </c>
      <c r="M664" s="8" t="n">
        <v>46253.62390046296</v>
      </c>
      <c r="N664" t="inlineStr">
        <is>
          <t>Wren Delaney</t>
        </is>
      </c>
      <c r="O664" s="8" t="n">
        <v>46253.67251157408</v>
      </c>
      <c r="P664" t="inlineStr">
        <is>
          <t>Oakley Fairweather</t>
        </is>
      </c>
      <c r="Q664" t="inlineStr">
        <is>
          <t>LEDGER_OR_CASHFLOW_RECEIVED</t>
        </is>
      </c>
      <c r="R664" t="inlineStr">
        <is>
          <t>SYRM_PENDING</t>
        </is>
      </c>
      <c r="S664" t="inlineStr">
        <is>
          <t>View details</t>
        </is>
      </c>
    </row>
    <row r="665">
      <c r="A665" t="inlineStr">
        <is>
          <t>726928343448</t>
        </is>
      </c>
      <c r="B665" t="inlineStr">
        <is>
          <t>Nightjar Clearing Dublin</t>
        </is>
      </c>
      <c r="C665" t="inlineStr">
        <is>
          <t>468341071172</t>
        </is>
      </c>
      <c r="D665" t="inlineStr">
        <is>
          <t>Wrenfield Clearing Mexico City</t>
        </is>
      </c>
      <c r="E665" t="inlineStr">
        <is>
          <t>EUR</t>
        </is>
      </c>
      <c r="F665" t="inlineStr">
        <is>
          <t>NT26081900659</t>
        </is>
      </c>
      <c r="G665" s="6" t="n">
        <v>46253</v>
      </c>
      <c r="H665" s="7" t="n">
        <v>46500.6024</v>
      </c>
      <c r="I665" t="inlineStr">
        <is>
          <t>GBP</t>
        </is>
      </c>
      <c r="J665" s="7" t="n">
        <v>39897.517</v>
      </c>
      <c r="K665" t="inlineStr">
        <is>
          <t>SWIFT</t>
        </is>
      </c>
      <c r="L665" t="inlineStr"/>
      <c r="M665" s="8" t="n">
        <v>46253.05609953704</v>
      </c>
      <c r="N665" t="inlineStr">
        <is>
          <t>Finley Jennings</t>
        </is>
      </c>
      <c r="O665" s="8" t="n">
        <v>46253.06373842592</v>
      </c>
      <c r="P665" t="inlineStr">
        <is>
          <t>Sawyer Calloway</t>
        </is>
      </c>
      <c r="Q665" t="inlineStr">
        <is>
          <t>LEDGER_OR_CASHFLOW_RECEIVED</t>
        </is>
      </c>
      <c r="R665" t="inlineStr">
        <is>
          <t>SYRM_ACKNOWLEDGED</t>
        </is>
      </c>
      <c r="S665" t="inlineStr">
        <is>
          <t>View details</t>
        </is>
      </c>
    </row>
    <row r="666">
      <c r="A666" t="inlineStr">
        <is>
          <t>468341071172</t>
        </is>
      </c>
      <c r="B666" t="inlineStr">
        <is>
          <t>Pinehurst Settlement Bank Frankfurt</t>
        </is>
      </c>
      <c r="C666" t="inlineStr">
        <is>
          <t>113829985108</t>
        </is>
      </c>
      <c r="D666" t="inlineStr">
        <is>
          <t>Yarrow Bank Stockholm</t>
        </is>
      </c>
      <c r="E666" t="inlineStr">
        <is>
          <t>EUR</t>
        </is>
      </c>
      <c r="F666" t="inlineStr">
        <is>
          <t>NT26081900660</t>
        </is>
      </c>
      <c r="G666" s="6" t="n">
        <v>46253</v>
      </c>
      <c r="H666" s="7" t="n">
        <v>1480458855.2724</v>
      </c>
      <c r="I666" t="inlineStr">
        <is>
          <t>GBP</t>
        </is>
      </c>
      <c r="J666" s="7" t="n">
        <v>1270233697.824</v>
      </c>
      <c r="K666" t="inlineStr">
        <is>
          <t>SYRM</t>
        </is>
      </c>
      <c r="L666" t="inlineStr">
        <is>
          <t>Intraday top-up</t>
        </is>
      </c>
      <c r="M666" s="8" t="n">
        <v>46253.29695601852</v>
      </c>
      <c r="N666" t="inlineStr">
        <is>
          <t>Noor Sinclair</t>
        </is>
      </c>
      <c r="O666" s="8" t="n">
        <v>46253.30251157407</v>
      </c>
      <c r="P666" t="inlineStr">
        <is>
          <t>Ellis Gallagher</t>
        </is>
      </c>
      <c r="Q666" t="inlineStr">
        <is>
          <t>LEDGER_OR_CASHFLOW_RECEIVED</t>
        </is>
      </c>
      <c r="R666" t="inlineStr">
        <is>
          <t>SYRM_ACKNOWLEDGED</t>
        </is>
      </c>
      <c r="S666" t="inlineStr">
        <is>
          <t>View details</t>
        </is>
      </c>
    </row>
    <row r="667">
      <c r="A667" t="inlineStr">
        <is>
          <t>910703979141</t>
        </is>
      </c>
      <c r="B667" t="inlineStr">
        <is>
          <t>Mallow Settlement Bank Warsaw</t>
        </is>
      </c>
      <c r="C667" t="inlineStr">
        <is>
          <t>898317028833</t>
        </is>
      </c>
      <c r="D667" t="inlineStr">
        <is>
          <t>Bramble Trust Zurich</t>
        </is>
      </c>
      <c r="E667" t="inlineStr">
        <is>
          <t>CHF</t>
        </is>
      </c>
      <c r="F667" t="inlineStr">
        <is>
          <t>NT26081900661</t>
        </is>
      </c>
      <c r="G667" s="6" t="n">
        <v>46253</v>
      </c>
      <c r="H667" s="7" t="n">
        <v>591343648.0596</v>
      </c>
      <c r="I667" t="inlineStr">
        <is>
          <t>GBP</t>
        </is>
      </c>
      <c r="J667" s="7" t="n">
        <v>530435252.309</v>
      </c>
      <c r="K667" t="inlineStr">
        <is>
          <t>SYRM</t>
        </is>
      </c>
      <c r="L667" t="inlineStr"/>
      <c r="M667" s="8" t="n">
        <v>46253.41751157407</v>
      </c>
      <c r="N667" t="inlineStr">
        <is>
          <t>Devon Calloway</t>
        </is>
      </c>
      <c r="O667" s="8" t="n">
        <v>46253.45153935185</v>
      </c>
      <c r="P667" t="inlineStr">
        <is>
          <t>Ellis Delaney</t>
        </is>
      </c>
      <c r="Q667" t="inlineStr">
        <is>
          <t>LEDGER_OR_CASHFLOW_RECEIVED</t>
        </is>
      </c>
      <c r="R667" t="inlineStr">
        <is>
          <t>SYRM_ACKNOWLEDGED</t>
        </is>
      </c>
      <c r="S667" t="inlineStr">
        <is>
          <t>View details</t>
        </is>
      </c>
    </row>
    <row r="668">
      <c r="A668" t="inlineStr">
        <is>
          <t>968942362772</t>
        </is>
      </c>
      <c r="B668" t="inlineStr">
        <is>
          <t>Pinehurst Commercial Bank Stockholm</t>
        </is>
      </c>
      <c r="C668" t="inlineStr">
        <is>
          <t>794226063698</t>
        </is>
      </c>
      <c r="D668" t="inlineStr">
        <is>
          <t>Pinehurst Commercial Bank Sydney</t>
        </is>
      </c>
      <c r="E668" t="inlineStr">
        <is>
          <t>EUR</t>
        </is>
      </c>
      <c r="F668" t="inlineStr">
        <is>
          <t>NT26081900662</t>
        </is>
      </c>
      <c r="G668" s="6" t="n">
        <v>46253</v>
      </c>
      <c r="H668" s="7" t="n">
        <v>139072892.7978</v>
      </c>
      <c r="I668" t="inlineStr">
        <is>
          <t>GBP</t>
        </is>
      </c>
      <c r="J668" s="7" t="n">
        <v>119324542.021</v>
      </c>
      <c r="K668" t="inlineStr">
        <is>
          <t>SWIFT</t>
        </is>
      </c>
      <c r="L668" t="inlineStr"/>
      <c r="M668" s="8" t="n">
        <v>46253.59833333334</v>
      </c>
      <c r="N668" t="inlineStr">
        <is>
          <t>Quinn Osgood</t>
        </is>
      </c>
      <c r="O668" s="8" t="n">
        <v>46253.61222222223</v>
      </c>
      <c r="P668" t="inlineStr">
        <is>
          <t>Devon Jennings</t>
        </is>
      </c>
      <c r="Q668" t="inlineStr">
        <is>
          <t>LEDGER_OR_CASHFLOW_RECEIVED</t>
        </is>
      </c>
      <c r="R668" t="inlineStr">
        <is>
          <t>SYRM_ACKNOWLEDGED</t>
        </is>
      </c>
      <c r="S668" t="inlineStr">
        <is>
          <t>View details</t>
        </is>
      </c>
    </row>
    <row r="669">
      <c r="A669" t="inlineStr">
        <is>
          <t>910703979141</t>
        </is>
      </c>
      <c r="B669" t="inlineStr">
        <is>
          <t>Zephyr Bank Singapore</t>
        </is>
      </c>
      <c r="C669" t="inlineStr">
        <is>
          <t>132544340094</t>
        </is>
      </c>
      <c r="D669" t="inlineStr">
        <is>
          <t>Pinehurst Commercial Bank Sydney</t>
        </is>
      </c>
      <c r="E669" t="inlineStr">
        <is>
          <t>CHF</t>
        </is>
      </c>
      <c r="F669" t="inlineStr">
        <is>
          <t>NT26081900663</t>
        </is>
      </c>
      <c r="G669" s="6" t="n">
        <v>46253</v>
      </c>
      <c r="H669" s="7" t="n">
        <v>10862672.6484</v>
      </c>
      <c r="I669" t="inlineStr">
        <is>
          <t>GBP</t>
        </is>
      </c>
      <c r="J669" s="7" t="n">
        <v>9743817.366</v>
      </c>
      <c r="K669" t="inlineStr">
        <is>
          <t>SYRM</t>
        </is>
      </c>
      <c r="L669" t="inlineStr"/>
      <c r="M669" s="8" t="n">
        <v>46253.57163194445</v>
      </c>
      <c r="N669" t="inlineStr">
        <is>
          <t>Marlow Thorne</t>
        </is>
      </c>
      <c r="O669" s="8" t="n">
        <v>46253.58552083333</v>
      </c>
      <c r="P669" t="inlineStr">
        <is>
          <t>Quinn Lindqvist</t>
        </is>
      </c>
      <c r="Q669" t="inlineStr">
        <is>
          <t>LEDGER_OR_CASHFLOW_RECEIVED</t>
        </is>
      </c>
      <c r="R669" t="inlineStr">
        <is>
          <t>SYRM_ACKNOWLEDGED</t>
        </is>
      </c>
      <c r="S669" t="inlineStr">
        <is>
          <t>View details</t>
        </is>
      </c>
    </row>
    <row r="670">
      <c r="A670" t="inlineStr">
        <is>
          <t>150316825069</t>
        </is>
      </c>
      <c r="B670" t="inlineStr">
        <is>
          <t>Pinehurst Commercial Bank Stockholm</t>
        </is>
      </c>
      <c r="C670" t="inlineStr">
        <is>
          <t>150316825069</t>
        </is>
      </c>
      <c r="D670" t="inlineStr">
        <is>
          <t>Ironbark Trust Dublin</t>
        </is>
      </c>
      <c r="E670" t="inlineStr">
        <is>
          <t>GBP</t>
        </is>
      </c>
      <c r="F670" t="inlineStr">
        <is>
          <t>NT26081900664</t>
        </is>
      </c>
      <c r="G670" s="6" t="n">
        <v>46253</v>
      </c>
      <c r="H670" s="7" t="n">
        <v>1114324.5168</v>
      </c>
      <c r="I670" t="inlineStr">
        <is>
          <t>GBP</t>
        </is>
      </c>
      <c r="J670" s="7" t="n">
        <v>1114324.517</v>
      </c>
      <c r="K670" t="inlineStr">
        <is>
          <t>SWIFT</t>
        </is>
      </c>
      <c r="L670" t="inlineStr">
        <is>
          <t>Intraday top-up</t>
        </is>
      </c>
      <c r="M670" s="8" t="n">
        <v>46253.67178240741</v>
      </c>
      <c r="N670" t="inlineStr">
        <is>
          <t>Noor Brookes</t>
        </is>
      </c>
      <c r="O670" s="8" t="n">
        <v>46253.72178240741</v>
      </c>
      <c r="P670" t="inlineStr">
        <is>
          <t>Wren Fairweather</t>
        </is>
      </c>
      <c r="Q670" t="inlineStr">
        <is>
          <t>LEDGER_OR_CASHFLOW_RECEIVED</t>
        </is>
      </c>
      <c r="R670" t="inlineStr">
        <is>
          <t>SYRM_ACKNOWLEDGED</t>
        </is>
      </c>
      <c r="S670" t="inlineStr">
        <is>
          <t>View details</t>
        </is>
      </c>
    </row>
    <row r="671">
      <c r="A671" t="inlineStr">
        <is>
          <t>120047354818</t>
        </is>
      </c>
      <c r="B671" t="inlineStr">
        <is>
          <t>Yarrow Bank Stockholm</t>
        </is>
      </c>
      <c r="C671" t="inlineStr">
        <is>
          <t>621381112674</t>
        </is>
      </c>
      <c r="D671" t="inlineStr">
        <is>
          <t>Thornbury Commercial Bank London</t>
        </is>
      </c>
      <c r="E671" t="inlineStr">
        <is>
          <t>USD</t>
        </is>
      </c>
      <c r="F671" t="inlineStr">
        <is>
          <t>NT26081900665</t>
        </is>
      </c>
      <c r="G671" s="6" t="n">
        <v>46253</v>
      </c>
      <c r="H671" s="7" t="n">
        <v>3971.8512</v>
      </c>
      <c r="I671" t="inlineStr">
        <is>
          <t>GBP</t>
        </is>
      </c>
      <c r="J671" s="7" t="n">
        <v>3113.931</v>
      </c>
      <c r="K671" t="inlineStr">
        <is>
          <t>SWIFT</t>
        </is>
      </c>
      <c r="L671" t="inlineStr">
        <is>
          <t>Balance alignment</t>
        </is>
      </c>
      <c r="M671" s="8" t="n">
        <v>46253.50935185186</v>
      </c>
      <c r="N671" t="inlineStr">
        <is>
          <t>Devon Jennings</t>
        </is>
      </c>
      <c r="O671" s="8" t="n">
        <v>46253.53782407408</v>
      </c>
      <c r="P671" t="inlineStr">
        <is>
          <t>Devon Calloway</t>
        </is>
      </c>
      <c r="Q671" t="inlineStr">
        <is>
          <t>LEDGER_OR_CASHFLOW_RECEIVED</t>
        </is>
      </c>
      <c r="R671" t="inlineStr">
        <is>
          <t>SYRM_ACKNOWLEDGED</t>
        </is>
      </c>
      <c r="S671" t="inlineStr">
        <is>
          <t>View details</t>
        </is>
      </c>
    </row>
    <row r="672">
      <c r="A672" t="inlineStr">
        <is>
          <t>150316825069</t>
        </is>
      </c>
      <c r="B672" t="inlineStr">
        <is>
          <t>Redstart Commercial Bank Stockholm</t>
        </is>
      </c>
      <c r="C672" t="inlineStr">
        <is>
          <t>700726936098</t>
        </is>
      </c>
      <c r="D672" t="inlineStr">
        <is>
          <t>Pinehurst Trust Toronto</t>
        </is>
      </c>
      <c r="E672" t="inlineStr">
        <is>
          <t>GBP</t>
        </is>
      </c>
      <c r="F672" t="inlineStr">
        <is>
          <t>NT26081900666</t>
        </is>
      </c>
      <c r="G672" s="6" t="n">
        <v>46253</v>
      </c>
      <c r="H672" s="7" t="n">
        <v>2961856.1124</v>
      </c>
      <c r="I672" t="inlineStr">
        <is>
          <t>GBP</t>
        </is>
      </c>
      <c r="J672" s="7" t="n">
        <v>2961856.112</v>
      </c>
      <c r="K672" t="inlineStr">
        <is>
          <t>SYRM</t>
        </is>
      </c>
      <c r="L672" t="inlineStr"/>
      <c r="M672" s="8" t="n">
        <v>46253.35097222222</v>
      </c>
      <c r="N672" t="inlineStr">
        <is>
          <t>Quinn Lindqvist</t>
        </is>
      </c>
      <c r="O672" s="8" t="n">
        <v>46253.40166666666</v>
      </c>
      <c r="P672" t="inlineStr">
        <is>
          <t>Harper Hollis</t>
        </is>
      </c>
      <c r="Q672" t="inlineStr">
        <is>
          <t>LEDGER_OR_CASHFLOW_RECEIVED</t>
        </is>
      </c>
      <c r="R672" t="inlineStr">
        <is>
          <t>SYRM_ACKNOWLEDGED</t>
        </is>
      </c>
      <c r="S672" t="inlineStr">
        <is>
          <t>View details</t>
        </is>
      </c>
    </row>
    <row r="673">
      <c r="A673" t="inlineStr">
        <is>
          <t>359365220160</t>
        </is>
      </c>
      <c r="B673" t="inlineStr">
        <is>
          <t>Umberton Commercial Bank Mexico City</t>
        </is>
      </c>
      <c r="C673" t="inlineStr">
        <is>
          <t>794226063698</t>
        </is>
      </c>
      <c r="D673" t="inlineStr">
        <is>
          <t>Juniper Clearing Hong Kong</t>
        </is>
      </c>
      <c r="E673" t="inlineStr">
        <is>
          <t>EUR</t>
        </is>
      </c>
      <c r="F673" t="inlineStr">
        <is>
          <t>NT26081900667</t>
        </is>
      </c>
      <c r="G673" s="6" t="n">
        <v>46253</v>
      </c>
      <c r="H673" s="7" t="n">
        <v>29427694.0092</v>
      </c>
      <c r="I673" t="inlineStr">
        <is>
          <t>GBP</t>
        </is>
      </c>
      <c r="J673" s="7" t="n">
        <v>25248961.46</v>
      </c>
      <c r="K673" t="inlineStr">
        <is>
          <t>SYRM</t>
        </is>
      </c>
      <c r="L673" t="inlineStr">
        <is>
          <t>Intraday top-up</t>
        </is>
      </c>
      <c r="M673" s="8" t="n">
        <v>46253.60381944444</v>
      </c>
      <c r="N673" t="inlineStr">
        <is>
          <t>Blake Fairweather</t>
        </is>
      </c>
      <c r="O673" s="8" t="n">
        <v>46253.66701388889</v>
      </c>
      <c r="P673" t="inlineStr">
        <is>
          <t>Wren Fairweather</t>
        </is>
      </c>
      <c r="Q673" t="inlineStr">
        <is>
          <t>LEDGER_OR_CASHFLOW_RECEIVED</t>
        </is>
      </c>
      <c r="R673" t="inlineStr">
        <is>
          <t>SYRM_ACKNOWLEDGED</t>
        </is>
      </c>
      <c r="S673" t="inlineStr">
        <is>
          <t>View details</t>
        </is>
      </c>
    </row>
    <row r="674">
      <c r="A674" t="inlineStr">
        <is>
          <t>794226063698</t>
        </is>
      </c>
      <c r="B674" t="inlineStr">
        <is>
          <t>Mallow Settlement Bank Oslo</t>
        </is>
      </c>
      <c r="C674" t="inlineStr">
        <is>
          <t>171857983160</t>
        </is>
      </c>
      <c r="D674" t="inlineStr">
        <is>
          <t>Dunlin Commercial Bank Warsaw</t>
        </is>
      </c>
      <c r="E674" t="inlineStr">
        <is>
          <t>AED</t>
        </is>
      </c>
      <c r="F674" t="inlineStr">
        <is>
          <t>NT26081900668</t>
        </is>
      </c>
      <c r="G674" s="6" t="n">
        <v>46253</v>
      </c>
      <c r="H674" s="7" t="n">
        <v>3282767.1144</v>
      </c>
      <c r="I674" t="inlineStr">
        <is>
          <t>GBP</t>
        </is>
      </c>
      <c r="J674" s="7" t="n">
        <v>699229.395</v>
      </c>
      <c r="K674" t="inlineStr">
        <is>
          <t>SYRM</t>
        </is>
      </c>
      <c r="L674" t="inlineStr">
        <is>
          <t>Intraday top-up</t>
        </is>
      </c>
      <c r="M674" s="8" t="n">
        <v>46253.54655092592</v>
      </c>
      <c r="N674" t="inlineStr">
        <is>
          <t>Quinn Osgood</t>
        </is>
      </c>
      <c r="O674" s="8" t="n">
        <v>46253.6118287037</v>
      </c>
      <c r="P674" t="inlineStr">
        <is>
          <t>Quinn Osgood</t>
        </is>
      </c>
      <c r="Q674" t="inlineStr">
        <is>
          <t>CASHFLOW_RECEIVED</t>
        </is>
      </c>
      <c r="R674" t="inlineStr">
        <is>
          <t>SYRM_ACKNOWLEDGED</t>
        </is>
      </c>
      <c r="S674" t="inlineStr">
        <is>
          <t>View details</t>
        </is>
      </c>
    </row>
    <row r="675">
      <c r="A675" t="inlineStr">
        <is>
          <t>968942362772</t>
        </is>
      </c>
      <c r="B675" t="inlineStr">
        <is>
          <t>Kestrel Bank Frankfurt</t>
        </is>
      </c>
      <c r="C675" t="inlineStr">
        <is>
          <t>968942362772</t>
        </is>
      </c>
      <c r="D675" t="inlineStr">
        <is>
          <t>Pinehurst Commercial Bank Stockholm</t>
        </is>
      </c>
      <c r="E675" t="inlineStr">
        <is>
          <t>EUR</t>
        </is>
      </c>
      <c r="F675" t="inlineStr">
        <is>
          <t>NT26081900669</t>
        </is>
      </c>
      <c r="G675" s="6" t="n">
        <v>46253</v>
      </c>
      <c r="H675" s="7" t="n">
        <v>1759589769.9096</v>
      </c>
      <c r="I675" t="inlineStr">
        <is>
          <t>GBP</t>
        </is>
      </c>
      <c r="J675" s="7" t="n">
        <v>1509728022.582</v>
      </c>
      <c r="K675" t="inlineStr">
        <is>
          <t>SYRM</t>
        </is>
      </c>
      <c r="L675" t="inlineStr">
        <is>
          <t>Balance alignment</t>
        </is>
      </c>
      <c r="M675" s="8" t="n">
        <v>46253.50326388889</v>
      </c>
      <c r="N675" t="inlineStr">
        <is>
          <t>Wren Delaney</t>
        </is>
      </c>
      <c r="O675" s="8" t="n">
        <v>46253.51368055555</v>
      </c>
      <c r="P675" t="inlineStr">
        <is>
          <t>Oakley Novak</t>
        </is>
      </c>
      <c r="Q675" t="inlineStr">
        <is>
          <t>LEDGER_OR_CASHFLOW_RECEIVED</t>
        </is>
      </c>
      <c r="R675" t="inlineStr">
        <is>
          <t>SYRM_ACKNOWLEDGED</t>
        </is>
      </c>
      <c r="S675" t="inlineStr">
        <is>
          <t>View details</t>
        </is>
      </c>
    </row>
    <row r="676">
      <c r="A676" t="inlineStr">
        <is>
          <t>499062838623</t>
        </is>
      </c>
      <c r="B676" t="inlineStr">
        <is>
          <t>Dunlin Commercial Bank Paris</t>
        </is>
      </c>
      <c r="C676" t="inlineStr">
        <is>
          <t>150316825069</t>
        </is>
      </c>
      <c r="D676" t="inlineStr">
        <is>
          <t>Zephyr Bank Madrid</t>
        </is>
      </c>
      <c r="E676" t="inlineStr">
        <is>
          <t>USD</t>
        </is>
      </c>
      <c r="F676" t="inlineStr">
        <is>
          <t>NT26081900670</t>
        </is>
      </c>
      <c r="G676" s="6" t="n">
        <v>46253</v>
      </c>
      <c r="H676" s="7" t="n">
        <v>2574313.0146</v>
      </c>
      <c r="I676" t="inlineStr">
        <is>
          <t>GBP</t>
        </is>
      </c>
      <c r="J676" s="7" t="n">
        <v>2018261.403</v>
      </c>
      <c r="K676" t="inlineStr">
        <is>
          <t>INTERNAL</t>
        </is>
      </c>
      <c r="L676" t="inlineStr">
        <is>
          <t>Liquidity sweep</t>
        </is>
      </c>
      <c r="M676" s="8" t="n">
        <v>46253.71173611111</v>
      </c>
      <c r="N676" t="inlineStr">
        <is>
          <t>Devon Delaney</t>
        </is>
      </c>
      <c r="O676" s="8" t="n">
        <v>46253.72284722222</v>
      </c>
      <c r="P676" t="inlineStr">
        <is>
          <t>Kai Merrick</t>
        </is>
      </c>
      <c r="Q676" t="inlineStr">
        <is>
          <t>LEDGER_OR_CASHFLOW_RECEIVED</t>
        </is>
      </c>
      <c r="R676" t="inlineStr">
        <is>
          <t>SYRM_ACKNOWLEDGED</t>
        </is>
      </c>
      <c r="S676" t="inlineStr">
        <is>
          <t>View details</t>
        </is>
      </c>
    </row>
    <row r="677">
      <c r="A677" t="inlineStr">
        <is>
          <t>150316825069</t>
        </is>
      </c>
      <c r="B677" t="inlineStr">
        <is>
          <t>Pinehurst Clearing Oslo</t>
        </is>
      </c>
      <c r="C677" t="inlineStr">
        <is>
          <t>499062838623</t>
        </is>
      </c>
      <c r="D677" t="inlineStr">
        <is>
          <t>Yarrow Settlement Bank Oslo</t>
        </is>
      </c>
      <c r="E677" t="inlineStr">
        <is>
          <t>GBP</t>
        </is>
      </c>
      <c r="F677" t="inlineStr">
        <is>
          <t>NT26081900671</t>
        </is>
      </c>
      <c r="G677" s="6" t="n">
        <v>46253</v>
      </c>
      <c r="H677" s="7" t="n">
        <v>387550137.3894</v>
      </c>
      <c r="I677" t="inlineStr">
        <is>
          <t>GBP</t>
        </is>
      </c>
      <c r="J677" s="7" t="n">
        <v>387550137.389</v>
      </c>
      <c r="K677" t="inlineStr">
        <is>
          <t>SYRM</t>
        </is>
      </c>
      <c r="L677" t="inlineStr">
        <is>
          <t>Balance alignment</t>
        </is>
      </c>
      <c r="M677" s="8" t="n">
        <v>46253.65696759259</v>
      </c>
      <c r="N677" t="inlineStr">
        <is>
          <t>Blake Fairweather</t>
        </is>
      </c>
      <c r="O677" s="8" t="n">
        <v>46253.70974537037</v>
      </c>
      <c r="P677" t="inlineStr">
        <is>
          <t>Greer Prentice</t>
        </is>
      </c>
      <c r="Q677" t="inlineStr">
        <is>
          <t>LEDGER_OR_CASHFLOW_RECEIVED</t>
        </is>
      </c>
      <c r="R677" t="inlineStr">
        <is>
          <t>SYRM_ACKNOWLEDGED</t>
        </is>
      </c>
      <c r="S677" t="inlineStr">
        <is>
          <t>View details</t>
        </is>
      </c>
    </row>
    <row r="678">
      <c r="A678" t="inlineStr">
        <is>
          <t>113829985108</t>
        </is>
      </c>
      <c r="B678" t="inlineStr">
        <is>
          <t>Granite Trust Frankfurt</t>
        </is>
      </c>
      <c r="C678" t="inlineStr">
        <is>
          <t>150316825069</t>
        </is>
      </c>
      <c r="D678" t="inlineStr">
        <is>
          <t>Zephyr Bank Madrid</t>
        </is>
      </c>
      <c r="E678" t="inlineStr">
        <is>
          <t>EUR</t>
        </is>
      </c>
      <c r="F678" t="inlineStr">
        <is>
          <t>NT26081900672</t>
        </is>
      </c>
      <c r="G678" s="6" t="n">
        <v>46253</v>
      </c>
      <c r="H678" s="7" t="n">
        <v>206850518.6166</v>
      </c>
      <c r="I678" t="inlineStr">
        <is>
          <t>GBP</t>
        </is>
      </c>
      <c r="J678" s="7" t="n">
        <v>177477744.973</v>
      </c>
      <c r="K678" t="inlineStr">
        <is>
          <t>SYRM</t>
        </is>
      </c>
      <c r="L678" t="inlineStr">
        <is>
          <t>Balance alignment</t>
        </is>
      </c>
      <c r="M678" s="8" t="n">
        <v>46253.62629629629</v>
      </c>
      <c r="N678" t="inlineStr">
        <is>
          <t>Avery Sinclair</t>
        </is>
      </c>
      <c r="O678" s="8" t="n">
        <v>46253.67837962963</v>
      </c>
      <c r="P678" t="inlineStr">
        <is>
          <t>Lennox Ellison</t>
        </is>
      </c>
      <c r="Q678" t="inlineStr">
        <is>
          <t>LEDGER_OR_CASHFLOW_RECEIVED</t>
        </is>
      </c>
      <c r="R678" t="inlineStr">
        <is>
          <t>SYRM_ACKNOWLEDGED</t>
        </is>
      </c>
      <c r="S678" t="inlineStr">
        <is>
          <t>View details</t>
        </is>
      </c>
    </row>
    <row r="679">
      <c r="A679" t="inlineStr">
        <is>
          <t>824840705580</t>
        </is>
      </c>
      <c r="B679" t="inlineStr">
        <is>
          <t>Juniper Trust London</t>
        </is>
      </c>
      <c r="C679" t="inlineStr">
        <is>
          <t>150316825069</t>
        </is>
      </c>
      <c r="D679" t="inlineStr">
        <is>
          <t>Zephyr Settlement Bank New York</t>
        </is>
      </c>
      <c r="E679" t="inlineStr">
        <is>
          <t>EUR</t>
        </is>
      </c>
      <c r="F679" t="inlineStr">
        <is>
          <t>NT26081900673</t>
        </is>
      </c>
      <c r="G679" s="6" t="n">
        <v>46253</v>
      </c>
      <c r="H679" s="7" t="n">
        <v>602238.5118</v>
      </c>
      <c r="I679" t="inlineStr">
        <is>
          <t>GBP</t>
        </is>
      </c>
      <c r="J679" s="7" t="n">
        <v>516720.643</v>
      </c>
      <c r="K679" t="inlineStr">
        <is>
          <t>SWIFT</t>
        </is>
      </c>
      <c r="L679" t="inlineStr">
        <is>
          <t>Funding move</t>
        </is>
      </c>
      <c r="M679" s="8" t="n">
        <v>46253.20107638889</v>
      </c>
      <c r="N679" t="inlineStr">
        <is>
          <t>Harper Calloway</t>
        </is>
      </c>
      <c r="O679" s="8" t="n">
        <v>46253.20871527777</v>
      </c>
      <c r="P679" t="inlineStr">
        <is>
          <t>Marlow Thorne</t>
        </is>
      </c>
      <c r="Q679" t="inlineStr">
        <is>
          <t>LEDGER_OR_CASHFLOW_RECEIVED</t>
        </is>
      </c>
      <c r="R679" t="inlineStr">
        <is>
          <t>SYRM_ACKNOWLEDGED</t>
        </is>
      </c>
      <c r="S679" t="inlineStr">
        <is>
          <t>View details</t>
        </is>
      </c>
    </row>
    <row r="680">
      <c r="A680" t="inlineStr">
        <is>
          <t>794226063698</t>
        </is>
      </c>
      <c r="B680" t="inlineStr">
        <is>
          <t>Larkspur Clearing New York</t>
        </is>
      </c>
      <c r="C680" t="inlineStr">
        <is>
          <t>824840705580</t>
        </is>
      </c>
      <c r="D680" t="inlineStr">
        <is>
          <t>Mallow Commercial Bank Mexico City</t>
        </is>
      </c>
      <c r="E680" t="inlineStr">
        <is>
          <t>AED</t>
        </is>
      </c>
      <c r="F680" t="inlineStr">
        <is>
          <t>NT26081900674</t>
        </is>
      </c>
      <c r="G680" s="6" t="n">
        <v>46253</v>
      </c>
      <c r="H680" s="7" t="n">
        <v>92825203.9878</v>
      </c>
      <c r="I680" t="inlineStr">
        <is>
          <t>GBP</t>
        </is>
      </c>
      <c r="J680" s="7" t="n">
        <v>19771768.449</v>
      </c>
      <c r="K680" t="inlineStr">
        <is>
          <t>SYRM</t>
        </is>
      </c>
      <c r="L680" t="inlineStr">
        <is>
          <t>Balance alignment</t>
        </is>
      </c>
      <c r="M680" s="8" t="n">
        <v>46253.29986111111</v>
      </c>
      <c r="N680" t="inlineStr">
        <is>
          <t>Wren Delaney</t>
        </is>
      </c>
      <c r="O680" s="8" t="n">
        <v>46253.32486111111</v>
      </c>
      <c r="P680" t="inlineStr">
        <is>
          <t>Avery Sinclair</t>
        </is>
      </c>
      <c r="Q680" t="inlineStr">
        <is>
          <t>LEDGER_OR_CASHFLOW_RECEIVED</t>
        </is>
      </c>
      <c r="R680" t="inlineStr">
        <is>
          <t>SYRM_ACKNOWLEDGED</t>
        </is>
      </c>
      <c r="S680" t="inlineStr">
        <is>
          <t>View details</t>
        </is>
      </c>
    </row>
    <row r="681">
      <c r="A681" t="inlineStr">
        <is>
          <t>150316825069</t>
        </is>
      </c>
      <c r="B681" t="inlineStr">
        <is>
          <t>Nightjar Clearing Dublin</t>
        </is>
      </c>
      <c r="C681" t="inlineStr">
        <is>
          <t>968942362772</t>
        </is>
      </c>
      <c r="D681" t="inlineStr">
        <is>
          <t>Bramble Bank Milan</t>
        </is>
      </c>
      <c r="E681" t="inlineStr">
        <is>
          <t>GBP</t>
        </is>
      </c>
      <c r="F681" t="inlineStr">
        <is>
          <t>NT26081900675</t>
        </is>
      </c>
      <c r="G681" s="6" t="n">
        <v>46253</v>
      </c>
      <c r="H681" s="7" t="n">
        <v>651610.9656</v>
      </c>
      <c r="I681" t="inlineStr">
        <is>
          <t>GBP</t>
        </is>
      </c>
      <c r="J681" s="7" t="n">
        <v>651610.966</v>
      </c>
      <c r="K681" t="inlineStr">
        <is>
          <t>SYRM</t>
        </is>
      </c>
      <c r="L681" t="inlineStr">
        <is>
          <t>Liquidity sweep</t>
        </is>
      </c>
      <c r="M681" s="8" t="n">
        <v>46253.68223379629</v>
      </c>
      <c r="N681" t="inlineStr">
        <is>
          <t>Kai Novak</t>
        </is>
      </c>
      <c r="O681" s="8" t="n">
        <v>46253.70237268518</v>
      </c>
      <c r="P681" t="inlineStr">
        <is>
          <t>Oakley Rhodes</t>
        </is>
      </c>
      <c r="Q681" t="inlineStr">
        <is>
          <t>LEDGER_RECEIVED</t>
        </is>
      </c>
      <c r="R681" t="inlineStr">
        <is>
          <t>SYRM_ACKNOWLEDGED</t>
        </is>
      </c>
      <c r="S681" t="inlineStr">
        <is>
          <t>View details</t>
        </is>
      </c>
    </row>
    <row r="682">
      <c r="A682" t="inlineStr">
        <is>
          <t>794226063698</t>
        </is>
      </c>
      <c r="B682" t="inlineStr">
        <is>
          <t>Juniper Clearing Hong Kong</t>
        </is>
      </c>
      <c r="C682" t="inlineStr">
        <is>
          <t>150316825069</t>
        </is>
      </c>
      <c r="D682" t="inlineStr">
        <is>
          <t>Wrenfield Bank Paris</t>
        </is>
      </c>
      <c r="E682" t="inlineStr">
        <is>
          <t>AED</t>
        </is>
      </c>
      <c r="F682" t="inlineStr">
        <is>
          <t>NT26081900676</t>
        </is>
      </c>
      <c r="G682" s="6" t="n">
        <v>46253</v>
      </c>
      <c r="H682" s="7" t="n">
        <v>15088300.6968</v>
      </c>
      <c r="I682" t="inlineStr">
        <is>
          <t>GBP</t>
        </is>
      </c>
      <c r="J682" s="7" t="n">
        <v>3213808.048</v>
      </c>
      <c r="K682" t="inlineStr">
        <is>
          <t>SYRM</t>
        </is>
      </c>
      <c r="L682" t="inlineStr">
        <is>
          <t>Balance alignment</t>
        </is>
      </c>
      <c r="M682" s="8" t="n">
        <v>46253.52265046296</v>
      </c>
      <c r="N682" t="inlineStr">
        <is>
          <t>Quinn Hollis</t>
        </is>
      </c>
      <c r="O682" s="8" t="n">
        <v>46253.55528935185</v>
      </c>
      <c r="P682" t="inlineStr">
        <is>
          <t>Devon Jennings</t>
        </is>
      </c>
      <c r="Q682" t="inlineStr">
        <is>
          <t>LEDGER_OR_CASHFLOW_RECEIVED</t>
        </is>
      </c>
      <c r="R682" t="inlineStr">
        <is>
          <t>SYRM_ACKNOWLEDGED</t>
        </is>
      </c>
      <c r="S682" t="inlineStr">
        <is>
          <t>View details</t>
        </is>
      </c>
    </row>
    <row r="683">
      <c r="A683" t="inlineStr">
        <is>
          <t>621381112674</t>
        </is>
      </c>
      <c r="B683" t="inlineStr">
        <is>
          <t>Alder Settlement Bank Paris</t>
        </is>
      </c>
      <c r="C683" t="inlineStr">
        <is>
          <t>824840705580</t>
        </is>
      </c>
      <c r="D683" t="inlineStr">
        <is>
          <t>Bramble Trust Zurich</t>
        </is>
      </c>
      <c r="E683" t="inlineStr">
        <is>
          <t>PLN</t>
        </is>
      </c>
      <c r="F683" t="inlineStr">
        <is>
          <t>NT26081900677</t>
        </is>
      </c>
      <c r="G683" s="6" t="n">
        <v>46253</v>
      </c>
      <c r="H683" s="7" t="n">
        <v>2450410.092</v>
      </c>
      <c r="I683" t="inlineStr">
        <is>
          <t>GBP</t>
        </is>
      </c>
      <c r="J683" s="7" t="n">
        <v>485181.198</v>
      </c>
      <c r="K683" t="inlineStr">
        <is>
          <t>SYRM</t>
        </is>
      </c>
      <c r="L683" t="inlineStr">
        <is>
          <t>Liquidity sweep</t>
        </is>
      </c>
      <c r="M683" s="8" t="n">
        <v>46253.74186342592</v>
      </c>
      <c r="N683" t="inlineStr">
        <is>
          <t>Kai Merrick</t>
        </is>
      </c>
      <c r="O683" s="8" t="n">
        <v>46253.79533564814</v>
      </c>
      <c r="P683" t="inlineStr">
        <is>
          <t>Sawyer Calloway</t>
        </is>
      </c>
      <c r="Q683" t="inlineStr">
        <is>
          <t>LEDGER_OR_CASHFLOW_RECEIVED</t>
        </is>
      </c>
      <c r="R683" t="inlineStr">
        <is>
          <t>SYRM_ACKNOWLEDGED</t>
        </is>
      </c>
      <c r="S683" t="inlineStr">
        <is>
          <t>View details</t>
        </is>
      </c>
    </row>
    <row r="684">
      <c r="A684" t="inlineStr">
        <is>
          <t>113829985108</t>
        </is>
      </c>
      <c r="B684" t="inlineStr">
        <is>
          <t>Oriel Commercial Bank Toronto</t>
        </is>
      </c>
      <c r="C684" t="inlineStr">
        <is>
          <t>150316825069</t>
        </is>
      </c>
      <c r="D684" t="inlineStr">
        <is>
          <t>Wrenfield Commercial Bank Oslo</t>
        </is>
      </c>
      <c r="E684" t="inlineStr">
        <is>
          <t>EUR</t>
        </is>
      </c>
      <c r="F684" t="inlineStr">
        <is>
          <t>NT26081900678</t>
        </is>
      </c>
      <c r="G684" s="6" t="n">
        <v>46253</v>
      </c>
      <c r="H684" s="7" t="n">
        <v>39661187978.0034</v>
      </c>
      <c r="I684" t="inlineStr">
        <is>
          <t>GBP</t>
        </is>
      </c>
      <c r="J684" s="7" t="n">
        <v>34029299285.127</v>
      </c>
      <c r="K684" t="inlineStr">
        <is>
          <t>SYRM</t>
        </is>
      </c>
      <c r="L684" t="inlineStr">
        <is>
          <t>Funding move</t>
        </is>
      </c>
      <c r="M684" s="8" t="n">
        <v>46253.76465277778</v>
      </c>
      <c r="N684" t="inlineStr">
        <is>
          <t>Devon Delaney</t>
        </is>
      </c>
      <c r="O684" s="8" t="n">
        <v>46253.82020833333</v>
      </c>
      <c r="P684" t="inlineStr">
        <is>
          <t>Tatum Ashford</t>
        </is>
      </c>
      <c r="Q684" t="inlineStr">
        <is>
          <t>LEDGER_OR_CASHFLOW_RECEIVED</t>
        </is>
      </c>
      <c r="R684" t="inlineStr">
        <is>
          <t>SYRM_ACKNOWLEDGED</t>
        </is>
      </c>
      <c r="S684" t="inlineStr">
        <is>
          <t>View details</t>
        </is>
      </c>
    </row>
    <row r="685">
      <c r="A685" t="inlineStr">
        <is>
          <t>927538182434</t>
        </is>
      </c>
      <c r="B685" t="inlineStr">
        <is>
          <t>Bramble Settlement Bank Hong Kong</t>
        </is>
      </c>
      <c r="C685" t="inlineStr">
        <is>
          <t>171857983160</t>
        </is>
      </c>
      <c r="D685" t="inlineStr">
        <is>
          <t>Kestrel Bank Frankfurt</t>
        </is>
      </c>
      <c r="E685" t="inlineStr">
        <is>
          <t>CNY</t>
        </is>
      </c>
      <c r="F685" t="inlineStr">
        <is>
          <t>NT26081900679</t>
        </is>
      </c>
      <c r="G685" s="6" t="n">
        <v>46253</v>
      </c>
      <c r="H685" s="7" t="n">
        <v>36674792.5896</v>
      </c>
      <c r="I685" t="inlineStr">
        <is>
          <t>GBP</t>
        </is>
      </c>
      <c r="J685" s="7" t="n">
        <v>3997552.392</v>
      </c>
      <c r="K685" t="inlineStr">
        <is>
          <t>SYRM</t>
        </is>
      </c>
      <c r="L685" t="inlineStr">
        <is>
          <t>Liquidity sweep</t>
        </is>
      </c>
      <c r="M685" s="8" t="n">
        <v>46253.64704861111</v>
      </c>
      <c r="N685" t="inlineStr">
        <is>
          <t>Ellis Gallagher</t>
        </is>
      </c>
      <c r="O685" s="8" t="n">
        <v>46253.6671875</v>
      </c>
      <c r="P685" t="inlineStr">
        <is>
          <t>Noor Sinclair</t>
        </is>
      </c>
      <c r="Q685" t="inlineStr">
        <is>
          <t>LEDGER_OR_CASHFLOW_RECEIVED</t>
        </is>
      </c>
      <c r="R685" t="inlineStr">
        <is>
          <t>SYRM_ACKNOWLEDGED</t>
        </is>
      </c>
      <c r="S685" t="inlineStr">
        <is>
          <t>View details</t>
        </is>
      </c>
    </row>
    <row r="686">
      <c r="A686" t="inlineStr">
        <is>
          <t>468341071172</t>
        </is>
      </c>
      <c r="B686" t="inlineStr">
        <is>
          <t>Oriel Settlement Bank Madrid</t>
        </is>
      </c>
      <c r="C686" t="inlineStr">
        <is>
          <t>953625291146</t>
        </is>
      </c>
      <c r="D686" t="inlineStr">
        <is>
          <t>Mallow Trust Frankfurt</t>
        </is>
      </c>
      <c r="E686" t="inlineStr">
        <is>
          <t>EUR</t>
        </is>
      </c>
      <c r="F686" t="inlineStr">
        <is>
          <t>NT26081900680</t>
        </is>
      </c>
      <c r="G686" s="6" t="n">
        <v>46253</v>
      </c>
      <c r="H686" s="7" t="n">
        <v>448303685.301</v>
      </c>
      <c r="I686" t="inlineStr">
        <is>
          <t>GBP</t>
        </is>
      </c>
      <c r="J686" s="7" t="n">
        <v>384644561.988</v>
      </c>
      <c r="K686" t="inlineStr">
        <is>
          <t>SYRM</t>
        </is>
      </c>
      <c r="L686" t="inlineStr">
        <is>
          <t>Balance alignment</t>
        </is>
      </c>
      <c r="M686" s="8" t="n">
        <v>46253.30857638889</v>
      </c>
      <c r="N686" t="inlineStr">
        <is>
          <t>Ellis Delaney</t>
        </is>
      </c>
      <c r="O686" s="8" t="n">
        <v>46253.33427083334</v>
      </c>
      <c r="P686" t="inlineStr">
        <is>
          <t>Devon Calloway</t>
        </is>
      </c>
      <c r="Q686" t="inlineStr">
        <is>
          <t>LEDGER_OR_CASHFLOW_RECEIVED</t>
        </is>
      </c>
      <c r="R686" t="inlineStr">
        <is>
          <t>SYRM_ACKNOWLEDGED</t>
        </is>
      </c>
      <c r="S686" t="inlineStr">
        <is>
          <t>View details</t>
        </is>
      </c>
    </row>
    <row r="687">
      <c r="A687" t="inlineStr">
        <is>
          <t>150316825069</t>
        </is>
      </c>
      <c r="B687" t="inlineStr">
        <is>
          <t>Cedar Settlement Bank Hong Kong</t>
        </is>
      </c>
      <c r="C687" t="inlineStr">
        <is>
          <t>499062838623</t>
        </is>
      </c>
      <c r="D687" t="inlineStr">
        <is>
          <t>Fernway Trust Tokyo</t>
        </is>
      </c>
      <c r="E687" t="inlineStr">
        <is>
          <t>GBP</t>
        </is>
      </c>
      <c r="F687" t="inlineStr">
        <is>
          <t>NT26081900681</t>
        </is>
      </c>
      <c r="G687" s="6" t="n">
        <v>46253</v>
      </c>
      <c r="H687" s="7" t="n">
        <v>1167553227.0168</v>
      </c>
      <c r="I687" t="inlineStr">
        <is>
          <t>GBP</t>
        </is>
      </c>
      <c r="J687" s="7" t="n">
        <v>1167553227.017</v>
      </c>
      <c r="K687" t="inlineStr">
        <is>
          <t>SYRM</t>
        </is>
      </c>
      <c r="L687" t="inlineStr"/>
      <c r="M687" s="8" t="n">
        <v>46253.52953703704</v>
      </c>
      <c r="N687" t="inlineStr">
        <is>
          <t>Avery Prentice</t>
        </is>
      </c>
      <c r="O687" s="8" t="n">
        <v>46253.54828703704</v>
      </c>
      <c r="P687" t="inlineStr">
        <is>
          <t>Oakley Prentice</t>
        </is>
      </c>
      <c r="Q687" t="inlineStr">
        <is>
          <t>LEDGER_OR_CASHFLOW_RECEIVED</t>
        </is>
      </c>
      <c r="R687" t="inlineStr">
        <is>
          <t>SYRM_ACKNOWLEDGED</t>
        </is>
      </c>
      <c r="S687" t="inlineStr">
        <is>
          <t>View details</t>
        </is>
      </c>
    </row>
    <row r="688">
      <c r="A688" t="inlineStr">
        <is>
          <t>150316825069</t>
        </is>
      </c>
      <c r="B688" t="inlineStr">
        <is>
          <t>Harrow Bank Milan</t>
        </is>
      </c>
      <c r="C688" t="inlineStr">
        <is>
          <t>910703979141</t>
        </is>
      </c>
      <c r="D688" t="inlineStr">
        <is>
          <t>Thornbury Commercial Bank London</t>
        </is>
      </c>
      <c r="E688" t="inlineStr">
        <is>
          <t>GBP</t>
        </is>
      </c>
      <c r="F688" t="inlineStr">
        <is>
          <t>NT26081900682</t>
        </is>
      </c>
      <c r="G688" s="6" t="n">
        <v>46253</v>
      </c>
      <c r="H688" s="7" t="n">
        <v>50746028.4648</v>
      </c>
      <c r="I688" t="inlineStr">
        <is>
          <t>GBP</t>
        </is>
      </c>
      <c r="J688" s="7" t="n">
        <v>50746028.465</v>
      </c>
      <c r="K688" t="inlineStr">
        <is>
          <t>SYRM</t>
        </is>
      </c>
      <c r="L688" t="inlineStr"/>
      <c r="M688" s="8" t="n">
        <v>46253.66549768519</v>
      </c>
      <c r="N688" t="inlineStr">
        <is>
          <t>Quinn Kirby</t>
        </is>
      </c>
      <c r="O688" s="8" t="n">
        <v>46253.6953587963</v>
      </c>
      <c r="P688" t="inlineStr">
        <is>
          <t>Noor Sinclair</t>
        </is>
      </c>
      <c r="Q688" t="inlineStr">
        <is>
          <t>LEDGER_OR_CASHFLOW_RECEIVED</t>
        </is>
      </c>
      <c r="R688" t="inlineStr">
        <is>
          <t>SYRM_ACKNOWLEDGED</t>
        </is>
      </c>
      <c r="S688" t="inlineStr">
        <is>
          <t>View details</t>
        </is>
      </c>
    </row>
    <row r="689">
      <c r="A689" t="inlineStr">
        <is>
          <t>150316825069</t>
        </is>
      </c>
      <c r="B689" t="inlineStr">
        <is>
          <t>Harrow Bank Milan</t>
        </is>
      </c>
      <c r="C689" t="inlineStr">
        <is>
          <t>499062838623</t>
        </is>
      </c>
      <c r="D689" t="inlineStr">
        <is>
          <t>Granite Commercial Bank Milan</t>
        </is>
      </c>
      <c r="E689" t="inlineStr">
        <is>
          <t>GBP</t>
        </is>
      </c>
      <c r="F689" t="inlineStr">
        <is>
          <t>NT26081900683</t>
        </is>
      </c>
      <c r="G689" s="6" t="n">
        <v>46253</v>
      </c>
      <c r="H689" s="7" t="n">
        <v>33981288.2172</v>
      </c>
      <c r="I689" t="inlineStr">
        <is>
          <t>GBP</t>
        </is>
      </c>
      <c r="J689" s="7" t="n">
        <v>33981288.217</v>
      </c>
      <c r="K689" t="inlineStr">
        <is>
          <t>SYRM</t>
        </is>
      </c>
      <c r="L689" t="inlineStr">
        <is>
          <t>Funding move</t>
        </is>
      </c>
      <c r="M689" s="8" t="n">
        <v>46253.65362268518</v>
      </c>
      <c r="N689" t="inlineStr">
        <is>
          <t>Ellis Delaney</t>
        </is>
      </c>
      <c r="O689" s="8" t="n">
        <v>46253.65917824074</v>
      </c>
      <c r="P689" t="inlineStr">
        <is>
          <t>Kai Calloway</t>
        </is>
      </c>
      <c r="Q689" t="inlineStr">
        <is>
          <t>LEDGER_OR_CASHFLOW_RECEIVED</t>
        </is>
      </c>
      <c r="R689" t="inlineStr">
        <is>
          <t>SYRM_ACKNOWLEDGED</t>
        </is>
      </c>
      <c r="S689" t="inlineStr">
        <is>
          <t>View details</t>
        </is>
      </c>
    </row>
    <row r="690">
      <c r="A690" t="inlineStr">
        <is>
          <t>150316825069</t>
        </is>
      </c>
      <c r="B690" t="inlineStr">
        <is>
          <t>Nightjar Bank Stockholm</t>
        </is>
      </c>
      <c r="C690" t="inlineStr">
        <is>
          <t>150316825069</t>
        </is>
      </c>
      <c r="D690" t="inlineStr">
        <is>
          <t>Redstart Trust Mexico City</t>
        </is>
      </c>
      <c r="E690" t="inlineStr">
        <is>
          <t>GBP</t>
        </is>
      </c>
      <c r="F690" t="inlineStr">
        <is>
          <t>NT26081900684</t>
        </is>
      </c>
      <c r="G690" s="6" t="n">
        <v>46253</v>
      </c>
      <c r="H690" s="7" t="n">
        <v>17020.827</v>
      </c>
      <c r="I690" t="inlineStr">
        <is>
          <t>GBP</t>
        </is>
      </c>
      <c r="J690" s="7" t="n">
        <v>17020.827</v>
      </c>
      <c r="K690" t="inlineStr">
        <is>
          <t>SYRM</t>
        </is>
      </c>
      <c r="L690" t="inlineStr">
        <is>
          <t>Intraday top-up</t>
        </is>
      </c>
      <c r="M690" s="8" t="n">
        <v>46253.44075231482</v>
      </c>
      <c r="N690" t="inlineStr">
        <is>
          <t>Wren Fairweather</t>
        </is>
      </c>
      <c r="O690" s="8" t="n">
        <v>46253.47061342592</v>
      </c>
      <c r="P690" t="inlineStr">
        <is>
          <t>Noor Thorne</t>
        </is>
      </c>
      <c r="Q690" t="inlineStr">
        <is>
          <t>LEDGER_OR_CASHFLOW_RECEIVED</t>
        </is>
      </c>
      <c r="R690" t="inlineStr">
        <is>
          <t>SYRM_ACKNOWLEDGED</t>
        </is>
      </c>
      <c r="S690" t="inlineStr">
        <is>
          <t>View details</t>
        </is>
      </c>
    </row>
    <row r="691">
      <c r="A691" t="inlineStr">
        <is>
          <t>898317028833</t>
        </is>
      </c>
      <c r="B691" t="inlineStr">
        <is>
          <t>Kestrel Bank Frankfurt</t>
        </is>
      </c>
      <c r="C691" t="inlineStr">
        <is>
          <t>132544340094</t>
        </is>
      </c>
      <c r="D691" t="inlineStr">
        <is>
          <t>Zephyr Commercial Bank Oslo</t>
        </is>
      </c>
      <c r="E691" t="inlineStr">
        <is>
          <t>GBP</t>
        </is>
      </c>
      <c r="F691" t="inlineStr">
        <is>
          <t>NT26081900685</t>
        </is>
      </c>
      <c r="G691" s="6" t="n">
        <v>46253</v>
      </c>
      <c r="H691" s="7" t="n">
        <v>34550771.9778</v>
      </c>
      <c r="I691" t="inlineStr">
        <is>
          <t>GBP</t>
        </is>
      </c>
      <c r="J691" s="7" t="n">
        <v>34550771.978</v>
      </c>
      <c r="K691" t="inlineStr">
        <is>
          <t>INTERNAL</t>
        </is>
      </c>
      <c r="L691" t="inlineStr">
        <is>
          <t>Balance alignment</t>
        </is>
      </c>
      <c r="M691" s="8" t="n">
        <v>46253.59606481482</v>
      </c>
      <c r="N691" t="inlineStr">
        <is>
          <t>Kai Novak</t>
        </is>
      </c>
      <c r="O691" s="8" t="n">
        <v>46253.62175925926</v>
      </c>
      <c r="P691" t="inlineStr">
        <is>
          <t>Harper Calloway</t>
        </is>
      </c>
      <c r="Q691" t="inlineStr">
        <is>
          <t>CASHFLOW_RECEIVED</t>
        </is>
      </c>
      <c r="R691" t="inlineStr">
        <is>
          <t>SYRM_ACKNOWLEDGED</t>
        </is>
      </c>
      <c r="S691" t="inlineStr">
        <is>
          <t>View details</t>
        </is>
      </c>
    </row>
    <row r="692">
      <c r="A692" t="inlineStr">
        <is>
          <t>726928343448</t>
        </is>
      </c>
      <c r="B692" t="inlineStr">
        <is>
          <t>Pinehurst Trust Toronto</t>
        </is>
      </c>
      <c r="C692" t="inlineStr">
        <is>
          <t>113829985108</t>
        </is>
      </c>
      <c r="D692" t="inlineStr">
        <is>
          <t>Mallow Trust Frankfurt</t>
        </is>
      </c>
      <c r="E692" t="inlineStr">
        <is>
          <t>EUR</t>
        </is>
      </c>
      <c r="F692" t="inlineStr">
        <is>
          <t>NT26081900686</t>
        </is>
      </c>
      <c r="G692" s="6" t="n">
        <v>46253</v>
      </c>
      <c r="H692" s="7" t="n">
        <v>16570291.4748</v>
      </c>
      <c r="I692" t="inlineStr">
        <is>
          <t>GBP</t>
        </is>
      </c>
      <c r="J692" s="7" t="n">
        <v>14217310.085</v>
      </c>
      <c r="K692" t="inlineStr">
        <is>
          <t>SYRM</t>
        </is>
      </c>
      <c r="L692" t="inlineStr">
        <is>
          <t>Intraday top-up</t>
        </is>
      </c>
      <c r="M692" s="8" t="n">
        <v>46253.34253472222</v>
      </c>
      <c r="N692" t="inlineStr">
        <is>
          <t>Marlow Rhodes</t>
        </is>
      </c>
      <c r="O692" s="8" t="n">
        <v>46253.35503472222</v>
      </c>
      <c r="P692" t="inlineStr">
        <is>
          <t>Kai Calloway</t>
        </is>
      </c>
      <c r="Q692" t="inlineStr">
        <is>
          <t>LEDGER_OR_CASHFLOW_RECEIVED</t>
        </is>
      </c>
      <c r="R692" t="inlineStr">
        <is>
          <t>SYRM_ACKNOWLEDGED</t>
        </is>
      </c>
      <c r="S692" t="inlineStr">
        <is>
          <t>View details</t>
        </is>
      </c>
    </row>
    <row r="693">
      <c r="A693" t="inlineStr">
        <is>
          <t>150316825069</t>
        </is>
      </c>
      <c r="B693" t="inlineStr">
        <is>
          <t>Pinehurst Settlement Bank Frankfurt</t>
        </is>
      </c>
      <c r="C693" t="inlineStr">
        <is>
          <t>359365220160</t>
        </is>
      </c>
      <c r="D693" t="inlineStr">
        <is>
          <t>Juniper Trust London</t>
        </is>
      </c>
      <c r="E693" t="inlineStr">
        <is>
          <t>GBP</t>
        </is>
      </c>
      <c r="F693" t="inlineStr">
        <is>
          <t>NT26081900687</t>
        </is>
      </c>
      <c r="G693" s="6" t="n">
        <v>46253</v>
      </c>
      <c r="H693" s="7" t="n">
        <v>1525813793.5158</v>
      </c>
      <c r="I693" t="inlineStr">
        <is>
          <t>GBP</t>
        </is>
      </c>
      <c r="J693" s="7" t="n">
        <v>1525813793.516</v>
      </c>
      <c r="K693" t="inlineStr">
        <is>
          <t>INTERNAL</t>
        </is>
      </c>
      <c r="L693" t="inlineStr">
        <is>
          <t>Liquidity sweep</t>
        </is>
      </c>
      <c r="M693" s="8" t="n">
        <v>46253.26190972222</v>
      </c>
      <c r="N693" t="inlineStr">
        <is>
          <t>Blake Fairweather</t>
        </is>
      </c>
      <c r="O693" s="8" t="n">
        <v>46253.32579861111</v>
      </c>
      <c r="P693" t="inlineStr">
        <is>
          <t>Noor Thorne</t>
        </is>
      </c>
      <c r="Q693" t="inlineStr">
        <is>
          <t>LEDGER_OR_CASHFLOW_RECEIVED</t>
        </is>
      </c>
      <c r="R693" t="inlineStr">
        <is>
          <t>SYRM_ACKNOWLEDGED</t>
        </is>
      </c>
      <c r="S693" t="inlineStr">
        <is>
          <t>View details</t>
        </is>
      </c>
    </row>
    <row r="694">
      <c r="A694" t="inlineStr">
        <is>
          <t>621381112674</t>
        </is>
      </c>
      <c r="B694" t="inlineStr">
        <is>
          <t>Larkspur Clearing New York</t>
        </is>
      </c>
      <c r="C694" t="inlineStr">
        <is>
          <t>794226063698</t>
        </is>
      </c>
      <c r="D694" t="inlineStr">
        <is>
          <t>Fernway Clearing Frankfurt</t>
        </is>
      </c>
      <c r="E694" t="inlineStr">
        <is>
          <t>PLN</t>
        </is>
      </c>
      <c r="F694" t="inlineStr">
        <is>
          <t>NT26081900688</t>
        </is>
      </c>
      <c r="G694" s="6" t="n">
        <v>46253</v>
      </c>
      <c r="H694" s="7" t="n">
        <v>875901.789</v>
      </c>
      <c r="I694" t="inlineStr">
        <is>
          <t>GBP</t>
        </is>
      </c>
      <c r="J694" s="7" t="n">
        <v>173428.554</v>
      </c>
      <c r="K694" t="inlineStr">
        <is>
          <t>SWIFT</t>
        </is>
      </c>
      <c r="L694" t="inlineStr">
        <is>
          <t>Funding move</t>
        </is>
      </c>
      <c r="M694" s="8" t="n">
        <v>46253.44269675926</v>
      </c>
      <c r="N694" t="inlineStr">
        <is>
          <t>Noor Thorne</t>
        </is>
      </c>
      <c r="O694" s="8" t="n">
        <v>46253.4621412037</v>
      </c>
      <c r="P694" t="inlineStr">
        <is>
          <t>Kai Novak</t>
        </is>
      </c>
      <c r="Q694" t="inlineStr">
        <is>
          <t>LEDGER_OR_CASHFLOW_RECEIVED</t>
        </is>
      </c>
      <c r="R694" t="inlineStr">
        <is>
          <t>SYRM_ACKNOWLEDGED</t>
        </is>
      </c>
      <c r="S694" t="inlineStr">
        <is>
          <t>View details</t>
        </is>
      </c>
    </row>
    <row r="695">
      <c r="A695" t="inlineStr">
        <is>
          <t>794226063698</t>
        </is>
      </c>
      <c r="B695" t="inlineStr">
        <is>
          <t>Wrenfield Clearing Frankfurt</t>
        </is>
      </c>
      <c r="C695" t="inlineStr">
        <is>
          <t>150316825069</t>
        </is>
      </c>
      <c r="D695" t="inlineStr">
        <is>
          <t>Alder Settlement Bank Paris</t>
        </is>
      </c>
      <c r="E695" t="inlineStr">
        <is>
          <t>AED</t>
        </is>
      </c>
      <c r="F695" t="inlineStr">
        <is>
          <t>NT26081900689</t>
        </is>
      </c>
      <c r="G695" s="6" t="n">
        <v>46253</v>
      </c>
      <c r="H695" s="7" t="n">
        <v>48240072.549</v>
      </c>
      <c r="I695" t="inlineStr">
        <is>
          <t>GBP</t>
        </is>
      </c>
      <c r="J695" s="7" t="n">
        <v>10275135.453</v>
      </c>
      <c r="K695" t="inlineStr">
        <is>
          <t>SYRM</t>
        </is>
      </c>
      <c r="L695" t="inlineStr">
        <is>
          <t>Balance alignment</t>
        </is>
      </c>
      <c r="M695" s="8" t="n">
        <v>46253.81081018518</v>
      </c>
      <c r="N695" t="inlineStr">
        <is>
          <t>Harper Calloway</t>
        </is>
      </c>
      <c r="O695" s="8" t="n">
        <v>46253.82608796296</v>
      </c>
      <c r="P695" t="inlineStr">
        <is>
          <t>Quinn Brookes</t>
        </is>
      </c>
      <c r="Q695" t="inlineStr">
        <is>
          <t>LEDGER_OR_CASHFLOW_RECEIVED</t>
        </is>
      </c>
      <c r="R695" t="inlineStr">
        <is>
          <t>SYRM_ACKNOWLEDGED</t>
        </is>
      </c>
      <c r="S695" t="inlineStr">
        <is>
          <t>View details</t>
        </is>
      </c>
    </row>
    <row r="696">
      <c r="A696" t="inlineStr">
        <is>
          <t>910703979141</t>
        </is>
      </c>
      <c r="B696" t="inlineStr">
        <is>
          <t>Zephyr Bank Madrid</t>
        </is>
      </c>
      <c r="C696" t="inlineStr">
        <is>
          <t>499062838623</t>
        </is>
      </c>
      <c r="D696" t="inlineStr">
        <is>
          <t>Kestrel Clearing Oslo</t>
        </is>
      </c>
      <c r="E696" t="inlineStr">
        <is>
          <t>CHF</t>
        </is>
      </c>
      <c r="F696" t="inlineStr">
        <is>
          <t>NT26081900690</t>
        </is>
      </c>
      <c r="G696" s="6" t="n">
        <v>46253</v>
      </c>
      <c r="H696" s="7" t="n">
        <v>868069.2204</v>
      </c>
      <c r="I696" t="inlineStr">
        <is>
          <t>GBP</t>
        </is>
      </c>
      <c r="J696" s="7" t="n">
        <v>778658.091</v>
      </c>
      <c r="K696" t="inlineStr">
        <is>
          <t>SYRM</t>
        </is>
      </c>
      <c r="L696" t="inlineStr">
        <is>
          <t>Funding move</t>
        </is>
      </c>
      <c r="M696" s="8" t="n">
        <v>46253.33605324074</v>
      </c>
      <c r="N696" t="inlineStr">
        <is>
          <t>Marlow Sinclair</t>
        </is>
      </c>
      <c r="O696" s="8" t="n">
        <v>46253.34716435185</v>
      </c>
      <c r="P696" t="inlineStr">
        <is>
          <t>Wren Fairweather</t>
        </is>
      </c>
      <c r="Q696" t="inlineStr">
        <is>
          <t>LEDGER_OR_CASHFLOW_RECEIVED</t>
        </is>
      </c>
      <c r="R696" t="inlineStr">
        <is>
          <t>SYRM_ACKNOWLEDGED</t>
        </is>
      </c>
      <c r="S696" t="inlineStr">
        <is>
          <t>View details</t>
        </is>
      </c>
    </row>
    <row r="697">
      <c r="A697" t="inlineStr">
        <is>
          <t>499062838623</t>
        </is>
      </c>
      <c r="B697" t="inlineStr">
        <is>
          <t>Kestrel Bank Frankfurt</t>
        </is>
      </c>
      <c r="C697" t="inlineStr">
        <is>
          <t>499062838623</t>
        </is>
      </c>
      <c r="D697" t="inlineStr">
        <is>
          <t>Larkspur Clearing New York</t>
        </is>
      </c>
      <c r="E697" t="inlineStr">
        <is>
          <t>USD</t>
        </is>
      </c>
      <c r="F697" t="inlineStr">
        <is>
          <t>NT26081900691</t>
        </is>
      </c>
      <c r="G697" s="6" t="n">
        <v>46253</v>
      </c>
      <c r="H697" s="7" t="n">
        <v>116281.2258</v>
      </c>
      <c r="I697" t="inlineStr">
        <is>
          <t>GBP</t>
        </is>
      </c>
      <c r="J697" s="7" t="n">
        <v>91164.481</v>
      </c>
      <c r="K697" t="inlineStr">
        <is>
          <t>SWIFT</t>
        </is>
      </c>
      <c r="L697" t="inlineStr"/>
      <c r="M697" s="8" t="n">
        <v>46253.30193287037</v>
      </c>
      <c r="N697" t="inlineStr">
        <is>
          <t>Quinn Kirby</t>
        </is>
      </c>
      <c r="O697" s="8" t="n">
        <v>46253.36165509259</v>
      </c>
      <c r="P697" t="inlineStr">
        <is>
          <t>Kai Calloway</t>
        </is>
      </c>
      <c r="Q697" t="inlineStr">
        <is>
          <t>LEDGER_OR_CASHFLOW_RECEIVED</t>
        </is>
      </c>
      <c r="R697" t="inlineStr">
        <is>
          <t>SYRM_ACKNOWLEDGED</t>
        </is>
      </c>
      <c r="S697" t="inlineStr">
        <is>
          <t>View details</t>
        </is>
      </c>
    </row>
    <row r="698">
      <c r="A698" t="inlineStr">
        <is>
          <t>968942362772</t>
        </is>
      </c>
      <c r="B698" t="inlineStr">
        <is>
          <t>Mallow Settlement Bank Warsaw</t>
        </is>
      </c>
      <c r="C698" t="inlineStr">
        <is>
          <t>150316825069</t>
        </is>
      </c>
      <c r="D698" t="inlineStr">
        <is>
          <t>Pinehurst Commercial Bank Stockholm</t>
        </is>
      </c>
      <c r="E698" t="inlineStr">
        <is>
          <t>EUR</t>
        </is>
      </c>
      <c r="F698" t="inlineStr">
        <is>
          <t>NT26081900692</t>
        </is>
      </c>
      <c r="G698" s="6" t="n">
        <v>46253</v>
      </c>
      <c r="H698" s="7" t="n">
        <v>38931875.9064</v>
      </c>
      <c r="I698" t="inlineStr">
        <is>
          <t>GBP</t>
        </is>
      </c>
      <c r="J698" s="7" t="n">
        <v>33403549.528</v>
      </c>
      <c r="K698" t="inlineStr">
        <is>
          <t>SYRM</t>
        </is>
      </c>
      <c r="L698" t="inlineStr">
        <is>
          <t>Balance alignment</t>
        </is>
      </c>
      <c r="M698" s="8" t="n">
        <v>46253.37122685185</v>
      </c>
      <c r="N698" t="inlineStr">
        <is>
          <t>Harper Hollis</t>
        </is>
      </c>
      <c r="O698" s="8" t="n">
        <v>46253.39136574074</v>
      </c>
      <c r="P698" t="inlineStr">
        <is>
          <t>Marlow Thorne</t>
        </is>
      </c>
      <c r="Q698" t="inlineStr">
        <is>
          <t>LEDGER_OR_CASHFLOW_RECEIVED</t>
        </is>
      </c>
      <c r="R698" t="inlineStr">
        <is>
          <t>SYRM_ACKNOWLEDGED</t>
        </is>
      </c>
      <c r="S698" t="inlineStr">
        <is>
          <t>View details</t>
        </is>
      </c>
    </row>
    <row r="699">
      <c r="A699" t="inlineStr">
        <is>
          <t>726928343448</t>
        </is>
      </c>
      <c r="B699" t="inlineStr">
        <is>
          <t>Mallow Settlement Bank Oslo</t>
        </is>
      </c>
      <c r="C699" t="inlineStr">
        <is>
          <t>150316825069</t>
        </is>
      </c>
      <c r="D699" t="inlineStr">
        <is>
          <t>Nightjar Bank Stockholm</t>
        </is>
      </c>
      <c r="E699" t="inlineStr">
        <is>
          <t>EUR</t>
        </is>
      </c>
      <c r="F699" t="inlineStr">
        <is>
          <t>NT26081900693</t>
        </is>
      </c>
      <c r="G699" s="6" t="n">
        <v>46253</v>
      </c>
      <c r="H699" s="7" t="n">
        <v>58515119.8542</v>
      </c>
      <c r="I699" t="inlineStr">
        <is>
          <t>GBP</t>
        </is>
      </c>
      <c r="J699" s="7" t="n">
        <v>50205972.835</v>
      </c>
      <c r="K699" t="inlineStr">
        <is>
          <t>SYRM</t>
        </is>
      </c>
      <c r="L699" t="inlineStr">
        <is>
          <t>Intraday top-up</t>
        </is>
      </c>
      <c r="M699" s="8" t="n">
        <v>46253.48458333333</v>
      </c>
      <c r="N699" t="inlineStr">
        <is>
          <t>Noor Brookes</t>
        </is>
      </c>
      <c r="O699" s="8" t="n">
        <v>46253.53041666667</v>
      </c>
      <c r="P699" t="inlineStr">
        <is>
          <t>Ellis Gallagher</t>
        </is>
      </c>
      <c r="Q699" t="inlineStr">
        <is>
          <t>LEDGER_OR_CASHFLOW_RECEIVED</t>
        </is>
      </c>
      <c r="R699" t="inlineStr">
        <is>
          <t>SYRM_ACKNOWLEDGED</t>
        </is>
      </c>
      <c r="S699" t="inlineStr">
        <is>
          <t>View details</t>
        </is>
      </c>
    </row>
    <row r="700">
      <c r="A700" t="inlineStr">
        <is>
          <t>150316825069</t>
        </is>
      </c>
      <c r="B700" t="inlineStr">
        <is>
          <t>Ironbark Clearing Frankfurt</t>
        </is>
      </c>
      <c r="C700" t="inlineStr">
        <is>
          <t>359365220160</t>
        </is>
      </c>
      <c r="D700" t="inlineStr">
        <is>
          <t>Dunlin Commercial Bank Paris</t>
        </is>
      </c>
      <c r="E700" t="inlineStr">
        <is>
          <t>GBP</t>
        </is>
      </c>
      <c r="F700" t="inlineStr">
        <is>
          <t>NT26081900694</t>
        </is>
      </c>
      <c r="G700" s="6" t="n">
        <v>46253</v>
      </c>
      <c r="H700" s="7" t="n">
        <v>45640918.2744</v>
      </c>
      <c r="I700" t="inlineStr">
        <is>
          <t>GBP</t>
        </is>
      </c>
      <c r="J700" s="7" t="n">
        <v>45640918.274</v>
      </c>
      <c r="K700" t="inlineStr">
        <is>
          <t>SYRM</t>
        </is>
      </c>
      <c r="L700" t="inlineStr"/>
      <c r="M700" s="8" t="n">
        <v>46253.38486111111</v>
      </c>
      <c r="N700" t="inlineStr">
        <is>
          <t>Ellis Gallagher</t>
        </is>
      </c>
      <c r="O700" s="8" t="n">
        <v>46253.41611111111</v>
      </c>
      <c r="P700" t="inlineStr">
        <is>
          <t>Devon Calloway</t>
        </is>
      </c>
      <c r="Q700" t="inlineStr">
        <is>
          <t>LEDGER_OR_CASHFLOW_RECEIVED</t>
        </is>
      </c>
      <c r="R700" t="inlineStr">
        <is>
          <t>SYRM_ACKNOWLEDGED</t>
        </is>
      </c>
      <c r="S700" t="inlineStr">
        <is>
          <t>View details</t>
        </is>
      </c>
    </row>
    <row r="701">
      <c r="A701" t="inlineStr">
        <is>
          <t>910703979141</t>
        </is>
      </c>
      <c r="B701" t="inlineStr">
        <is>
          <t>Zephyr Settlement Bank New York</t>
        </is>
      </c>
      <c r="C701" t="inlineStr">
        <is>
          <t>499062838623</t>
        </is>
      </c>
      <c r="D701" t="inlineStr">
        <is>
          <t>Granite Commercial Bank Milan</t>
        </is>
      </c>
      <c r="E701" t="inlineStr">
        <is>
          <t>CHF</t>
        </is>
      </c>
      <c r="F701" t="inlineStr">
        <is>
          <t>NT26081900695</t>
        </is>
      </c>
      <c r="G701" s="6" t="n">
        <v>46253</v>
      </c>
      <c r="H701" s="7" t="n">
        <v>17786771.0082</v>
      </c>
      <c r="I701" t="inlineStr">
        <is>
          <t>GBP</t>
        </is>
      </c>
      <c r="J701" s="7" t="n">
        <v>15954733.594</v>
      </c>
      <c r="K701" t="inlineStr">
        <is>
          <t>SYRM</t>
        </is>
      </c>
      <c r="L701" t="inlineStr">
        <is>
          <t>Funding move</t>
        </is>
      </c>
      <c r="M701" s="8" t="n">
        <v>46253.31326388889</v>
      </c>
      <c r="N701" t="inlineStr">
        <is>
          <t>Wren Hollis</t>
        </is>
      </c>
      <c r="O701" s="8" t="n">
        <v>46253.37923611111</v>
      </c>
      <c r="P701" t="inlineStr">
        <is>
          <t>Oakley Prentice</t>
        </is>
      </c>
      <c r="Q701" t="inlineStr">
        <is>
          <t>LEDGER_OR_CASHFLOW_RECEIVED</t>
        </is>
      </c>
      <c r="R701" t="inlineStr">
        <is>
          <t>SYRM_PENDING</t>
        </is>
      </c>
      <c r="S701" t="inlineStr">
        <is>
          <t>View details</t>
        </is>
      </c>
    </row>
    <row r="702">
      <c r="A702" t="inlineStr">
        <is>
          <t>284925023085</t>
        </is>
      </c>
      <c r="B702" t="inlineStr">
        <is>
          <t>Zephyr Bank Madrid</t>
        </is>
      </c>
      <c r="C702" t="inlineStr">
        <is>
          <t>150316825069</t>
        </is>
      </c>
      <c r="D702" t="inlineStr">
        <is>
          <t>Yarrow Bank Stockholm</t>
        </is>
      </c>
      <c r="E702" t="inlineStr">
        <is>
          <t>MXN</t>
        </is>
      </c>
      <c r="F702" t="inlineStr">
        <is>
          <t>NT26082000696</t>
        </is>
      </c>
      <c r="G702" s="6" t="n">
        <v>46254</v>
      </c>
      <c r="H702" s="7" t="n">
        <v>1293421.593</v>
      </c>
      <c r="I702" t="inlineStr">
        <is>
          <t>GBP</t>
        </is>
      </c>
      <c r="J702" s="7" t="n">
        <v>55358.444</v>
      </c>
      <c r="K702" t="inlineStr">
        <is>
          <t>SYRM</t>
        </is>
      </c>
      <c r="L702" t="inlineStr">
        <is>
          <t>Liquidity sweep</t>
        </is>
      </c>
      <c r="M702" s="8" t="n">
        <v>46254.4209375</v>
      </c>
      <c r="N702" t="inlineStr">
        <is>
          <t>Oakley Delaney</t>
        </is>
      </c>
      <c r="O702" s="8" t="n">
        <v>46254.47371527777</v>
      </c>
      <c r="P702" t="inlineStr">
        <is>
          <t>Kai Merrick</t>
        </is>
      </c>
      <c r="Q702" t="inlineStr">
        <is>
          <t>LEDGER_OR_CASHFLOW_RECEIVED</t>
        </is>
      </c>
      <c r="R702" t="inlineStr">
        <is>
          <t>SYRM_ACKNOWLEDGED</t>
        </is>
      </c>
      <c r="S702" t="inlineStr">
        <is>
          <t>View details</t>
        </is>
      </c>
    </row>
    <row r="703">
      <c r="A703" t="inlineStr">
        <is>
          <t>794226063698</t>
        </is>
      </c>
      <c r="B703" t="inlineStr">
        <is>
          <t>Mallow Commercial Bank Mexico City</t>
        </is>
      </c>
      <c r="C703" t="inlineStr">
        <is>
          <t>113829985108</t>
        </is>
      </c>
      <c r="D703" t="inlineStr">
        <is>
          <t>Mallow Trust Frankfurt</t>
        </is>
      </c>
      <c r="E703" t="inlineStr">
        <is>
          <t>AED</t>
        </is>
      </c>
      <c r="F703" t="inlineStr">
        <is>
          <t>NT26082000697</t>
        </is>
      </c>
      <c r="G703" s="6" t="n">
        <v>46254</v>
      </c>
      <c r="H703" s="7" t="n">
        <v>26986653.099</v>
      </c>
      <c r="I703" t="inlineStr">
        <is>
          <t>GBP</t>
        </is>
      </c>
      <c r="J703" s="7" t="n">
        <v>5748157.11</v>
      </c>
      <c r="K703" t="inlineStr">
        <is>
          <t>SWIFT</t>
        </is>
      </c>
      <c r="L703" t="inlineStr">
        <is>
          <t>Funding move</t>
        </is>
      </c>
      <c r="M703" s="8" t="n">
        <v>46254.3622800926</v>
      </c>
      <c r="N703" t="inlineStr">
        <is>
          <t>Ellis Gallagher</t>
        </is>
      </c>
      <c r="O703" s="8" t="n">
        <v>46254.41644675926</v>
      </c>
      <c r="P703" t="inlineStr">
        <is>
          <t>Lennox Ellison</t>
        </is>
      </c>
      <c r="Q703" t="inlineStr">
        <is>
          <t>LEDGER_OR_CASHFLOW_RECEIVED</t>
        </is>
      </c>
      <c r="R703" t="inlineStr">
        <is>
          <t>SYRM_ACKNOWLEDGED</t>
        </is>
      </c>
      <c r="S703" t="inlineStr">
        <is>
          <t>View details</t>
        </is>
      </c>
    </row>
    <row r="704">
      <c r="A704" t="inlineStr">
        <is>
          <t>120047354818</t>
        </is>
      </c>
      <c r="B704" t="inlineStr">
        <is>
          <t>Wrenfield Bank Paris</t>
        </is>
      </c>
      <c r="C704" t="inlineStr">
        <is>
          <t>968942362772</t>
        </is>
      </c>
      <c r="D704" t="inlineStr">
        <is>
          <t>Yarrow Bank Stockholm</t>
        </is>
      </c>
      <c r="E704" t="inlineStr">
        <is>
          <t>USD</t>
        </is>
      </c>
      <c r="F704" t="inlineStr">
        <is>
          <t>NT26082000698</t>
        </is>
      </c>
      <c r="G704" s="6" t="n">
        <v>46254</v>
      </c>
      <c r="H704" s="7" t="n">
        <v>1226060.383</v>
      </c>
      <c r="I704" t="inlineStr">
        <is>
          <t>GBP</t>
        </is>
      </c>
      <c r="J704" s="7" t="n">
        <v>961231.34</v>
      </c>
      <c r="K704" t="inlineStr">
        <is>
          <t>SYRM</t>
        </is>
      </c>
      <c r="L704" t="inlineStr">
        <is>
          <t>Funding move</t>
        </is>
      </c>
      <c r="M704" s="8" t="n">
        <v>46254.62715277778</v>
      </c>
      <c r="N704" t="inlineStr">
        <is>
          <t>Avery Prentice</t>
        </is>
      </c>
      <c r="O704" s="8" t="n">
        <v>46254.64104166667</v>
      </c>
      <c r="P704" t="inlineStr">
        <is>
          <t>Oakley Fairweather</t>
        </is>
      </c>
      <c r="Q704" t="inlineStr">
        <is>
          <t>LEDGER_OR_CASHFLOW_RECEIVED</t>
        </is>
      </c>
      <c r="R704" t="inlineStr">
        <is>
          <t>SYRM_ACKNOWLEDGED</t>
        </is>
      </c>
      <c r="S704" t="inlineStr">
        <is>
          <t>View details</t>
        </is>
      </c>
    </row>
    <row r="705">
      <c r="A705" t="inlineStr">
        <is>
          <t>910703979141</t>
        </is>
      </c>
      <c r="B705" t="inlineStr">
        <is>
          <t>Juniper Clearing New York</t>
        </is>
      </c>
      <c r="C705" t="inlineStr">
        <is>
          <t>968942362772</t>
        </is>
      </c>
      <c r="D705" t="inlineStr">
        <is>
          <t>Zephyr Settlement Bank Sydney</t>
        </is>
      </c>
      <c r="E705" t="inlineStr">
        <is>
          <t>CHF</t>
        </is>
      </c>
      <c r="F705" t="inlineStr">
        <is>
          <t>NT26082000699</t>
        </is>
      </c>
      <c r="G705" s="6" t="n">
        <v>46254</v>
      </c>
      <c r="H705" s="7" t="n">
        <v>9970441.778999999</v>
      </c>
      <c r="I705" t="inlineStr">
        <is>
          <t>GBP</t>
        </is>
      </c>
      <c r="J705" s="7" t="n">
        <v>8943486.276000001</v>
      </c>
      <c r="K705" t="inlineStr">
        <is>
          <t>SYRM</t>
        </is>
      </c>
      <c r="L705" t="inlineStr">
        <is>
          <t>Funding move</t>
        </is>
      </c>
      <c r="M705" s="8" t="n">
        <v>46254.40318287037</v>
      </c>
      <c r="N705" t="inlineStr">
        <is>
          <t>Noor Sinclair</t>
        </is>
      </c>
      <c r="O705" s="8" t="n">
        <v>46254.46221064815</v>
      </c>
      <c r="P705" t="inlineStr">
        <is>
          <t>Oakley Prentice</t>
        </is>
      </c>
      <c r="Q705" t="inlineStr">
        <is>
          <t>LEDGER_OR_CASHFLOW_RECEIVED</t>
        </is>
      </c>
      <c r="R705" t="inlineStr">
        <is>
          <t>SYRM_ACKNOWLEDGED</t>
        </is>
      </c>
      <c r="S705" t="inlineStr">
        <is>
          <t>View details</t>
        </is>
      </c>
    </row>
    <row r="706">
      <c r="A706" t="inlineStr">
        <is>
          <t>499062838623</t>
        </is>
      </c>
      <c r="B706" t="inlineStr">
        <is>
          <t>Larkspur Clearing New York</t>
        </is>
      </c>
      <c r="C706" t="inlineStr">
        <is>
          <t>499062838623</t>
        </is>
      </c>
      <c r="D706" t="inlineStr">
        <is>
          <t>Juniper Clearing New York</t>
        </is>
      </c>
      <c r="E706" t="inlineStr">
        <is>
          <t>USD</t>
        </is>
      </c>
      <c r="F706" t="inlineStr">
        <is>
          <t>NT26082000700</t>
        </is>
      </c>
      <c r="G706" s="6" t="n">
        <v>46254</v>
      </c>
      <c r="H706" s="7" t="n">
        <v>3956352.833</v>
      </c>
      <c r="I706" t="inlineStr">
        <is>
          <t>GBP</t>
        </is>
      </c>
      <c r="J706" s="7" t="n">
        <v>3101780.621</v>
      </c>
      <c r="K706" t="inlineStr">
        <is>
          <t>SYRM</t>
        </is>
      </c>
      <c r="L706" t="inlineStr">
        <is>
          <t>Intraday top-up</t>
        </is>
      </c>
      <c r="M706" s="8" t="n">
        <v>46254.55944444444</v>
      </c>
      <c r="N706" t="inlineStr">
        <is>
          <t>Finley Hollis</t>
        </is>
      </c>
      <c r="O706" s="8" t="n">
        <v>46254.59277777778</v>
      </c>
      <c r="P706" t="inlineStr">
        <is>
          <t>Marlow Thorne</t>
        </is>
      </c>
      <c r="Q706" t="inlineStr">
        <is>
          <t>LEDGER_OR_CASHFLOW_RECEIVED</t>
        </is>
      </c>
      <c r="R706" t="inlineStr">
        <is>
          <t>SYRM_ACKNOWLEDGED</t>
        </is>
      </c>
      <c r="S706" t="inlineStr">
        <is>
          <t>View details</t>
        </is>
      </c>
    </row>
    <row r="707">
      <c r="A707" t="inlineStr">
        <is>
          <t>468341071172</t>
        </is>
      </c>
      <c r="B707" t="inlineStr">
        <is>
          <t>Kestrel Clearing Oslo</t>
        </is>
      </c>
      <c r="C707" t="inlineStr">
        <is>
          <t>794226063698</t>
        </is>
      </c>
      <c r="D707" t="inlineStr">
        <is>
          <t>Bramble Trust Zurich</t>
        </is>
      </c>
      <c r="E707" t="inlineStr">
        <is>
          <t>EUR</t>
        </is>
      </c>
      <c r="F707" t="inlineStr">
        <is>
          <t>NT26082000701</t>
        </is>
      </c>
      <c r="G707" s="6" t="n">
        <v>46254</v>
      </c>
      <c r="H707" s="7" t="n">
        <v>2.422</v>
      </c>
      <c r="I707" t="inlineStr">
        <is>
          <t>GBP</t>
        </is>
      </c>
      <c r="J707" s="7" t="n">
        <v>2.078</v>
      </c>
      <c r="K707" t="inlineStr">
        <is>
          <t>SYRM</t>
        </is>
      </c>
      <c r="L707" t="inlineStr">
        <is>
          <t>Balance alignment</t>
        </is>
      </c>
      <c r="M707" s="8" t="n">
        <v>46254.54811342592</v>
      </c>
      <c r="N707" t="inlineStr">
        <is>
          <t>Sawyer Calloway</t>
        </is>
      </c>
      <c r="O707" s="8" t="n">
        <v>46254.59255787037</v>
      </c>
      <c r="P707" t="inlineStr">
        <is>
          <t>Devon Jennings</t>
        </is>
      </c>
      <c r="Q707" t="inlineStr">
        <is>
          <t>LEDGER_OR_CASHFLOW_RECEIVED</t>
        </is>
      </c>
      <c r="R707" t="inlineStr">
        <is>
          <t>SYRM_ACKNOWLEDGED</t>
        </is>
      </c>
      <c r="S707" t="inlineStr">
        <is>
          <t>View details</t>
        </is>
      </c>
    </row>
    <row r="708">
      <c r="A708" t="inlineStr">
        <is>
          <t>927538182434</t>
        </is>
      </c>
      <c r="B708" t="inlineStr">
        <is>
          <t>Zephyr Settlement Bank New York</t>
        </is>
      </c>
      <c r="C708" t="inlineStr">
        <is>
          <t>150316825069</t>
        </is>
      </c>
      <c r="D708" t="inlineStr">
        <is>
          <t>Granite Trust Frankfurt</t>
        </is>
      </c>
      <c r="E708" t="inlineStr">
        <is>
          <t>CNY</t>
        </is>
      </c>
      <c r="F708" t="inlineStr">
        <is>
          <t>NT26082000702</t>
        </is>
      </c>
      <c r="G708" s="6" t="n">
        <v>46254</v>
      </c>
      <c r="H708" s="7" t="n">
        <v>63482134.096</v>
      </c>
      <c r="I708" t="inlineStr">
        <is>
          <t>GBP</t>
        </is>
      </c>
      <c r="J708" s="7" t="n">
        <v>6919552.616</v>
      </c>
      <c r="K708" t="inlineStr">
        <is>
          <t>SYRM</t>
        </is>
      </c>
      <c r="L708" t="inlineStr">
        <is>
          <t>Liquidity sweep</t>
        </is>
      </c>
      <c r="M708" s="8" t="n">
        <v>46254.29871527778</v>
      </c>
      <c r="N708" t="inlineStr">
        <is>
          <t>Avery Prentice</t>
        </is>
      </c>
      <c r="O708" s="8" t="n">
        <v>46254.30149305556</v>
      </c>
      <c r="P708" t="inlineStr">
        <is>
          <t>Marlow Sinclair</t>
        </is>
      </c>
      <c r="Q708" t="inlineStr">
        <is>
          <t>LEDGER_OR_CASHFLOW_RECEIVED</t>
        </is>
      </c>
      <c r="R708" t="inlineStr">
        <is>
          <t>SYRM_ACKNOWLEDGED</t>
        </is>
      </c>
      <c r="S708" t="inlineStr">
        <is>
          <t>View details</t>
        </is>
      </c>
    </row>
    <row r="709">
      <c r="A709" t="inlineStr">
        <is>
          <t>794226063698</t>
        </is>
      </c>
      <c r="B709" t="inlineStr">
        <is>
          <t>Mallow Commercial Bank Mexico City</t>
        </is>
      </c>
      <c r="C709" t="inlineStr">
        <is>
          <t>794226063698</t>
        </is>
      </c>
      <c r="D709" t="inlineStr">
        <is>
          <t>Yarrow Bank Stockholm</t>
        </is>
      </c>
      <c r="E709" t="inlineStr">
        <is>
          <t>AED</t>
        </is>
      </c>
      <c r="F709" t="inlineStr">
        <is>
          <t>NT26082000703</t>
        </is>
      </c>
      <c r="G709" s="6" t="n">
        <v>46254</v>
      </c>
      <c r="H709" s="7" t="n">
        <v>448054711.215</v>
      </c>
      <c r="I709" t="inlineStr">
        <is>
          <t>GBP</t>
        </is>
      </c>
      <c r="J709" s="7" t="n">
        <v>95435653.48899999</v>
      </c>
      <c r="K709" t="inlineStr">
        <is>
          <t>SYRM</t>
        </is>
      </c>
      <c r="L709" t="inlineStr">
        <is>
          <t>Intraday top-up</t>
        </is>
      </c>
      <c r="M709" s="8" t="n">
        <v>46254.45677083333</v>
      </c>
      <c r="N709" t="inlineStr">
        <is>
          <t>Marlow Thorne</t>
        </is>
      </c>
      <c r="O709" s="8" t="n">
        <v>46254.47482638889</v>
      </c>
      <c r="P709" t="inlineStr">
        <is>
          <t>Avery Prentice</t>
        </is>
      </c>
      <c r="Q709" t="inlineStr">
        <is>
          <t>LEDGER_OR_CASHFLOW_RECEIVED</t>
        </is>
      </c>
      <c r="R709" t="inlineStr">
        <is>
          <t>SYRM_ACKNOWLEDGED</t>
        </is>
      </c>
      <c r="S709" t="inlineStr">
        <is>
          <t>View details</t>
        </is>
      </c>
    </row>
    <row r="710">
      <c r="A710" t="inlineStr">
        <is>
          <t>265771593142</t>
        </is>
      </c>
      <c r="B710" t="inlineStr">
        <is>
          <t>Oriel Settlement Bank Madrid</t>
        </is>
      </c>
      <c r="C710" t="inlineStr">
        <is>
          <t>927538182434</t>
        </is>
      </c>
      <c r="D710" t="inlineStr">
        <is>
          <t>Bramble Bank Milan</t>
        </is>
      </c>
      <c r="E710" t="inlineStr">
        <is>
          <t>EUR</t>
        </is>
      </c>
      <c r="F710" t="inlineStr">
        <is>
          <t>NT26082000704</t>
        </is>
      </c>
      <c r="G710" s="6" t="n">
        <v>46254</v>
      </c>
      <c r="H710" s="7" t="n">
        <v>122012.335</v>
      </c>
      <c r="I710" t="inlineStr">
        <is>
          <t>GBP</t>
        </is>
      </c>
      <c r="J710" s="7" t="n">
        <v>104686.583</v>
      </c>
      <c r="K710" t="inlineStr">
        <is>
          <t>SYRM</t>
        </is>
      </c>
      <c r="L710" t="inlineStr"/>
      <c r="M710" s="8" t="n">
        <v>46254.6102662037</v>
      </c>
      <c r="N710" t="inlineStr">
        <is>
          <t>Finley Jennings</t>
        </is>
      </c>
      <c r="O710" s="8" t="n">
        <v>46254.61929398148</v>
      </c>
      <c r="P710" t="inlineStr">
        <is>
          <t>Avery Prentice</t>
        </is>
      </c>
      <c r="Q710" t="inlineStr">
        <is>
          <t>LEDGER_OR_CASHFLOW_RECEIVED</t>
        </is>
      </c>
      <c r="R710" t="inlineStr">
        <is>
          <t>SYRM_ACKNOWLEDGED</t>
        </is>
      </c>
      <c r="S710" t="inlineStr">
        <is>
          <t>View details</t>
        </is>
      </c>
    </row>
    <row r="711">
      <c r="A711" t="inlineStr">
        <is>
          <t>898317028833</t>
        </is>
      </c>
      <c r="B711" t="inlineStr">
        <is>
          <t>Zephyr Settlement Bank Sydney</t>
        </is>
      </c>
      <c r="C711" t="inlineStr">
        <is>
          <t>621381112674</t>
        </is>
      </c>
      <c r="D711" t="inlineStr">
        <is>
          <t>Umberton Trust Tokyo</t>
        </is>
      </c>
      <c r="E711" t="inlineStr">
        <is>
          <t>GBP</t>
        </is>
      </c>
      <c r="F711" t="inlineStr">
        <is>
          <t>NT26082000705</t>
        </is>
      </c>
      <c r="G711" s="6" t="n">
        <v>46254</v>
      </c>
      <c r="H711" s="7" t="n">
        <v>5899904.177</v>
      </c>
      <c r="I711" t="inlineStr">
        <is>
          <t>GBP</t>
        </is>
      </c>
      <c r="J711" s="7" t="n">
        <v>5899904.177</v>
      </c>
      <c r="K711" t="inlineStr">
        <is>
          <t>SYRM</t>
        </is>
      </c>
      <c r="L711" t="inlineStr">
        <is>
          <t>Liquidity sweep</t>
        </is>
      </c>
      <c r="M711" s="8" t="n">
        <v>46254.29480324074</v>
      </c>
      <c r="N711" t="inlineStr">
        <is>
          <t>Quinn Osgood</t>
        </is>
      </c>
      <c r="O711" s="8" t="n">
        <v>46254.31285879629</v>
      </c>
      <c r="P711" t="inlineStr">
        <is>
          <t>Kai Novak</t>
        </is>
      </c>
      <c r="Q711" t="inlineStr">
        <is>
          <t>LEDGER_OR_CASHFLOW_RECEIVED</t>
        </is>
      </c>
      <c r="R711" t="inlineStr">
        <is>
          <t>SYRM_ACKNOWLEDGED</t>
        </is>
      </c>
      <c r="S711" t="inlineStr">
        <is>
          <t>View details</t>
        </is>
      </c>
    </row>
    <row r="712">
      <c r="A712" t="inlineStr">
        <is>
          <t>794226063698</t>
        </is>
      </c>
      <c r="B712" t="inlineStr">
        <is>
          <t>Pinehurst Settlement Bank Frankfurt</t>
        </is>
      </c>
      <c r="C712" t="inlineStr">
        <is>
          <t>953625291146</t>
        </is>
      </c>
      <c r="D712" t="inlineStr">
        <is>
          <t>Dunlin Commercial Bank Warsaw</t>
        </is>
      </c>
      <c r="E712" t="inlineStr">
        <is>
          <t>AED</t>
        </is>
      </c>
      <c r="F712" t="inlineStr">
        <is>
          <t>NT26082000706</t>
        </is>
      </c>
      <c r="G712" s="6" t="n">
        <v>46254</v>
      </c>
      <c r="H712" s="7" t="n">
        <v>66411134.12</v>
      </c>
      <c r="I712" t="inlineStr">
        <is>
          <t>GBP</t>
        </is>
      </c>
      <c r="J712" s="7" t="n">
        <v>14145571.568</v>
      </c>
      <c r="K712" t="inlineStr">
        <is>
          <t>SYRM</t>
        </is>
      </c>
      <c r="L712" t="inlineStr">
        <is>
          <t>Funding move</t>
        </is>
      </c>
      <c r="M712" s="8" t="n">
        <v>46254.34577546296</v>
      </c>
      <c r="N712" t="inlineStr">
        <is>
          <t>Kai Calloway</t>
        </is>
      </c>
      <c r="O712" s="8" t="n">
        <v>46254.37355324074</v>
      </c>
      <c r="P712" t="inlineStr">
        <is>
          <t>Noor Sinclair</t>
        </is>
      </c>
      <c r="Q712" t="inlineStr">
        <is>
          <t>LEDGER_OR_CASHFLOW_RECEIVED</t>
        </is>
      </c>
      <c r="R712" t="inlineStr">
        <is>
          <t>SYRM_ACKNOWLEDGED</t>
        </is>
      </c>
      <c r="S712" t="inlineStr">
        <is>
          <t>View details</t>
        </is>
      </c>
    </row>
    <row r="713">
      <c r="A713" t="inlineStr">
        <is>
          <t>150316825069</t>
        </is>
      </c>
      <c r="B713" t="inlineStr">
        <is>
          <t>Kestrel Bank Frankfurt</t>
        </is>
      </c>
      <c r="C713" t="inlineStr">
        <is>
          <t>953625291146</t>
        </is>
      </c>
      <c r="D713" t="inlineStr">
        <is>
          <t>Larkspur Trust Hong Kong</t>
        </is>
      </c>
      <c r="E713" t="inlineStr">
        <is>
          <t>GBP</t>
        </is>
      </c>
      <c r="F713" t="inlineStr">
        <is>
          <t>NT26082000707</t>
        </is>
      </c>
      <c r="G713" s="6" t="n">
        <v>46254</v>
      </c>
      <c r="H713" s="7" t="n">
        <v>4774856.543</v>
      </c>
      <c r="I713" t="inlineStr">
        <is>
          <t>GBP</t>
        </is>
      </c>
      <c r="J713" s="7" t="n">
        <v>4774856.543</v>
      </c>
      <c r="K713" t="inlineStr">
        <is>
          <t>SYRM</t>
        </is>
      </c>
      <c r="L713" t="inlineStr"/>
      <c r="M713" s="8" t="n">
        <v>46254.34590277778</v>
      </c>
      <c r="N713" t="inlineStr">
        <is>
          <t>Quinn Kirby</t>
        </is>
      </c>
      <c r="O713" s="8" t="n">
        <v>46254.37090277778</v>
      </c>
      <c r="P713" t="inlineStr">
        <is>
          <t>Ellis Gallagher</t>
        </is>
      </c>
      <c r="Q713" t="inlineStr">
        <is>
          <t>LEDGER_OR_CASHFLOW_RECEIVED</t>
        </is>
      </c>
      <c r="R713" t="inlineStr">
        <is>
          <t>SYRM_ACKNOWLEDGED</t>
        </is>
      </c>
      <c r="S713" t="inlineStr">
        <is>
          <t>View details</t>
        </is>
      </c>
    </row>
    <row r="714">
      <c r="A714" t="inlineStr">
        <is>
          <t>359365220160</t>
        </is>
      </c>
      <c r="B714" t="inlineStr">
        <is>
          <t>Mallow Settlement Bank Oslo</t>
        </is>
      </c>
      <c r="C714" t="inlineStr">
        <is>
          <t>132544340094</t>
        </is>
      </c>
      <c r="D714" t="inlineStr">
        <is>
          <t>Pinehurst Clearing Oslo</t>
        </is>
      </c>
      <c r="E714" t="inlineStr">
        <is>
          <t>EUR</t>
        </is>
      </c>
      <c r="F714" t="inlineStr">
        <is>
          <t>NT26082000708</t>
        </is>
      </c>
      <c r="G714" s="6" t="n">
        <v>46254</v>
      </c>
      <c r="H714" s="7" t="n">
        <v>280293344.077</v>
      </c>
      <c r="I714" t="inlineStr">
        <is>
          <t>GBP</t>
        </is>
      </c>
      <c r="J714" s="7" t="n">
        <v>240491689.218</v>
      </c>
      <c r="K714" t="inlineStr">
        <is>
          <t>SWIFT</t>
        </is>
      </c>
      <c r="L714" t="inlineStr">
        <is>
          <t>Funding move</t>
        </is>
      </c>
      <c r="M714" s="8" t="n">
        <v>46254.72126157407</v>
      </c>
      <c r="N714" t="inlineStr">
        <is>
          <t>Kai Novak</t>
        </is>
      </c>
      <c r="O714" s="8" t="n">
        <v>46254.7858449074</v>
      </c>
      <c r="P714" t="inlineStr">
        <is>
          <t>Noor Sinclair</t>
        </is>
      </c>
      <c r="Q714" t="inlineStr">
        <is>
          <t>LEDGER_OR_CASHFLOW_RECEIVED</t>
        </is>
      </c>
      <c r="R714" t="inlineStr">
        <is>
          <t>SYRM_ACKNOWLEDGED</t>
        </is>
      </c>
      <c r="S714" t="inlineStr">
        <is>
          <t>View details</t>
        </is>
      </c>
    </row>
    <row r="715">
      <c r="A715" t="inlineStr">
        <is>
          <t>700726936098</t>
        </is>
      </c>
      <c r="B715" t="inlineStr">
        <is>
          <t>Pinehurst Commercial Bank Sydney</t>
        </is>
      </c>
      <c r="C715" t="inlineStr">
        <is>
          <t>468341071172</t>
        </is>
      </c>
      <c r="D715" t="inlineStr">
        <is>
          <t>Oriel Settlement Bank Madrid</t>
        </is>
      </c>
      <c r="E715" t="inlineStr">
        <is>
          <t>SAR</t>
        </is>
      </c>
      <c r="F715" t="inlineStr">
        <is>
          <t>NT26082000709</t>
        </is>
      </c>
      <c r="G715" s="6" t="n">
        <v>46254</v>
      </c>
      <c r="H715" s="7" t="n">
        <v>114632.66</v>
      </c>
      <c r="I715" t="inlineStr">
        <is>
          <t>GBP</t>
        </is>
      </c>
      <c r="J715" s="7" t="n">
        <v>23958.226</v>
      </c>
      <c r="K715" t="inlineStr">
        <is>
          <t>SYRM</t>
        </is>
      </c>
      <c r="L715" t="inlineStr">
        <is>
          <t>Funding move</t>
        </is>
      </c>
      <c r="M715" s="8" t="n">
        <v>46254.4759837963</v>
      </c>
      <c r="N715" t="inlineStr">
        <is>
          <t>Avery Prentice</t>
        </is>
      </c>
      <c r="O715" s="8" t="n">
        <v>46254.49612268519</v>
      </c>
      <c r="P715" t="inlineStr">
        <is>
          <t>Quinn Hollis</t>
        </is>
      </c>
      <c r="Q715" t="inlineStr">
        <is>
          <t>LEDGER_OR_CASHFLOW_RECEIVED</t>
        </is>
      </c>
      <c r="R715" t="inlineStr">
        <is>
          <t>SYRM_ACKNOWLEDGED</t>
        </is>
      </c>
      <c r="S715" t="inlineStr">
        <is>
          <t>View details</t>
        </is>
      </c>
    </row>
    <row r="716">
      <c r="A716" t="inlineStr">
        <is>
          <t>113829985108</t>
        </is>
      </c>
      <c r="B716" t="inlineStr">
        <is>
          <t>Umberton Trust Tokyo</t>
        </is>
      </c>
      <c r="C716" t="inlineStr">
        <is>
          <t>468341071172</t>
        </is>
      </c>
      <c r="D716" t="inlineStr">
        <is>
          <t>Granite Trust Frankfurt</t>
        </is>
      </c>
      <c r="E716" t="inlineStr">
        <is>
          <t>EUR</t>
        </is>
      </c>
      <c r="F716" t="inlineStr">
        <is>
          <t>NT26082000710</t>
        </is>
      </c>
      <c r="G716" s="6" t="n">
        <v>46254</v>
      </c>
      <c r="H716" s="7" t="n">
        <v>133786394.252</v>
      </c>
      <c r="I716" t="inlineStr">
        <is>
          <t>GBP</t>
        </is>
      </c>
      <c r="J716" s="7" t="n">
        <v>114788726.268</v>
      </c>
      <c r="K716" t="inlineStr">
        <is>
          <t>SYRM</t>
        </is>
      </c>
      <c r="L716" t="inlineStr"/>
      <c r="M716" s="8" t="n">
        <v>46254.49506944444</v>
      </c>
      <c r="N716" t="inlineStr">
        <is>
          <t>Greer Prentice</t>
        </is>
      </c>
      <c r="O716" s="8" t="n">
        <v>46254.53395833333</v>
      </c>
      <c r="P716" t="inlineStr">
        <is>
          <t>Blake Fairweather</t>
        </is>
      </c>
      <c r="Q716" t="inlineStr">
        <is>
          <t>LEDGER_OR_CASHFLOW_RECEIVED</t>
        </is>
      </c>
      <c r="R716" t="inlineStr">
        <is>
          <t>SYRM_ACKNOWLEDGED</t>
        </is>
      </c>
      <c r="S716" t="inlineStr">
        <is>
          <t>View details</t>
        </is>
      </c>
    </row>
    <row r="717">
      <c r="A717" t="inlineStr">
        <is>
          <t>171857983160</t>
        </is>
      </c>
      <c r="B717" t="inlineStr">
        <is>
          <t>Yarrow Trust Oslo</t>
        </is>
      </c>
      <c r="C717" t="inlineStr">
        <is>
          <t>910703979141</t>
        </is>
      </c>
      <c r="D717" t="inlineStr">
        <is>
          <t>Wrenfield Bank Paris</t>
        </is>
      </c>
      <c r="E717" t="inlineStr">
        <is>
          <t>AUD</t>
        </is>
      </c>
      <c r="F717" t="inlineStr">
        <is>
          <t>NT26082000711</t>
        </is>
      </c>
      <c r="G717" s="6" t="n">
        <v>46254</v>
      </c>
      <c r="H717" s="7" t="n">
        <v>13143873.953</v>
      </c>
      <c r="I717" t="inlineStr">
        <is>
          <t>GBP</t>
        </is>
      </c>
      <c r="J717" s="7" t="n">
        <v>6742807.338</v>
      </c>
      <c r="K717" t="inlineStr">
        <is>
          <t>SYRM</t>
        </is>
      </c>
      <c r="L717" t="inlineStr">
        <is>
          <t>Funding move</t>
        </is>
      </c>
      <c r="M717" s="8" t="n">
        <v>46254.20609953703</v>
      </c>
      <c r="N717" t="inlineStr">
        <is>
          <t>Quinn Lindqvist</t>
        </is>
      </c>
      <c r="O717" s="8" t="n">
        <v>46254.23457175926</v>
      </c>
      <c r="P717" t="inlineStr">
        <is>
          <t>Devon Jennings</t>
        </is>
      </c>
      <c r="Q717" t="inlineStr">
        <is>
          <t>LEDGER_OR_CASHFLOW_RECEIVED</t>
        </is>
      </c>
      <c r="R717" t="inlineStr">
        <is>
          <t>SYRM_ACKNOWLEDGED</t>
        </is>
      </c>
      <c r="S717" t="inlineStr">
        <is>
          <t>View details</t>
        </is>
      </c>
    </row>
    <row r="718">
      <c r="A718" t="inlineStr">
        <is>
          <t>953625291146</t>
        </is>
      </c>
      <c r="B718" t="inlineStr">
        <is>
          <t>Thornbury Commercial Bank London</t>
        </is>
      </c>
      <c r="C718" t="inlineStr">
        <is>
          <t>700726936098</t>
        </is>
      </c>
      <c r="D718" t="inlineStr">
        <is>
          <t>Nightjar Clearing Dublin</t>
        </is>
      </c>
      <c r="E718" t="inlineStr">
        <is>
          <t>USD</t>
        </is>
      </c>
      <c r="F718" t="inlineStr">
        <is>
          <t>NT26082000712</t>
        </is>
      </c>
      <c r="G718" s="6" t="n">
        <v>46254</v>
      </c>
      <c r="H718" s="7" t="n">
        <v>8185371.208</v>
      </c>
      <c r="I718" t="inlineStr">
        <is>
          <t>GBP</t>
        </is>
      </c>
      <c r="J718" s="7" t="n">
        <v>6417331.027</v>
      </c>
      <c r="K718" t="inlineStr">
        <is>
          <t>SYRM</t>
        </is>
      </c>
      <c r="L718" t="inlineStr"/>
      <c r="M718" s="8" t="n">
        <v>46254.79234953703</v>
      </c>
      <c r="N718" t="inlineStr">
        <is>
          <t>Oakley Rhodes</t>
        </is>
      </c>
      <c r="O718" s="8" t="n">
        <v>46254.82290509259</v>
      </c>
      <c r="P718" t="inlineStr">
        <is>
          <t>Ellis Delaney</t>
        </is>
      </c>
      <c r="Q718" t="inlineStr">
        <is>
          <t>LEDGER_OR_CASHFLOW_RECEIVED</t>
        </is>
      </c>
      <c r="R718" t="inlineStr">
        <is>
          <t>SYRM_ACKNOWLEDGED</t>
        </is>
      </c>
      <c r="S718" t="inlineStr">
        <is>
          <t>View details</t>
        </is>
      </c>
    </row>
    <row r="719">
      <c r="A719" t="inlineStr">
        <is>
          <t>910703979141</t>
        </is>
      </c>
      <c r="B719" t="inlineStr">
        <is>
          <t>Wrenfield Commercial Bank Oslo</t>
        </is>
      </c>
      <c r="C719" t="inlineStr">
        <is>
          <t>150316825069</t>
        </is>
      </c>
      <c r="D719" t="inlineStr">
        <is>
          <t>Zephyr Settlement Bank New York</t>
        </is>
      </c>
      <c r="E719" t="inlineStr">
        <is>
          <t>CHF</t>
        </is>
      </c>
      <c r="F719" t="inlineStr">
        <is>
          <t>NT26082000713</t>
        </is>
      </c>
      <c r="G719" s="6" t="n">
        <v>46254</v>
      </c>
      <c r="H719" s="7" t="n">
        <v>1369740.807</v>
      </c>
      <c r="I719" t="inlineStr">
        <is>
          <t>GBP</t>
        </is>
      </c>
      <c r="J719" s="7" t="n">
        <v>1228657.504</v>
      </c>
      <c r="K719" t="inlineStr">
        <is>
          <t>SYRM</t>
        </is>
      </c>
      <c r="L719" t="inlineStr">
        <is>
          <t>Funding move</t>
        </is>
      </c>
      <c r="M719" s="8" t="n">
        <v>46254.74251157408</v>
      </c>
      <c r="N719" t="inlineStr">
        <is>
          <t>Devon Delaney</t>
        </is>
      </c>
      <c r="O719" s="8" t="n">
        <v>46254.80501157408</v>
      </c>
      <c r="P719" t="inlineStr">
        <is>
          <t>Greer Osgood</t>
        </is>
      </c>
      <c r="Q719" t="inlineStr">
        <is>
          <t>LEDGER_OR_CASHFLOW_RECEIVED</t>
        </is>
      </c>
      <c r="R719" t="inlineStr">
        <is>
          <t>SYRM_ACKNOWLEDGED</t>
        </is>
      </c>
      <c r="S719" t="inlineStr">
        <is>
          <t>View details</t>
        </is>
      </c>
    </row>
    <row r="720">
      <c r="A720" t="inlineStr">
        <is>
          <t>499062838623</t>
        </is>
      </c>
      <c r="B720" t="inlineStr">
        <is>
          <t>Dunlin Commercial Bank Warsaw</t>
        </is>
      </c>
      <c r="C720" t="inlineStr">
        <is>
          <t>499062838623</t>
        </is>
      </c>
      <c r="D720" t="inlineStr">
        <is>
          <t>Harrow Bank Milan</t>
        </is>
      </c>
      <c r="E720" t="inlineStr">
        <is>
          <t>USD</t>
        </is>
      </c>
      <c r="F720" t="inlineStr">
        <is>
          <t>NT26082000714</t>
        </is>
      </c>
      <c r="G720" s="6" t="n">
        <v>46254</v>
      </c>
      <c r="H720" s="7" t="n">
        <v>487928324.46</v>
      </c>
      <c r="I720" t="inlineStr">
        <is>
          <t>GBP</t>
        </is>
      </c>
      <c r="J720" s="7" t="n">
        <v>382535806.377</v>
      </c>
      <c r="K720" t="inlineStr">
        <is>
          <t>SYRM</t>
        </is>
      </c>
      <c r="L720" t="inlineStr"/>
      <c r="M720" s="8" t="n">
        <v>46254.36309027778</v>
      </c>
      <c r="N720" t="inlineStr">
        <is>
          <t>Quinn Hollis</t>
        </is>
      </c>
      <c r="O720" s="8" t="n">
        <v>46254.37420138889</v>
      </c>
      <c r="P720" t="inlineStr">
        <is>
          <t>Finley Hollis</t>
        </is>
      </c>
      <c r="Q720" t="inlineStr">
        <is>
          <t>LEDGER_OR_CASHFLOW_RECEIVED</t>
        </is>
      </c>
      <c r="R720" t="inlineStr">
        <is>
          <t>SYRM_ACKNOWLEDGED</t>
        </is>
      </c>
      <c r="S720" t="inlineStr">
        <is>
          <t>View details</t>
        </is>
      </c>
    </row>
    <row r="721">
      <c r="A721" t="inlineStr">
        <is>
          <t>150316825069</t>
        </is>
      </c>
      <c r="B721" t="inlineStr">
        <is>
          <t>Wrenfield Clearing Frankfurt</t>
        </is>
      </c>
      <c r="C721" t="inlineStr">
        <is>
          <t>700726936098</t>
        </is>
      </c>
      <c r="D721" t="inlineStr">
        <is>
          <t>Wrenfield Commercial Bank Oslo</t>
        </is>
      </c>
      <c r="E721" t="inlineStr">
        <is>
          <t>GBP</t>
        </is>
      </c>
      <c r="F721" t="inlineStr">
        <is>
          <t>NT26082000715</t>
        </is>
      </c>
      <c r="G721" s="6" t="n">
        <v>46254</v>
      </c>
      <c r="H721" s="7" t="n">
        <v>3021919.911</v>
      </c>
      <c r="I721" t="inlineStr">
        <is>
          <t>GBP</t>
        </is>
      </c>
      <c r="J721" s="7" t="n">
        <v>3021919.911</v>
      </c>
      <c r="K721" t="inlineStr">
        <is>
          <t>SYRM</t>
        </is>
      </c>
      <c r="L721" t="inlineStr">
        <is>
          <t>Liquidity sweep</t>
        </is>
      </c>
      <c r="M721" s="8" t="n">
        <v>46254.27569444444</v>
      </c>
      <c r="N721" t="inlineStr">
        <is>
          <t>Harper Calloway</t>
        </is>
      </c>
      <c r="O721" s="8" t="n">
        <v>46254.3375</v>
      </c>
      <c r="P721" t="inlineStr">
        <is>
          <t>Greer Osgood</t>
        </is>
      </c>
      <c r="Q721" t="inlineStr">
        <is>
          <t>LEDGER_OR_CASHFLOW_RECEIVED</t>
        </is>
      </c>
      <c r="R721" t="inlineStr">
        <is>
          <t>SYRM_ACKNOWLEDGED</t>
        </is>
      </c>
      <c r="S721" t="inlineStr">
        <is>
          <t>View details</t>
        </is>
      </c>
    </row>
    <row r="722">
      <c r="A722" t="inlineStr">
        <is>
          <t>265771593142</t>
        </is>
      </c>
      <c r="B722" t="inlineStr">
        <is>
          <t>Redstart Trust Mexico City</t>
        </is>
      </c>
      <c r="C722" t="inlineStr">
        <is>
          <t>468341071172</t>
        </is>
      </c>
      <c r="D722" t="inlineStr">
        <is>
          <t>Wrenfield Clearing Frankfurt</t>
        </is>
      </c>
      <c r="E722" t="inlineStr">
        <is>
          <t>EUR</t>
        </is>
      </c>
      <c r="F722" t="inlineStr">
        <is>
          <t>NT26082000716</t>
        </is>
      </c>
      <c r="G722" s="6" t="n">
        <v>46254</v>
      </c>
      <c r="H722" s="7" t="n">
        <v>107235317.27</v>
      </c>
      <c r="I722" t="inlineStr">
        <is>
          <t>GBP</t>
        </is>
      </c>
      <c r="J722" s="7" t="n">
        <v>92007902.21799999</v>
      </c>
      <c r="K722" t="inlineStr">
        <is>
          <t>SWIFT</t>
        </is>
      </c>
      <c r="L722" t="inlineStr">
        <is>
          <t>Liquidity sweep</t>
        </is>
      </c>
      <c r="M722" s="8" t="n">
        <v>46254.58533564815</v>
      </c>
      <c r="N722" t="inlineStr">
        <is>
          <t>Ellis Gallagher</t>
        </is>
      </c>
      <c r="O722" s="8" t="n">
        <v>46254.61172453704</v>
      </c>
      <c r="P722" t="inlineStr">
        <is>
          <t>Quinn Kirby</t>
        </is>
      </c>
      <c r="Q722" t="inlineStr">
        <is>
          <t>LEDGER_OR_CASHFLOW_RECEIVED</t>
        </is>
      </c>
      <c r="R722" t="inlineStr">
        <is>
          <t>SYRM_ACKNOWLEDGED</t>
        </is>
      </c>
      <c r="S722" t="inlineStr">
        <is>
          <t>View details</t>
        </is>
      </c>
    </row>
    <row r="723">
      <c r="A723" t="inlineStr">
        <is>
          <t>150316825069</t>
        </is>
      </c>
      <c r="B723" t="inlineStr">
        <is>
          <t>Cedar Settlement Bank Hong Kong</t>
        </is>
      </c>
      <c r="C723" t="inlineStr">
        <is>
          <t>132544340094</t>
        </is>
      </c>
      <c r="D723" t="inlineStr">
        <is>
          <t>Wrenfield Clearing Frankfurt</t>
        </is>
      </c>
      <c r="E723" t="inlineStr">
        <is>
          <t>GBP</t>
        </is>
      </c>
      <c r="F723" t="inlineStr">
        <is>
          <t>NT26082000717</t>
        </is>
      </c>
      <c r="G723" s="6" t="n">
        <v>46254</v>
      </c>
      <c r="H723" s="7" t="n">
        <v>191090207.444</v>
      </c>
      <c r="I723" t="inlineStr">
        <is>
          <t>GBP</t>
        </is>
      </c>
      <c r="J723" s="7" t="n">
        <v>191090207.444</v>
      </c>
      <c r="K723" t="inlineStr">
        <is>
          <t>SYRM</t>
        </is>
      </c>
      <c r="L723" t="inlineStr">
        <is>
          <t>Funding move</t>
        </is>
      </c>
      <c r="M723" s="8" t="n">
        <v>46254.49967592592</v>
      </c>
      <c r="N723" t="inlineStr">
        <is>
          <t>Quinn Osgood</t>
        </is>
      </c>
      <c r="O723" s="8" t="n">
        <v>46254.53787037037</v>
      </c>
      <c r="P723" t="inlineStr">
        <is>
          <t>Finley Jennings</t>
        </is>
      </c>
      <c r="Q723" t="inlineStr">
        <is>
          <t>LEDGER_OR_CASHFLOW_RECEIVED</t>
        </is>
      </c>
      <c r="R723" t="inlineStr">
        <is>
          <t>SYRM_ACKNOWLEDGED</t>
        </is>
      </c>
      <c r="S723" t="inlineStr">
        <is>
          <t>View details</t>
        </is>
      </c>
    </row>
    <row r="724">
      <c r="A724" t="inlineStr">
        <is>
          <t>499062838623</t>
        </is>
      </c>
      <c r="B724" t="inlineStr">
        <is>
          <t>Ironbark Trust Dublin</t>
        </is>
      </c>
      <c r="C724" t="inlineStr">
        <is>
          <t>113829985108</t>
        </is>
      </c>
      <c r="D724" t="inlineStr">
        <is>
          <t>Kestrel Clearing Oslo</t>
        </is>
      </c>
      <c r="E724" t="inlineStr">
        <is>
          <t>USD</t>
        </is>
      </c>
      <c r="F724" t="inlineStr">
        <is>
          <t>NT26082000718</t>
        </is>
      </c>
      <c r="G724" s="6" t="n">
        <v>46254</v>
      </c>
      <c r="H724" s="7" t="n">
        <v>940041469.8559999</v>
      </c>
      <c r="I724" t="inlineStr">
        <is>
          <t>GBP</t>
        </is>
      </c>
      <c r="J724" s="7" t="n">
        <v>736992512.367</v>
      </c>
      <c r="K724" t="inlineStr">
        <is>
          <t>SYRM</t>
        </is>
      </c>
      <c r="L724" t="inlineStr"/>
      <c r="M724" s="8" t="n">
        <v>46254.38981481481</v>
      </c>
      <c r="N724" t="inlineStr">
        <is>
          <t>Wren Delaney</t>
        </is>
      </c>
      <c r="O724" s="8" t="n">
        <v>46254.4537037037</v>
      </c>
      <c r="P724" t="inlineStr">
        <is>
          <t>Kai Calloway</t>
        </is>
      </c>
      <c r="Q724" t="inlineStr">
        <is>
          <t>LEDGER_OR_CASHFLOW_RECEIVED</t>
        </is>
      </c>
      <c r="R724" t="inlineStr">
        <is>
          <t>SYRM_ACKNOWLEDGED</t>
        </is>
      </c>
      <c r="S724" t="inlineStr">
        <is>
          <t>View details</t>
        </is>
      </c>
    </row>
    <row r="725">
      <c r="A725" t="inlineStr">
        <is>
          <t>132544340094</t>
        </is>
      </c>
      <c r="B725" t="inlineStr">
        <is>
          <t>Wrenfield Clearing Mexico City</t>
        </is>
      </c>
      <c r="C725" t="inlineStr">
        <is>
          <t>968942362772</t>
        </is>
      </c>
      <c r="D725" t="inlineStr">
        <is>
          <t>Pinehurst Trust Toronto</t>
        </is>
      </c>
      <c r="E725" t="inlineStr">
        <is>
          <t>CZK</t>
        </is>
      </c>
      <c r="F725" t="inlineStr">
        <is>
          <t>NT26082000719</t>
        </is>
      </c>
      <c r="G725" s="6" t="n">
        <v>46254</v>
      </c>
      <c r="H725" s="7" t="n">
        <v>16801552.097</v>
      </c>
      <c r="I725" t="inlineStr">
        <is>
          <t>GBP</t>
        </is>
      </c>
      <c r="J725" s="7" t="n">
        <v>569572.616</v>
      </c>
      <c r="K725" t="inlineStr">
        <is>
          <t>SYRM</t>
        </is>
      </c>
      <c r="L725" t="inlineStr">
        <is>
          <t>Liquidity sweep</t>
        </is>
      </c>
      <c r="M725" s="8" t="n">
        <v>46254.64042824074</v>
      </c>
      <c r="N725" t="inlineStr">
        <is>
          <t>Sawyer Calloway</t>
        </is>
      </c>
      <c r="O725" s="8" t="n">
        <v>46254.6758449074</v>
      </c>
      <c r="P725" t="inlineStr">
        <is>
          <t>Devon Jennings</t>
        </is>
      </c>
      <c r="Q725" t="inlineStr">
        <is>
          <t>LEDGER_OR_CASHFLOW_RECEIVED</t>
        </is>
      </c>
      <c r="R725" t="inlineStr">
        <is>
          <t>SYRM_ACKNOWLEDGED</t>
        </is>
      </c>
      <c r="S725" t="inlineStr">
        <is>
          <t>View details</t>
        </is>
      </c>
    </row>
    <row r="726">
      <c r="A726" t="inlineStr">
        <is>
          <t>120047354818</t>
        </is>
      </c>
      <c r="B726" t="inlineStr">
        <is>
          <t>Dunlin Commercial Bank Warsaw</t>
        </is>
      </c>
      <c r="C726" t="inlineStr">
        <is>
          <t>910703979141</t>
        </is>
      </c>
      <c r="D726" t="inlineStr">
        <is>
          <t>Pinehurst Trust Toronto</t>
        </is>
      </c>
      <c r="E726" t="inlineStr">
        <is>
          <t>USD</t>
        </is>
      </c>
      <c r="F726" t="inlineStr">
        <is>
          <t>NT26082000720</t>
        </is>
      </c>
      <c r="G726" s="6" t="n">
        <v>46254</v>
      </c>
      <c r="H726" s="7" t="n">
        <v>100698503.238</v>
      </c>
      <c r="I726" t="inlineStr">
        <is>
          <t>GBP</t>
        </is>
      </c>
      <c r="J726" s="7" t="n">
        <v>78947626.539</v>
      </c>
      <c r="K726" t="inlineStr">
        <is>
          <t>INTERNAL</t>
        </is>
      </c>
      <c r="L726" t="inlineStr"/>
      <c r="M726" s="8" t="n">
        <v>46254.33869212963</v>
      </c>
      <c r="N726" t="inlineStr">
        <is>
          <t>Devon Delaney</t>
        </is>
      </c>
      <c r="O726" s="8" t="n">
        <v>46254.36924768519</v>
      </c>
      <c r="P726" t="inlineStr">
        <is>
          <t>Marlow Sinclair</t>
        </is>
      </c>
      <c r="Q726" t="inlineStr">
        <is>
          <t>FAILED</t>
        </is>
      </c>
      <c r="R726" t="inlineStr">
        <is>
          <t>SYRM_ACKNOWLEDGED</t>
        </is>
      </c>
      <c r="S726" t="inlineStr">
        <is>
          <t>View details</t>
        </is>
      </c>
    </row>
    <row r="727">
      <c r="A727" t="inlineStr">
        <is>
          <t>794226063698</t>
        </is>
      </c>
      <c r="B727" t="inlineStr">
        <is>
          <t>Yarrow Settlement Bank Oslo</t>
        </is>
      </c>
      <c r="C727" t="inlineStr">
        <is>
          <t>953625291146</t>
        </is>
      </c>
      <c r="D727" t="inlineStr">
        <is>
          <t>Larkspur Clearing New York</t>
        </is>
      </c>
      <c r="E727" t="inlineStr">
        <is>
          <t>AED</t>
        </is>
      </c>
      <c r="F727" t="inlineStr">
        <is>
          <t>NT26082000721</t>
        </is>
      </c>
      <c r="G727" s="6" t="n">
        <v>46254</v>
      </c>
      <c r="H727" s="7" t="n">
        <v>47042389.823</v>
      </c>
      <c r="I727" t="inlineStr">
        <is>
          <t>GBP</t>
        </is>
      </c>
      <c r="J727" s="7" t="n">
        <v>10020029.032</v>
      </c>
      <c r="K727" t="inlineStr">
        <is>
          <t>SWIFT</t>
        </is>
      </c>
      <c r="L727" t="inlineStr">
        <is>
          <t>Funding move</t>
        </is>
      </c>
      <c r="M727" s="8" t="n">
        <v>46254.66722222222</v>
      </c>
      <c r="N727" t="inlineStr">
        <is>
          <t>Oakley Prentice</t>
        </is>
      </c>
      <c r="O727" s="8" t="n">
        <v>46254.70055555556</v>
      </c>
      <c r="P727" t="inlineStr">
        <is>
          <t>Devon Delaney</t>
        </is>
      </c>
      <c r="Q727" t="inlineStr">
        <is>
          <t>LEDGER_OR_CASHFLOW_RECEIVED</t>
        </is>
      </c>
      <c r="R727" t="inlineStr">
        <is>
          <t>SYRM_ACKNOWLEDGED</t>
        </is>
      </c>
      <c r="S727" t="inlineStr">
        <is>
          <t>View details</t>
        </is>
      </c>
    </row>
    <row r="728">
      <c r="A728" t="inlineStr">
        <is>
          <t>794226063698</t>
        </is>
      </c>
      <c r="B728" t="inlineStr">
        <is>
          <t>Juniper Trust London</t>
        </is>
      </c>
      <c r="C728" t="inlineStr">
        <is>
          <t>171857983160</t>
        </is>
      </c>
      <c r="D728" t="inlineStr">
        <is>
          <t>Wrenfield Trust Tokyo</t>
        </is>
      </c>
      <c r="E728" t="inlineStr">
        <is>
          <t>AED</t>
        </is>
      </c>
      <c r="F728" t="inlineStr">
        <is>
          <t>NT26082000722</t>
        </is>
      </c>
      <c r="G728" s="6" t="n">
        <v>46254</v>
      </c>
      <c r="H728" s="7" t="n">
        <v>8195173.159</v>
      </c>
      <c r="I728" t="inlineStr">
        <is>
          <t>GBP</t>
        </is>
      </c>
      <c r="J728" s="7" t="n">
        <v>1745571.883</v>
      </c>
      <c r="K728" t="inlineStr">
        <is>
          <t>SYRM</t>
        </is>
      </c>
      <c r="L728" t="inlineStr">
        <is>
          <t>Intraday top-up</t>
        </is>
      </c>
      <c r="M728" s="8" t="n">
        <v>46254.60903935185</v>
      </c>
      <c r="N728" t="inlineStr">
        <is>
          <t>Devon Calloway</t>
        </is>
      </c>
      <c r="O728" s="8" t="n"/>
      <c r="Q728" t="inlineStr">
        <is>
          <t>PENDING_APPROVAL</t>
        </is>
      </c>
      <c r="R728" t="inlineStr">
        <is>
          <t>SYRM_ACKNOWLEDGED</t>
        </is>
      </c>
      <c r="S728" t="inlineStr">
        <is>
          <t>View details</t>
        </is>
      </c>
    </row>
    <row r="729">
      <c r="A729" t="inlineStr">
        <is>
          <t>150316825069</t>
        </is>
      </c>
      <c r="B729" t="inlineStr">
        <is>
          <t>Thornbury Commercial Bank London</t>
        </is>
      </c>
      <c r="C729" t="inlineStr">
        <is>
          <t>265771593142</t>
        </is>
      </c>
      <c r="D729" t="inlineStr">
        <is>
          <t>Nightjar Bank Stockholm</t>
        </is>
      </c>
      <c r="E729" t="inlineStr">
        <is>
          <t>GBP</t>
        </is>
      </c>
      <c r="F729" t="inlineStr">
        <is>
          <t>NT26082000723</t>
        </is>
      </c>
      <c r="G729" s="6" t="n">
        <v>46254</v>
      </c>
      <c r="H729" s="7" t="n">
        <v>337463758.445</v>
      </c>
      <c r="I729" t="inlineStr">
        <is>
          <t>GBP</t>
        </is>
      </c>
      <c r="J729" s="7" t="n">
        <v>337463758.445</v>
      </c>
      <c r="K729" t="inlineStr">
        <is>
          <t>SYRM</t>
        </is>
      </c>
      <c r="L729" t="inlineStr">
        <is>
          <t>Liquidity sweep</t>
        </is>
      </c>
      <c r="M729" s="8" t="n">
        <v>46254.5349537037</v>
      </c>
      <c r="N729" t="inlineStr">
        <is>
          <t>Quinn Hollis</t>
        </is>
      </c>
      <c r="O729" s="8" t="n">
        <v>46254.56550925926</v>
      </c>
      <c r="P729" t="inlineStr">
        <is>
          <t>Greer Osgood</t>
        </is>
      </c>
      <c r="Q729" t="inlineStr">
        <is>
          <t>LEDGER_RECEIVED</t>
        </is>
      </c>
      <c r="R729" t="inlineStr">
        <is>
          <t>SYRM_ACKNOWLEDGED</t>
        </is>
      </c>
      <c r="S729" t="inlineStr">
        <is>
          <t>View details</t>
        </is>
      </c>
    </row>
    <row r="730">
      <c r="A730" t="inlineStr">
        <is>
          <t>968942362772</t>
        </is>
      </c>
      <c r="B730" t="inlineStr">
        <is>
          <t>Oriel Commercial Bank Toronto</t>
        </is>
      </c>
      <c r="C730" t="inlineStr">
        <is>
          <t>700726936098</t>
        </is>
      </c>
      <c r="D730" t="inlineStr">
        <is>
          <t>Ironbark Trust Dublin</t>
        </is>
      </c>
      <c r="E730" t="inlineStr">
        <is>
          <t>EUR</t>
        </is>
      </c>
      <c r="F730" t="inlineStr">
        <is>
          <t>NT26082000724</t>
        </is>
      </c>
      <c r="G730" s="6" t="n">
        <v>46254</v>
      </c>
      <c r="H730" s="7" t="n">
        <v>63413973.299</v>
      </c>
      <c r="I730" t="inlineStr">
        <is>
          <t>GBP</t>
        </is>
      </c>
      <c r="J730" s="7" t="n">
        <v>54409189.091</v>
      </c>
      <c r="K730" t="inlineStr">
        <is>
          <t>SWIFT</t>
        </is>
      </c>
      <c r="L730" t="inlineStr">
        <is>
          <t>Intraday top-up</t>
        </is>
      </c>
      <c r="M730" s="8" t="n">
        <v>46254.47400462963</v>
      </c>
      <c r="N730" t="inlineStr">
        <is>
          <t>Ellis Gallagher</t>
        </is>
      </c>
      <c r="O730" s="8" t="n">
        <v>46254.50872685185</v>
      </c>
      <c r="P730" t="inlineStr">
        <is>
          <t>Greer Prentice</t>
        </is>
      </c>
      <c r="Q730" t="inlineStr">
        <is>
          <t>LEDGER_OR_CASHFLOW_RECEIVED</t>
        </is>
      </c>
      <c r="R730" t="inlineStr">
        <is>
          <t>SYRM_ACKNOWLEDGED</t>
        </is>
      </c>
      <c r="S730" t="inlineStr">
        <is>
          <t>View details</t>
        </is>
      </c>
    </row>
    <row r="731">
      <c r="A731" t="inlineStr">
        <is>
          <t>499062838623</t>
        </is>
      </c>
      <c r="B731" t="inlineStr">
        <is>
          <t>Kestrel Clearing Oslo</t>
        </is>
      </c>
      <c r="C731" t="inlineStr">
        <is>
          <t>171857983160</t>
        </is>
      </c>
      <c r="D731" t="inlineStr">
        <is>
          <t>Yarrow Bank Stockholm</t>
        </is>
      </c>
      <c r="E731" t="inlineStr">
        <is>
          <t>USD</t>
        </is>
      </c>
      <c r="F731" t="inlineStr">
        <is>
          <t>NT26082000725</t>
        </is>
      </c>
      <c r="G731" s="6" t="n">
        <v>46254</v>
      </c>
      <c r="H731" s="7" t="n">
        <v>17669.165</v>
      </c>
      <c r="I731" t="inlineStr">
        <is>
          <t>GBP</t>
        </is>
      </c>
      <c r="J731" s="7" t="n">
        <v>13852.625</v>
      </c>
      <c r="K731" t="inlineStr">
        <is>
          <t>INTERNAL</t>
        </is>
      </c>
      <c r="L731" t="inlineStr">
        <is>
          <t>Funding move</t>
        </is>
      </c>
      <c r="M731" s="8" t="n">
        <v>46254.56277777778</v>
      </c>
      <c r="N731" t="inlineStr">
        <is>
          <t>Marlow Rhodes</t>
        </is>
      </c>
      <c r="O731" s="8" t="n">
        <v>46254.56972222222</v>
      </c>
      <c r="P731" t="inlineStr">
        <is>
          <t>Finley Hollis</t>
        </is>
      </c>
      <c r="Q731" t="inlineStr">
        <is>
          <t>LEDGER_RECEIVED</t>
        </is>
      </c>
      <c r="R731" t="inlineStr">
        <is>
          <t>SYRM_ACKNOWLEDGED</t>
        </is>
      </c>
      <c r="S731" t="inlineStr">
        <is>
          <t>View details</t>
        </is>
      </c>
    </row>
    <row r="732">
      <c r="A732" t="inlineStr">
        <is>
          <t>120047354818</t>
        </is>
      </c>
      <c r="B732" t="inlineStr">
        <is>
          <t>Juniper Clearing Hong Kong</t>
        </is>
      </c>
      <c r="C732" t="inlineStr">
        <is>
          <t>898317028833</t>
        </is>
      </c>
      <c r="D732" t="inlineStr">
        <is>
          <t>Larkspur Clearing New York</t>
        </is>
      </c>
      <c r="E732" t="inlineStr">
        <is>
          <t>USD</t>
        </is>
      </c>
      <c r="F732" t="inlineStr">
        <is>
          <t>NT26082000726</t>
        </is>
      </c>
      <c r="G732" s="6" t="n">
        <v>46254</v>
      </c>
      <c r="H732" s="7" t="n">
        <v>3794859.037</v>
      </c>
      <c r="I732" t="inlineStr">
        <is>
          <t>GBP</t>
        </is>
      </c>
      <c r="J732" s="7" t="n">
        <v>2975169.485</v>
      </c>
      <c r="K732" t="inlineStr">
        <is>
          <t>INTERNAL</t>
        </is>
      </c>
      <c r="L732" t="inlineStr"/>
      <c r="M732" s="8" t="n">
        <v>46254.40715277778</v>
      </c>
      <c r="N732" t="inlineStr">
        <is>
          <t>Finley Hollis</t>
        </is>
      </c>
      <c r="O732" s="8" t="n">
        <v>46254.423125</v>
      </c>
      <c r="P732" t="inlineStr">
        <is>
          <t>Quinn Lindqvist</t>
        </is>
      </c>
      <c r="Q732" t="inlineStr">
        <is>
          <t>LEDGER_OR_CASHFLOW_RECEIVED</t>
        </is>
      </c>
      <c r="R732" t="inlineStr">
        <is>
          <t>SYRM_ACKNOWLEDGED</t>
        </is>
      </c>
      <c r="S732" t="inlineStr">
        <is>
          <t>View details</t>
        </is>
      </c>
    </row>
    <row r="733">
      <c r="A733" t="inlineStr">
        <is>
          <t>794226063698</t>
        </is>
      </c>
      <c r="B733" t="inlineStr">
        <is>
          <t>Redstart Commercial Bank Dublin</t>
        </is>
      </c>
      <c r="C733" t="inlineStr">
        <is>
          <t>113829985108</t>
        </is>
      </c>
      <c r="D733" t="inlineStr">
        <is>
          <t>Fernway Trust Tokyo</t>
        </is>
      </c>
      <c r="E733" t="inlineStr">
        <is>
          <t>AED</t>
        </is>
      </c>
      <c r="F733" t="inlineStr">
        <is>
          <t>NT26082000727</t>
        </is>
      </c>
      <c r="G733" s="6" t="n">
        <v>46254</v>
      </c>
      <c r="H733" s="7" t="n">
        <v>101459940.925</v>
      </c>
      <c r="I733" t="inlineStr">
        <is>
          <t>GBP</t>
        </is>
      </c>
      <c r="J733" s="7" t="n">
        <v>21610967.417</v>
      </c>
      <c r="K733" t="inlineStr">
        <is>
          <t>SYRM</t>
        </is>
      </c>
      <c r="L733" t="inlineStr"/>
      <c r="M733" s="8" t="n">
        <v>46254.42829861111</v>
      </c>
      <c r="N733" t="inlineStr">
        <is>
          <t>Marlow Thorne</t>
        </is>
      </c>
      <c r="O733" s="8" t="n">
        <v>46254.45329861111</v>
      </c>
      <c r="P733" t="inlineStr">
        <is>
          <t>Noor Thorne</t>
        </is>
      </c>
      <c r="Q733" t="inlineStr">
        <is>
          <t>LEDGER_OR_CASHFLOW_RECEIVED</t>
        </is>
      </c>
      <c r="R733" t="inlineStr">
        <is>
          <t>SYRM_ACKNOWLEDGED</t>
        </is>
      </c>
      <c r="S733" t="inlineStr">
        <is>
          <t>View details</t>
        </is>
      </c>
    </row>
    <row r="734">
      <c r="A734" t="inlineStr">
        <is>
          <t>824840705580</t>
        </is>
      </c>
      <c r="B734" t="inlineStr">
        <is>
          <t>Pinehurst Settlement Bank Frankfurt</t>
        </is>
      </c>
      <c r="C734" t="inlineStr">
        <is>
          <t>499062838623</t>
        </is>
      </c>
      <c r="D734" t="inlineStr">
        <is>
          <t>Juniper Bank Warsaw</t>
        </is>
      </c>
      <c r="E734" t="inlineStr">
        <is>
          <t>EUR</t>
        </is>
      </c>
      <c r="F734" t="inlineStr">
        <is>
          <t>NT26082000728</t>
        </is>
      </c>
      <c r="G734" s="6" t="n">
        <v>46254</v>
      </c>
      <c r="H734" s="7" t="n">
        <v>209254308.119</v>
      </c>
      <c r="I734" t="inlineStr">
        <is>
          <t>GBP</t>
        </is>
      </c>
      <c r="J734" s="7" t="n">
        <v>179540196.366</v>
      </c>
      <c r="K734" t="inlineStr">
        <is>
          <t>SWIFT</t>
        </is>
      </c>
      <c r="L734" t="inlineStr">
        <is>
          <t>Balance alignment</t>
        </is>
      </c>
      <c r="M734" s="8" t="n">
        <v>46254.39736111111</v>
      </c>
      <c r="N734" t="inlineStr">
        <is>
          <t>Kai Novak</t>
        </is>
      </c>
      <c r="O734" s="8" t="n">
        <v>46254.46125</v>
      </c>
      <c r="P734" t="inlineStr">
        <is>
          <t>Wren Fairweather</t>
        </is>
      </c>
      <c r="Q734" t="inlineStr">
        <is>
          <t>LEDGER_OR_CASHFLOW_RECEIVED</t>
        </is>
      </c>
      <c r="R734" t="inlineStr">
        <is>
          <t>SYRM_ACKNOWLEDGED</t>
        </is>
      </c>
      <c r="S734" t="inlineStr">
        <is>
          <t>View details</t>
        </is>
      </c>
    </row>
    <row r="735">
      <c r="A735" t="inlineStr">
        <is>
          <t>968942362772</t>
        </is>
      </c>
      <c r="B735" t="inlineStr">
        <is>
          <t>Mallow Settlement Bank Oslo</t>
        </is>
      </c>
      <c r="C735" t="inlineStr">
        <is>
          <t>910703979141</t>
        </is>
      </c>
      <c r="D735" t="inlineStr">
        <is>
          <t>Wrenfield Clearing Mexico City</t>
        </is>
      </c>
      <c r="E735" t="inlineStr">
        <is>
          <t>EUR</t>
        </is>
      </c>
      <c r="F735" t="inlineStr">
        <is>
          <t>NT26082000729</t>
        </is>
      </c>
      <c r="G735" s="6" t="n">
        <v>46254</v>
      </c>
      <c r="H735" s="7" t="n">
        <v>19813133.536</v>
      </c>
      <c r="I735" t="inlineStr">
        <is>
          <t>GBP</t>
        </is>
      </c>
      <c r="J735" s="7" t="n">
        <v>16999668.574</v>
      </c>
      <c r="K735" t="inlineStr">
        <is>
          <t>SYRM</t>
        </is>
      </c>
      <c r="L735" t="inlineStr">
        <is>
          <t>Intraday top-up</t>
        </is>
      </c>
      <c r="M735" s="8" t="n">
        <v>46254.42319444445</v>
      </c>
      <c r="N735" t="inlineStr">
        <is>
          <t>Avery Sinclair</t>
        </is>
      </c>
      <c r="O735" s="8" t="n">
        <v>46254.46138888889</v>
      </c>
      <c r="P735" t="inlineStr">
        <is>
          <t>Wren Hollis</t>
        </is>
      </c>
      <c r="Q735" t="inlineStr">
        <is>
          <t>LEDGER_OR_CASHFLOW_RECEIVED</t>
        </is>
      </c>
      <c r="R735" t="inlineStr">
        <is>
          <t>SYRM_ACKNOWLEDGED</t>
        </is>
      </c>
      <c r="S735" t="inlineStr">
        <is>
          <t>View details</t>
        </is>
      </c>
    </row>
    <row r="736">
      <c r="A736" t="inlineStr">
        <is>
          <t>726928343448</t>
        </is>
      </c>
      <c r="B736" t="inlineStr">
        <is>
          <t>Juniper Trust London</t>
        </is>
      </c>
      <c r="C736" t="inlineStr">
        <is>
          <t>150316825069</t>
        </is>
      </c>
      <c r="D736" t="inlineStr">
        <is>
          <t>Cedar Settlement Bank Hong Kong</t>
        </is>
      </c>
      <c r="E736" t="inlineStr">
        <is>
          <t>EUR</t>
        </is>
      </c>
      <c r="F736" t="inlineStr">
        <is>
          <t>NT26082000730</t>
        </is>
      </c>
      <c r="G736" s="6" t="n">
        <v>46254</v>
      </c>
      <c r="H736" s="7" t="n">
        <v>1059683.226</v>
      </c>
      <c r="I736" t="inlineStr">
        <is>
          <t>GBP</t>
        </is>
      </c>
      <c r="J736" s="7" t="n">
        <v>909208.208</v>
      </c>
      <c r="K736" t="inlineStr">
        <is>
          <t>SYRM</t>
        </is>
      </c>
      <c r="L736" t="inlineStr">
        <is>
          <t>Funding move</t>
        </is>
      </c>
      <c r="M736" s="8" t="n">
        <v>46254.67421296296</v>
      </c>
      <c r="N736" t="inlineStr">
        <is>
          <t>Quinn Osgood</t>
        </is>
      </c>
      <c r="O736" s="8" t="n">
        <v>46254.70685185185</v>
      </c>
      <c r="P736" t="inlineStr">
        <is>
          <t>Lennox Ellison</t>
        </is>
      </c>
      <c r="Q736" t="inlineStr">
        <is>
          <t>LEDGER_OR_CASHFLOW_RECEIVED</t>
        </is>
      </c>
      <c r="R736" t="inlineStr">
        <is>
          <t>SYRM_ACKNOWLEDGED</t>
        </is>
      </c>
      <c r="S736" t="inlineStr">
        <is>
          <t>View details</t>
        </is>
      </c>
    </row>
    <row r="737">
      <c r="A737" t="inlineStr">
        <is>
          <t>726928343448</t>
        </is>
      </c>
      <c r="B737" t="inlineStr">
        <is>
          <t>Oriel Commercial Bank Toronto</t>
        </is>
      </c>
      <c r="C737" t="inlineStr">
        <is>
          <t>150316825069</t>
        </is>
      </c>
      <c r="D737" t="inlineStr">
        <is>
          <t>Wrenfield Bank Paris</t>
        </is>
      </c>
      <c r="E737" t="inlineStr">
        <is>
          <t>EUR</t>
        </is>
      </c>
      <c r="F737" t="inlineStr">
        <is>
          <t>NT26082000731</t>
        </is>
      </c>
      <c r="G737" s="6" t="n">
        <v>46254</v>
      </c>
      <c r="H737" s="7" t="n">
        <v>6060427</v>
      </c>
      <c r="I737" t="inlineStr">
        <is>
          <t>GBP</t>
        </is>
      </c>
      <c r="J737" s="7" t="n">
        <v>5199846.366</v>
      </c>
      <c r="K737" t="inlineStr">
        <is>
          <t>SWIFT</t>
        </is>
      </c>
      <c r="L737" t="inlineStr">
        <is>
          <t>Funding move</t>
        </is>
      </c>
      <c r="M737" s="8" t="n">
        <v>46254.52234953704</v>
      </c>
      <c r="N737" t="inlineStr">
        <is>
          <t>Greer Osgood</t>
        </is>
      </c>
      <c r="O737" s="8" t="n">
        <v>46254.55846064815</v>
      </c>
      <c r="P737" t="inlineStr">
        <is>
          <t>Marlow Sinclair</t>
        </is>
      </c>
      <c r="Q737" t="inlineStr">
        <is>
          <t>LEDGER_OR_CASHFLOW_RECEIVED</t>
        </is>
      </c>
      <c r="R737" t="inlineStr">
        <is>
          <t>SYRM_ACKNOWLEDGED</t>
        </is>
      </c>
      <c r="S737" t="inlineStr">
        <is>
          <t>View details</t>
        </is>
      </c>
    </row>
    <row r="738">
      <c r="A738" t="inlineStr">
        <is>
          <t>794226063698</t>
        </is>
      </c>
      <c r="B738" t="inlineStr">
        <is>
          <t>Granite Commercial Bank Milan</t>
        </is>
      </c>
      <c r="C738" t="inlineStr">
        <is>
          <t>794226063698</t>
        </is>
      </c>
      <c r="D738" t="inlineStr">
        <is>
          <t>Dunlin Commercial Bank Paris</t>
        </is>
      </c>
      <c r="E738" t="inlineStr">
        <is>
          <t>AED</t>
        </is>
      </c>
      <c r="F738" t="inlineStr">
        <is>
          <t>NT26082000732</t>
        </is>
      </c>
      <c r="G738" s="6" t="n">
        <v>46254</v>
      </c>
      <c r="H738" s="7" t="n">
        <v>24915800.162</v>
      </c>
      <c r="I738" t="inlineStr">
        <is>
          <t>GBP</t>
        </is>
      </c>
      <c r="J738" s="7" t="n">
        <v>5307065.435</v>
      </c>
      <c r="K738" t="inlineStr">
        <is>
          <t>SWIFT</t>
        </is>
      </c>
      <c r="L738" t="inlineStr"/>
      <c r="M738" s="8" t="n">
        <v>46254.3466087963</v>
      </c>
      <c r="N738" t="inlineStr">
        <is>
          <t>Tatum Ashford</t>
        </is>
      </c>
      <c r="O738" s="8" t="n">
        <v>46254.38827546296</v>
      </c>
      <c r="P738" t="inlineStr">
        <is>
          <t>Greer Osgood</t>
        </is>
      </c>
      <c r="Q738" t="inlineStr">
        <is>
          <t>LEDGER_OR_CASHFLOW_RECEIVED</t>
        </is>
      </c>
      <c r="R738" t="inlineStr">
        <is>
          <t>SYRM_ACKNOWLEDGED</t>
        </is>
      </c>
      <c r="S738" t="inlineStr">
        <is>
          <t>View details</t>
        </is>
      </c>
    </row>
    <row r="739">
      <c r="A739" t="inlineStr">
        <is>
          <t>968942362772</t>
        </is>
      </c>
      <c r="B739" t="inlineStr">
        <is>
          <t>Wrenfield Trust Tokyo</t>
        </is>
      </c>
      <c r="C739" t="inlineStr">
        <is>
          <t>113829985108</t>
        </is>
      </c>
      <c r="D739" t="inlineStr">
        <is>
          <t>Redstart Commercial Bank Stockholm</t>
        </is>
      </c>
      <c r="E739" t="inlineStr">
        <is>
          <t>EUR</t>
        </is>
      </c>
      <c r="F739" t="inlineStr">
        <is>
          <t>NT26082000733</t>
        </is>
      </c>
      <c r="G739" s="6" t="n">
        <v>46254</v>
      </c>
      <c r="H739" s="7" t="n">
        <v>71774.876</v>
      </c>
      <c r="I739" t="inlineStr">
        <is>
          <t>GBP</t>
        </is>
      </c>
      <c r="J739" s="7" t="n">
        <v>61582.844</v>
      </c>
      <c r="K739" t="inlineStr">
        <is>
          <t>SYRM</t>
        </is>
      </c>
      <c r="L739" t="inlineStr">
        <is>
          <t>Funding move</t>
        </is>
      </c>
      <c r="M739" s="8" t="n">
        <v>46254.70494212963</v>
      </c>
      <c r="N739" t="inlineStr">
        <is>
          <t>Noor Sinclair</t>
        </is>
      </c>
      <c r="O739" s="8" t="n">
        <v>46254.73480324074</v>
      </c>
      <c r="P739" t="inlineStr">
        <is>
          <t>Avery Prentice</t>
        </is>
      </c>
      <c r="Q739" t="inlineStr">
        <is>
          <t>LEDGER_OR_CASHFLOW_RECEIVED</t>
        </is>
      </c>
      <c r="R739" t="inlineStr">
        <is>
          <t>SYRM_ACKNOWLEDGED</t>
        </is>
      </c>
      <c r="S739" t="inlineStr">
        <is>
          <t>View details</t>
        </is>
      </c>
    </row>
    <row r="740">
      <c r="A740" t="inlineStr">
        <is>
          <t>953625291146</t>
        </is>
      </c>
      <c r="B740" t="inlineStr">
        <is>
          <t>Dunlin Commercial Bank Warsaw</t>
        </is>
      </c>
      <c r="C740" t="inlineStr">
        <is>
          <t>824840705580</t>
        </is>
      </c>
      <c r="D740" t="inlineStr">
        <is>
          <t>Bramble Settlement Bank Hong Kong</t>
        </is>
      </c>
      <c r="E740" t="inlineStr">
        <is>
          <t>USD</t>
        </is>
      </c>
      <c r="F740" t="inlineStr">
        <is>
          <t>NT26082000734</t>
        </is>
      </c>
      <c r="G740" s="6" t="n">
        <v>46254</v>
      </c>
      <c r="H740" s="7" t="n">
        <v>14122625.221</v>
      </c>
      <c r="I740" t="inlineStr">
        <is>
          <t>GBP</t>
        </is>
      </c>
      <c r="J740" s="7" t="n">
        <v>11072138.173</v>
      </c>
      <c r="K740" t="inlineStr">
        <is>
          <t>SYRM</t>
        </is>
      </c>
      <c r="L740" t="inlineStr">
        <is>
          <t>Funding move</t>
        </is>
      </c>
      <c r="M740" s="8" t="n">
        <v>46254.40613425926</v>
      </c>
      <c r="N740" t="inlineStr">
        <is>
          <t>Kai Calloway</t>
        </is>
      </c>
      <c r="O740" s="8" t="n">
        <v>46254.45613425926</v>
      </c>
      <c r="P740" t="inlineStr">
        <is>
          <t>Wren Fairweather</t>
        </is>
      </c>
      <c r="Q740" t="inlineStr">
        <is>
          <t>LEDGER_OR_CASHFLOW_RECEIVED</t>
        </is>
      </c>
      <c r="R740" t="inlineStr">
        <is>
          <t>SYRM_ACKNOWLEDGED</t>
        </is>
      </c>
      <c r="S740" t="inlineStr">
        <is>
          <t>View details</t>
        </is>
      </c>
    </row>
    <row r="741">
      <c r="A741" t="inlineStr">
        <is>
          <t>794226063698</t>
        </is>
      </c>
      <c r="B741" t="inlineStr">
        <is>
          <t>Mallow Settlement Bank Warsaw</t>
        </is>
      </c>
      <c r="C741" t="inlineStr">
        <is>
          <t>794226063698</t>
        </is>
      </c>
      <c r="D741" t="inlineStr">
        <is>
          <t>Thornbury Commercial Bank London</t>
        </is>
      </c>
      <c r="E741" t="inlineStr">
        <is>
          <t>AED</t>
        </is>
      </c>
      <c r="F741" t="inlineStr">
        <is>
          <t>NT26082000735</t>
        </is>
      </c>
      <c r="G741" s="6" t="n">
        <v>46254</v>
      </c>
      <c r="H741" s="7" t="n">
        <v>12273736.345</v>
      </c>
      <c r="I741" t="inlineStr">
        <is>
          <t>GBP</t>
        </is>
      </c>
      <c r="J741" s="7" t="n">
        <v>2614305.841</v>
      </c>
      <c r="K741" t="inlineStr">
        <is>
          <t>SYRM</t>
        </is>
      </c>
      <c r="L741" t="inlineStr">
        <is>
          <t>Liquidity sweep</t>
        </is>
      </c>
      <c r="M741" s="8" t="n">
        <v>46254.42623842593</v>
      </c>
      <c r="N741" t="inlineStr">
        <is>
          <t>Finley Hollis</t>
        </is>
      </c>
      <c r="O741" s="8" t="n">
        <v>46254.43665509259</v>
      </c>
      <c r="P741" t="inlineStr">
        <is>
          <t>Oakley Prentice</t>
        </is>
      </c>
      <c r="Q741" t="inlineStr">
        <is>
          <t>LEDGER_OR_CASHFLOW_RECEIVED</t>
        </is>
      </c>
      <c r="R741" t="inlineStr">
        <is>
          <t>SYRM_ACKNOWLEDGED</t>
        </is>
      </c>
      <c r="S741" t="inlineStr">
        <is>
          <t>View details</t>
        </is>
      </c>
    </row>
    <row r="742">
      <c r="A742" t="inlineStr">
        <is>
          <t>726928343448</t>
        </is>
      </c>
      <c r="B742" t="inlineStr">
        <is>
          <t>Zephyr Bank Singapore</t>
        </is>
      </c>
      <c r="C742" t="inlineStr">
        <is>
          <t>171857983160</t>
        </is>
      </c>
      <c r="D742" t="inlineStr">
        <is>
          <t>Umberton Trust Tokyo</t>
        </is>
      </c>
      <c r="E742" t="inlineStr">
        <is>
          <t>EUR</t>
        </is>
      </c>
      <c r="F742" t="inlineStr">
        <is>
          <t>NT26082000736</t>
        </is>
      </c>
      <c r="G742" s="6" t="n">
        <v>46254</v>
      </c>
      <c r="H742" s="7" t="n">
        <v>388426840.255</v>
      </c>
      <c r="I742" t="inlineStr">
        <is>
          <t>GBP</t>
        </is>
      </c>
      <c r="J742" s="7" t="n">
        <v>333270228.939</v>
      </c>
      <c r="K742" t="inlineStr">
        <is>
          <t>SYRM</t>
        </is>
      </c>
      <c r="L742" t="inlineStr">
        <is>
          <t>Intraday top-up</t>
        </is>
      </c>
      <c r="M742" s="8" t="n">
        <v>46254.81425925926</v>
      </c>
      <c r="N742" t="inlineStr">
        <is>
          <t>Oakley Delaney</t>
        </is>
      </c>
      <c r="O742" s="8" t="n">
        <v>46254.82606481481</v>
      </c>
      <c r="P742" t="inlineStr">
        <is>
          <t>Avery Prentice</t>
        </is>
      </c>
      <c r="Q742" t="inlineStr">
        <is>
          <t>LEDGER_OR_CASHFLOW_RECEIVED</t>
        </is>
      </c>
      <c r="R742" t="inlineStr">
        <is>
          <t>SYRM_ACKNOWLEDGED</t>
        </is>
      </c>
      <c r="S742" t="inlineStr">
        <is>
          <t>View details</t>
        </is>
      </c>
    </row>
    <row r="743">
      <c r="A743" t="inlineStr">
        <is>
          <t>726928343448</t>
        </is>
      </c>
      <c r="B743" t="inlineStr">
        <is>
          <t>Pinehurst Commercial Bank Stockholm</t>
        </is>
      </c>
      <c r="C743" t="inlineStr">
        <is>
          <t>150316825069</t>
        </is>
      </c>
      <c r="D743" t="inlineStr">
        <is>
          <t>Mallow Settlement Bank Oslo</t>
        </is>
      </c>
      <c r="E743" t="inlineStr">
        <is>
          <t>EUR</t>
        </is>
      </c>
      <c r="F743" t="inlineStr">
        <is>
          <t>NT26082000737</t>
        </is>
      </c>
      <c r="G743" s="6" t="n">
        <v>46254</v>
      </c>
      <c r="H743" s="7" t="n">
        <v>702956250.351</v>
      </c>
      <c r="I743" t="inlineStr">
        <is>
          <t>GBP</t>
        </is>
      </c>
      <c r="J743" s="7" t="n">
        <v>603136462.801</v>
      </c>
      <c r="K743" t="inlineStr">
        <is>
          <t>SYRM</t>
        </is>
      </c>
      <c r="L743" t="inlineStr">
        <is>
          <t>Intraday top-up</t>
        </is>
      </c>
      <c r="M743" s="8" t="n">
        <v>46254.63706018519</v>
      </c>
      <c r="N743" t="inlineStr">
        <is>
          <t>Quinn Kirby</t>
        </is>
      </c>
      <c r="O743" s="8" t="n">
        <v>46254.6919212963</v>
      </c>
      <c r="P743" t="inlineStr">
        <is>
          <t>Oakley Rhodes</t>
        </is>
      </c>
      <c r="Q743" t="inlineStr">
        <is>
          <t>LEDGER_OR_CASHFLOW_RECEIVED</t>
        </is>
      </c>
      <c r="R743" t="inlineStr">
        <is>
          <t>SYRM_ACKNOWLEDGED</t>
        </is>
      </c>
      <c r="S743" t="inlineStr">
        <is>
          <t>View details</t>
        </is>
      </c>
    </row>
    <row r="744">
      <c r="A744" t="inlineStr">
        <is>
          <t>898317028833</t>
        </is>
      </c>
      <c r="B744" t="inlineStr">
        <is>
          <t>Zephyr Settlement Bank Sydney</t>
        </is>
      </c>
      <c r="C744" t="inlineStr">
        <is>
          <t>359365220160</t>
        </is>
      </c>
      <c r="D744" t="inlineStr">
        <is>
          <t>Ironbark Clearing Frankfurt</t>
        </is>
      </c>
      <c r="E744" t="inlineStr">
        <is>
          <t>GBP</t>
        </is>
      </c>
      <c r="F744" t="inlineStr">
        <is>
          <t>NT26082000738</t>
        </is>
      </c>
      <c r="G744" s="6" t="n">
        <v>46254</v>
      </c>
      <c r="H744" s="7" t="n">
        <v>111199397.644</v>
      </c>
      <c r="I744" t="inlineStr">
        <is>
          <t>GBP</t>
        </is>
      </c>
      <c r="J744" s="7" t="n">
        <v>111199397.644</v>
      </c>
      <c r="K744" t="inlineStr">
        <is>
          <t>SYRM</t>
        </is>
      </c>
      <c r="L744" t="inlineStr">
        <is>
          <t>Funding move</t>
        </is>
      </c>
      <c r="M744" s="8" t="n">
        <v>46254.59821759259</v>
      </c>
      <c r="N744" t="inlineStr">
        <is>
          <t>Noor Sinclair</t>
        </is>
      </c>
      <c r="O744" s="8" t="n">
        <v>46254.60099537037</v>
      </c>
      <c r="P744" t="inlineStr">
        <is>
          <t>Quinn Osgood</t>
        </is>
      </c>
      <c r="Q744" t="inlineStr">
        <is>
          <t>LEDGER_OR_CASHFLOW_RECEIVED</t>
        </is>
      </c>
      <c r="R744" t="inlineStr">
        <is>
          <t>SYRM_ACKNOWLEDGED</t>
        </is>
      </c>
      <c r="S744" t="inlineStr">
        <is>
          <t>View details</t>
        </is>
      </c>
    </row>
    <row r="745">
      <c r="A745" t="inlineStr">
        <is>
          <t>700726936098</t>
        </is>
      </c>
      <c r="B745" t="inlineStr">
        <is>
          <t>Zephyr Settlement Bank Sydney</t>
        </is>
      </c>
      <c r="C745" t="inlineStr">
        <is>
          <t>171857983160</t>
        </is>
      </c>
      <c r="D745" t="inlineStr">
        <is>
          <t>Oriel Commercial Bank Toronto</t>
        </is>
      </c>
      <c r="E745" t="inlineStr">
        <is>
          <t>SAR</t>
        </is>
      </c>
      <c r="F745" t="inlineStr">
        <is>
          <t>NT26082000739</t>
        </is>
      </c>
      <c r="G745" s="6" t="n">
        <v>46254</v>
      </c>
      <c r="H745" s="7" t="n">
        <v>43648845.302</v>
      </c>
      <c r="I745" t="inlineStr">
        <is>
          <t>GBP</t>
        </is>
      </c>
      <c r="J745" s="7" t="n">
        <v>9122608.668</v>
      </c>
      <c r="K745" t="inlineStr">
        <is>
          <t>SYRM</t>
        </is>
      </c>
      <c r="L745" t="inlineStr"/>
      <c r="M745" s="8" t="n">
        <v>46254.46935185185</v>
      </c>
      <c r="N745" t="inlineStr">
        <is>
          <t>Oakley Delaney</t>
        </is>
      </c>
      <c r="O745" s="8" t="n">
        <v>46254.50893518519</v>
      </c>
      <c r="P745" t="inlineStr">
        <is>
          <t>Oakley Rhodes</t>
        </is>
      </c>
      <c r="Q745" t="inlineStr">
        <is>
          <t>LEDGER_OR_CASHFLOW_RECEIVED</t>
        </is>
      </c>
      <c r="R745" t="inlineStr">
        <is>
          <t>SYRM_ACKNOWLEDGED</t>
        </is>
      </c>
      <c r="S745" t="inlineStr">
        <is>
          <t>View details</t>
        </is>
      </c>
    </row>
    <row r="746">
      <c r="A746" t="inlineStr">
        <is>
          <t>150316825069</t>
        </is>
      </c>
      <c r="B746" t="inlineStr">
        <is>
          <t>Ironbark Trust Dublin</t>
        </is>
      </c>
      <c r="C746" t="inlineStr">
        <is>
          <t>953625291146</t>
        </is>
      </c>
      <c r="D746" t="inlineStr">
        <is>
          <t>Mallow Settlement Bank Oslo</t>
        </is>
      </c>
      <c r="E746" t="inlineStr">
        <is>
          <t>GBP</t>
        </is>
      </c>
      <c r="F746" t="inlineStr">
        <is>
          <t>NT26082000740</t>
        </is>
      </c>
      <c r="G746" s="6" t="n">
        <v>46254</v>
      </c>
      <c r="H746" s="7" t="n">
        <v>26265933.994</v>
      </c>
      <c r="I746" t="inlineStr">
        <is>
          <t>GBP</t>
        </is>
      </c>
      <c r="J746" s="7" t="n">
        <v>26265933.994</v>
      </c>
      <c r="K746" t="inlineStr">
        <is>
          <t>SYRM</t>
        </is>
      </c>
      <c r="L746" t="inlineStr"/>
      <c r="M746" s="8" t="n">
        <v>46254.42702546297</v>
      </c>
      <c r="N746" t="inlineStr">
        <is>
          <t>Finley Hollis</t>
        </is>
      </c>
      <c r="O746" s="8" t="n">
        <v>46254.46869212963</v>
      </c>
      <c r="P746" t="inlineStr">
        <is>
          <t>Harper Calloway</t>
        </is>
      </c>
      <c r="Q746" t="inlineStr">
        <is>
          <t>LEDGER_OR_CASHFLOW_RECEIVED</t>
        </is>
      </c>
      <c r="R746" t="inlineStr">
        <is>
          <t>SYRM_ACKNOWLEDGED</t>
        </is>
      </c>
      <c r="S746" t="inlineStr">
        <is>
          <t>View details</t>
        </is>
      </c>
    </row>
    <row r="747">
      <c r="A747" t="inlineStr">
        <is>
          <t>171857983160</t>
        </is>
      </c>
      <c r="B747" t="inlineStr">
        <is>
          <t>Pinehurst Trust Toronto</t>
        </is>
      </c>
      <c r="C747" t="inlineStr">
        <is>
          <t>621381112674</t>
        </is>
      </c>
      <c r="D747" t="inlineStr">
        <is>
          <t>Kestrel Clearing Oslo</t>
        </is>
      </c>
      <c r="E747" t="inlineStr">
        <is>
          <t>AUD</t>
        </is>
      </c>
      <c r="F747" t="inlineStr">
        <is>
          <t>NT26082000741</t>
        </is>
      </c>
      <c r="G747" s="6" t="n">
        <v>46254</v>
      </c>
      <c r="H747" s="7" t="n">
        <v>13902688.178</v>
      </c>
      <c r="I747" t="inlineStr">
        <is>
          <t>GBP</t>
        </is>
      </c>
      <c r="J747" s="7" t="n">
        <v>7132079.035</v>
      </c>
      <c r="K747" t="inlineStr">
        <is>
          <t>SYRM</t>
        </is>
      </c>
      <c r="L747" t="inlineStr">
        <is>
          <t>Balance alignment</t>
        </is>
      </c>
      <c r="M747" s="8" t="n">
        <v>46254.58991898148</v>
      </c>
      <c r="N747" t="inlineStr">
        <is>
          <t>Kai Merrick</t>
        </is>
      </c>
      <c r="O747" s="8" t="n">
        <v>46254.60936342592</v>
      </c>
      <c r="P747" t="inlineStr">
        <is>
          <t>Marlow Thorne</t>
        </is>
      </c>
      <c r="Q747" t="inlineStr">
        <is>
          <t>LEDGER_OR_CASHFLOW_RECEIVED</t>
        </is>
      </c>
      <c r="R747" t="inlineStr">
        <is>
          <t>SYRM_ACKNOWLEDGED</t>
        </is>
      </c>
      <c r="S747" t="inlineStr">
        <is>
          <t>View details</t>
        </is>
      </c>
    </row>
    <row r="748">
      <c r="A748" t="inlineStr">
        <is>
          <t>150316825069</t>
        </is>
      </c>
      <c r="B748" t="inlineStr">
        <is>
          <t>Fernway Trust Tokyo</t>
        </is>
      </c>
      <c r="C748" t="inlineStr">
        <is>
          <t>468341071172</t>
        </is>
      </c>
      <c r="D748" t="inlineStr">
        <is>
          <t>Pinehurst Trust Toronto</t>
        </is>
      </c>
      <c r="E748" t="inlineStr">
        <is>
          <t>GBP</t>
        </is>
      </c>
      <c r="F748" t="inlineStr">
        <is>
          <t>NT26082000742</t>
        </is>
      </c>
      <c r="G748" s="6" t="n">
        <v>46254</v>
      </c>
      <c r="H748" s="7" t="n">
        <v>306994769.387</v>
      </c>
      <c r="I748" t="inlineStr">
        <is>
          <t>GBP</t>
        </is>
      </c>
      <c r="J748" s="7" t="n">
        <v>306994769.387</v>
      </c>
      <c r="K748" t="inlineStr">
        <is>
          <t>SYRM</t>
        </is>
      </c>
      <c r="L748" t="inlineStr">
        <is>
          <t>Balance alignment</t>
        </is>
      </c>
      <c r="M748" s="8" t="n">
        <v>46254.72640046296</v>
      </c>
      <c r="N748" t="inlineStr">
        <is>
          <t>Oakley Novak</t>
        </is>
      </c>
      <c r="O748" s="8" t="n">
        <v>46254.72917824074</v>
      </c>
      <c r="P748" t="inlineStr">
        <is>
          <t>Noor Sinclair</t>
        </is>
      </c>
      <c r="Q748" t="inlineStr">
        <is>
          <t>CASHFLOW_RECEIVED</t>
        </is>
      </c>
      <c r="R748" t="inlineStr">
        <is>
          <t>SYRM_ACKNOWLEDGED</t>
        </is>
      </c>
      <c r="S748" t="inlineStr">
        <is>
          <t>View details</t>
        </is>
      </c>
    </row>
    <row r="749">
      <c r="A749" t="inlineStr">
        <is>
          <t>150316825069</t>
        </is>
      </c>
      <c r="B749" t="inlineStr">
        <is>
          <t>Mallow Commercial Bank Mexico City</t>
        </is>
      </c>
      <c r="C749" t="inlineStr">
        <is>
          <t>953625291146</t>
        </is>
      </c>
      <c r="D749" t="inlineStr">
        <is>
          <t>Mallow Settlement Bank Oslo</t>
        </is>
      </c>
      <c r="E749" t="inlineStr">
        <is>
          <t>GBP</t>
        </is>
      </c>
      <c r="F749" t="inlineStr">
        <is>
          <t>NT26082000743</t>
        </is>
      </c>
      <c r="G749" s="6" t="n">
        <v>46254</v>
      </c>
      <c r="H749" s="7" t="n">
        <v>5729081834.498</v>
      </c>
      <c r="I749" t="inlineStr">
        <is>
          <t>GBP</t>
        </is>
      </c>
      <c r="J749" s="7" t="n">
        <v>5729081834.498</v>
      </c>
      <c r="K749" t="inlineStr">
        <is>
          <t>SYRM</t>
        </is>
      </c>
      <c r="L749" t="inlineStr">
        <is>
          <t>Balance alignment</t>
        </is>
      </c>
      <c r="M749" s="8" t="n">
        <v>46254.63751157407</v>
      </c>
      <c r="N749" t="inlineStr">
        <is>
          <t>Quinn Hollis</t>
        </is>
      </c>
      <c r="O749" s="8" t="n">
        <v>46254.66459490741</v>
      </c>
      <c r="P749" t="inlineStr">
        <is>
          <t>Avery Sinclair</t>
        </is>
      </c>
      <c r="Q749" t="inlineStr">
        <is>
          <t>LEDGER_OR_CASHFLOW_RECEIVED</t>
        </is>
      </c>
      <c r="R749" t="inlineStr">
        <is>
          <t>SYRM_ACKNOWLEDGED</t>
        </is>
      </c>
      <c r="S749" t="inlineStr">
        <is>
          <t>View details</t>
        </is>
      </c>
    </row>
    <row r="750">
      <c r="A750" t="inlineStr">
        <is>
          <t>284925023085</t>
        </is>
      </c>
      <c r="B750" t="inlineStr">
        <is>
          <t>Mallow Commercial Bank Mexico City</t>
        </is>
      </c>
      <c r="C750" t="inlineStr">
        <is>
          <t>265771593142</t>
        </is>
      </c>
      <c r="D750" t="inlineStr">
        <is>
          <t>Wrenfield Clearing Mexico City</t>
        </is>
      </c>
      <c r="E750" t="inlineStr">
        <is>
          <t>MXN</t>
        </is>
      </c>
      <c r="F750" t="inlineStr">
        <is>
          <t>NT26082000744</t>
        </is>
      </c>
      <c r="G750" s="6" t="n">
        <v>46254</v>
      </c>
      <c r="H750" s="7" t="n">
        <v>5008327.526</v>
      </c>
      <c r="I750" t="inlineStr">
        <is>
          <t>GBP</t>
        </is>
      </c>
      <c r="J750" s="7" t="n">
        <v>214356.418</v>
      </c>
      <c r="K750" t="inlineStr">
        <is>
          <t>SYRM</t>
        </is>
      </c>
      <c r="L750" t="inlineStr">
        <is>
          <t>Liquidity sweep</t>
        </is>
      </c>
      <c r="M750" s="8" t="n">
        <v>46254.34702546296</v>
      </c>
      <c r="N750" t="inlineStr">
        <is>
          <t>Quinn Brookes</t>
        </is>
      </c>
      <c r="O750" s="8" t="n">
        <v>46254.35466435185</v>
      </c>
      <c r="P750" t="inlineStr">
        <is>
          <t>Finley Jennings</t>
        </is>
      </c>
      <c r="Q750" t="inlineStr">
        <is>
          <t>LEDGER_OR_CASHFLOW_RECEIVED</t>
        </is>
      </c>
      <c r="R750" t="inlineStr">
        <is>
          <t>SYRM_ACKNOWLEDGED</t>
        </is>
      </c>
      <c r="S750" t="inlineStr">
        <is>
          <t>View details</t>
        </is>
      </c>
    </row>
    <row r="751">
      <c r="A751" t="inlineStr">
        <is>
          <t>132544340094</t>
        </is>
      </c>
      <c r="B751" t="inlineStr">
        <is>
          <t>Yarrow Settlement Bank Oslo</t>
        </is>
      </c>
      <c r="C751" t="inlineStr">
        <is>
          <t>265771593142</t>
        </is>
      </c>
      <c r="D751" t="inlineStr">
        <is>
          <t>Granite Trust Frankfurt</t>
        </is>
      </c>
      <c r="E751" t="inlineStr">
        <is>
          <t>CZK</t>
        </is>
      </c>
      <c r="F751" t="inlineStr">
        <is>
          <t>NT26082000745</t>
        </is>
      </c>
      <c r="G751" s="6" t="n">
        <v>46254</v>
      </c>
      <c r="H751" s="7" t="n">
        <v>2.625</v>
      </c>
      <c r="I751" t="inlineStr">
        <is>
          <t>GBP</t>
        </is>
      </c>
      <c r="J751" s="7" t="n">
        <v>0.089</v>
      </c>
      <c r="K751" t="inlineStr">
        <is>
          <t>SYRM</t>
        </is>
      </c>
      <c r="L751" t="inlineStr"/>
      <c r="M751" s="8" t="n">
        <v>46254.60868055555</v>
      </c>
      <c r="N751" t="inlineStr">
        <is>
          <t>Oakley Fairweather</t>
        </is>
      </c>
      <c r="O751" s="8" t="n">
        <v>46254.62881944444</v>
      </c>
      <c r="P751" t="inlineStr">
        <is>
          <t>Kai Novak</t>
        </is>
      </c>
      <c r="Q751" t="inlineStr">
        <is>
          <t>LEDGER_OR_CASHFLOW_RECEIVED</t>
        </is>
      </c>
      <c r="R751" t="inlineStr">
        <is>
          <t>SYRM_ACKNOWLEDGED</t>
        </is>
      </c>
      <c r="S751" t="inlineStr">
        <is>
          <t>View details</t>
        </is>
      </c>
    </row>
    <row r="752">
      <c r="A752" t="inlineStr">
        <is>
          <t>265771593142</t>
        </is>
      </c>
      <c r="B752" t="inlineStr">
        <is>
          <t>Wrenfield Clearing Frankfurt</t>
        </is>
      </c>
      <c r="C752" t="inlineStr">
        <is>
          <t>150316825069</t>
        </is>
      </c>
      <c r="D752" t="inlineStr">
        <is>
          <t>Pinehurst Trust Toronto</t>
        </is>
      </c>
      <c r="E752" t="inlineStr">
        <is>
          <t>EUR</t>
        </is>
      </c>
      <c r="F752" t="inlineStr">
        <is>
          <t>NT26082000746</t>
        </is>
      </c>
      <c r="G752" s="6" t="n">
        <v>46254</v>
      </c>
      <c r="H752" s="7" t="n">
        <v>152484061.122</v>
      </c>
      <c r="I752" t="inlineStr">
        <is>
          <t>GBP</t>
        </is>
      </c>
      <c r="J752" s="7" t="n">
        <v>130831324.443</v>
      </c>
      <c r="K752" t="inlineStr">
        <is>
          <t>SYRM</t>
        </is>
      </c>
      <c r="L752" t="inlineStr">
        <is>
          <t>Intraday top-up</t>
        </is>
      </c>
      <c r="M752" s="8" t="n">
        <v>46254.44854166666</v>
      </c>
      <c r="N752" t="inlineStr">
        <is>
          <t>Marlow Rhodes</t>
        </is>
      </c>
      <c r="O752" s="8" t="n">
        <v>46254.51104166666</v>
      </c>
      <c r="P752" t="inlineStr">
        <is>
          <t>Oakley Delaney</t>
        </is>
      </c>
      <c r="Q752" t="inlineStr">
        <is>
          <t>LEDGER_RECEIVED</t>
        </is>
      </c>
      <c r="R752" t="inlineStr">
        <is>
          <t>SYRM_PENDING</t>
        </is>
      </c>
      <c r="S752" t="inlineStr">
        <is>
          <t>View details</t>
        </is>
      </c>
    </row>
    <row r="753">
      <c r="A753" t="inlineStr">
        <is>
          <t>171857983160</t>
        </is>
      </c>
      <c r="B753" t="inlineStr">
        <is>
          <t>Mallow Trust Frankfurt</t>
        </is>
      </c>
      <c r="C753" t="inlineStr">
        <is>
          <t>794226063698</t>
        </is>
      </c>
      <c r="D753" t="inlineStr">
        <is>
          <t>Fernway Clearing Frankfurt</t>
        </is>
      </c>
      <c r="E753" t="inlineStr">
        <is>
          <t>AUD</t>
        </is>
      </c>
      <c r="F753" t="inlineStr">
        <is>
          <t>NT26082000747</t>
        </is>
      </c>
      <c r="G753" s="6" t="n">
        <v>46254</v>
      </c>
      <c r="H753" s="7" t="n">
        <v>70808730.854</v>
      </c>
      <c r="I753" t="inlineStr">
        <is>
          <t>GBP</t>
        </is>
      </c>
      <c r="J753" s="7" t="n">
        <v>36324878.928</v>
      </c>
      <c r="K753" t="inlineStr">
        <is>
          <t>SYRM</t>
        </is>
      </c>
      <c r="L753" t="inlineStr">
        <is>
          <t>Funding move</t>
        </is>
      </c>
      <c r="M753" s="8" t="n">
        <v>46254.56795138889</v>
      </c>
      <c r="N753" t="inlineStr">
        <is>
          <t>Finley Hollis</t>
        </is>
      </c>
      <c r="O753" s="8" t="n">
        <v>46254.60961805555</v>
      </c>
      <c r="P753" t="inlineStr">
        <is>
          <t>Quinn Brookes</t>
        </is>
      </c>
      <c r="Q753" t="inlineStr">
        <is>
          <t>LEDGER_OR_CASHFLOW_RECEIVED</t>
        </is>
      </c>
      <c r="R753" t="inlineStr">
        <is>
          <t>SYRM_ACKNOWLEDGED</t>
        </is>
      </c>
      <c r="S753" t="inlineStr">
        <is>
          <t>View details</t>
        </is>
      </c>
    </row>
    <row r="754">
      <c r="A754" t="inlineStr">
        <is>
          <t>910703979141</t>
        </is>
      </c>
      <c r="B754" t="inlineStr">
        <is>
          <t>Granite Trust Frankfurt</t>
        </is>
      </c>
      <c r="C754" t="inlineStr">
        <is>
          <t>499062838623</t>
        </is>
      </c>
      <c r="D754" t="inlineStr">
        <is>
          <t>Bramble Settlement Bank Hong Kong</t>
        </is>
      </c>
      <c r="E754" t="inlineStr">
        <is>
          <t>CHF</t>
        </is>
      </c>
      <c r="F754" t="inlineStr">
        <is>
          <t>NT26082000748</t>
        </is>
      </c>
      <c r="G754" s="6" t="n">
        <v>46254</v>
      </c>
      <c r="H754" s="7" t="n">
        <v>207706885.165</v>
      </c>
      <c r="I754" t="inlineStr">
        <is>
          <t>GBP</t>
        </is>
      </c>
      <c r="J754" s="7" t="n">
        <v>186313075.993</v>
      </c>
      <c r="K754" t="inlineStr">
        <is>
          <t>SYRM</t>
        </is>
      </c>
      <c r="L754" t="inlineStr">
        <is>
          <t>Intraday top-up</t>
        </is>
      </c>
      <c r="M754" s="8" t="n">
        <v>46254.26190972222</v>
      </c>
      <c r="N754" t="inlineStr">
        <is>
          <t>Devon Jennings</t>
        </is>
      </c>
      <c r="O754" s="8" t="n">
        <v>46254.29802083333</v>
      </c>
      <c r="P754" t="inlineStr">
        <is>
          <t>Quinn Kirby</t>
        </is>
      </c>
      <c r="Q754" t="inlineStr">
        <is>
          <t>LEDGER_OR_CASHFLOW_RECEIVED</t>
        </is>
      </c>
      <c r="R754" t="inlineStr">
        <is>
          <t>SYRM_ACKNOWLEDGED</t>
        </is>
      </c>
      <c r="S754" t="inlineStr">
        <is>
          <t>View details</t>
        </is>
      </c>
    </row>
    <row r="755">
      <c r="A755" t="inlineStr">
        <is>
          <t>953625291146</t>
        </is>
      </c>
      <c r="B755" t="inlineStr">
        <is>
          <t>Pinehurst Clearing Oslo</t>
        </is>
      </c>
      <c r="C755" t="inlineStr">
        <is>
          <t>910703979141</t>
        </is>
      </c>
      <c r="D755" t="inlineStr">
        <is>
          <t>Yarrow Trust Oslo</t>
        </is>
      </c>
      <c r="E755" t="inlineStr">
        <is>
          <t>USD</t>
        </is>
      </c>
      <c r="F755" t="inlineStr">
        <is>
          <t>NT26082000749</t>
        </is>
      </c>
      <c r="G755" s="6" t="n">
        <v>46254</v>
      </c>
      <c r="H755" s="7" t="n">
        <v>1873369.251</v>
      </c>
      <c r="I755" t="inlineStr">
        <is>
          <t>GBP</t>
        </is>
      </c>
      <c r="J755" s="7" t="n">
        <v>1468721.493</v>
      </c>
      <c r="K755" t="inlineStr">
        <is>
          <t>SWIFT</t>
        </is>
      </c>
      <c r="L755" t="inlineStr"/>
      <c r="M755" s="8" t="n">
        <v>46254.5090625</v>
      </c>
      <c r="N755" t="inlineStr">
        <is>
          <t>Noor Brookes</t>
        </is>
      </c>
      <c r="O755" s="8" t="n">
        <v>46254.54795138889</v>
      </c>
      <c r="P755" t="inlineStr">
        <is>
          <t>Blake Fairweather</t>
        </is>
      </c>
      <c r="Q755" t="inlineStr">
        <is>
          <t>LEDGER_OR_CASHFLOW_RECEIVED</t>
        </is>
      </c>
      <c r="R755" t="inlineStr">
        <is>
          <t>SYRM_ACKNOWLEDGED</t>
        </is>
      </c>
      <c r="S755" t="inlineStr">
        <is>
          <t>View details</t>
        </is>
      </c>
    </row>
    <row r="756">
      <c r="A756" t="inlineStr">
        <is>
          <t>150316825069</t>
        </is>
      </c>
      <c r="B756" t="inlineStr">
        <is>
          <t>Yarrow Settlement Bank Oslo</t>
        </is>
      </c>
      <c r="C756" t="inlineStr">
        <is>
          <t>150316825069</t>
        </is>
      </c>
      <c r="D756" t="inlineStr">
        <is>
          <t>Oriel Commercial Bank Toronto</t>
        </is>
      </c>
      <c r="E756" t="inlineStr">
        <is>
          <t>GBP</t>
        </is>
      </c>
      <c r="F756" t="inlineStr">
        <is>
          <t>NT26082000750</t>
        </is>
      </c>
      <c r="G756" s="6" t="n">
        <v>46254</v>
      </c>
      <c r="H756" s="7" t="n">
        <v>116317587.807</v>
      </c>
      <c r="I756" t="inlineStr">
        <is>
          <t>GBP</t>
        </is>
      </c>
      <c r="J756" s="7" t="n">
        <v>116317587.807</v>
      </c>
      <c r="K756" t="inlineStr">
        <is>
          <t>SYRM</t>
        </is>
      </c>
      <c r="L756" t="inlineStr"/>
      <c r="M756" s="8" t="n">
        <v>46254.32643518518</v>
      </c>
      <c r="N756" t="inlineStr">
        <is>
          <t>Wren Delaney</t>
        </is>
      </c>
      <c r="O756" s="8" t="n">
        <v>46254.3799074074</v>
      </c>
      <c r="P756" t="inlineStr">
        <is>
          <t>Kai Calloway</t>
        </is>
      </c>
      <c r="Q756" t="inlineStr">
        <is>
          <t>LEDGER_OR_CASHFLOW_RECEIVED</t>
        </is>
      </c>
      <c r="R756" t="inlineStr">
        <is>
          <t>SYRM_ACKNOWLEDGED</t>
        </is>
      </c>
      <c r="S756" t="inlineStr">
        <is>
          <t>View details</t>
        </is>
      </c>
    </row>
    <row r="757">
      <c r="A757" t="inlineStr">
        <is>
          <t>499062838623</t>
        </is>
      </c>
      <c r="B757" t="inlineStr">
        <is>
          <t>Zephyr Settlement Bank New York</t>
        </is>
      </c>
      <c r="C757" t="inlineStr">
        <is>
          <t>794226063698</t>
        </is>
      </c>
      <c r="D757" t="inlineStr">
        <is>
          <t>Yarrow Trust Oslo</t>
        </is>
      </c>
      <c r="E757" t="inlineStr">
        <is>
          <t>USD</t>
        </is>
      </c>
      <c r="F757" t="inlineStr">
        <is>
          <t>NT26082000751</t>
        </is>
      </c>
      <c r="G757" s="6" t="n">
        <v>46254</v>
      </c>
      <c r="H757" s="7" t="n">
        <v>13850341.11</v>
      </c>
      <c r="I757" t="inlineStr">
        <is>
          <t>GBP</t>
        </is>
      </c>
      <c r="J757" s="7" t="n">
        <v>10858667.43</v>
      </c>
      <c r="K757" t="inlineStr">
        <is>
          <t>SYRM</t>
        </is>
      </c>
      <c r="L757" t="inlineStr">
        <is>
          <t>Liquidity sweep</t>
        </is>
      </c>
      <c r="M757" s="8" t="n">
        <v>46254.68517361111</v>
      </c>
      <c r="N757" t="inlineStr">
        <is>
          <t>Oakley Novak</t>
        </is>
      </c>
      <c r="O757" s="8" t="n">
        <v>46254.71711805555</v>
      </c>
      <c r="P757" t="inlineStr">
        <is>
          <t>Ellis Gallagher</t>
        </is>
      </c>
      <c r="Q757" t="inlineStr">
        <is>
          <t>LEDGER_OR_CASHFLOW_RECEIVED</t>
        </is>
      </c>
      <c r="R757" t="inlineStr">
        <is>
          <t>SYRM_ACKNOWLEDGED</t>
        </is>
      </c>
      <c r="S757" t="inlineStr">
        <is>
          <t>View details</t>
        </is>
      </c>
    </row>
    <row r="758">
      <c r="A758" t="inlineStr">
        <is>
          <t>700726936098</t>
        </is>
      </c>
      <c r="B758" t="inlineStr">
        <is>
          <t>Pinehurst Settlement Bank Frankfurt</t>
        </is>
      </c>
      <c r="C758" t="inlineStr">
        <is>
          <t>132544340094</t>
        </is>
      </c>
      <c r="D758" t="inlineStr">
        <is>
          <t>Pinehurst Trust Toronto</t>
        </is>
      </c>
      <c r="E758" t="inlineStr">
        <is>
          <t>SAR</t>
        </is>
      </c>
      <c r="F758" t="inlineStr">
        <is>
          <t>NT26082000752</t>
        </is>
      </c>
      <c r="G758" s="6" t="n">
        <v>46254</v>
      </c>
      <c r="H758" s="7" t="n">
        <v>457196661.003</v>
      </c>
      <c r="I758" t="inlineStr">
        <is>
          <t>GBP</t>
        </is>
      </c>
      <c r="J758" s="7" t="n">
        <v>95554102.15000001</v>
      </c>
      <c r="K758" t="inlineStr">
        <is>
          <t>SYRM</t>
        </is>
      </c>
      <c r="L758" t="inlineStr"/>
      <c r="M758" s="8" t="n">
        <v>46254.27956018518</v>
      </c>
      <c r="N758" t="inlineStr">
        <is>
          <t>Noor Thorne</t>
        </is>
      </c>
      <c r="O758" s="8" t="n">
        <v>46254.30247685185</v>
      </c>
      <c r="P758" t="inlineStr">
        <is>
          <t>Finley Hollis</t>
        </is>
      </c>
      <c r="Q758" t="inlineStr">
        <is>
          <t>LEDGER_OR_CASHFLOW_RECEIVED</t>
        </is>
      </c>
      <c r="R758" t="inlineStr">
        <is>
          <t>SYRM_ACKNOWLEDGED</t>
        </is>
      </c>
      <c r="S758" t="inlineStr">
        <is>
          <t>View details</t>
        </is>
      </c>
    </row>
    <row r="759">
      <c r="A759" t="inlineStr">
        <is>
          <t>499062838623</t>
        </is>
      </c>
      <c r="B759" t="inlineStr">
        <is>
          <t>Yarrow Trust Oslo</t>
        </is>
      </c>
      <c r="C759" t="inlineStr">
        <is>
          <t>700726936098</t>
        </is>
      </c>
      <c r="D759" t="inlineStr">
        <is>
          <t>Granite Commercial Bank Milan</t>
        </is>
      </c>
      <c r="E759" t="inlineStr">
        <is>
          <t>USD</t>
        </is>
      </c>
      <c r="F759" t="inlineStr">
        <is>
          <t>NT26082000753</t>
        </is>
      </c>
      <c r="G759" s="6" t="n">
        <v>46254</v>
      </c>
      <c r="H759" s="7" t="n">
        <v>32834265.761</v>
      </c>
      <c r="I759" t="inlineStr">
        <is>
          <t>GBP</t>
        </is>
      </c>
      <c r="J759" s="7" t="n">
        <v>25742064.357</v>
      </c>
      <c r="K759" t="inlineStr">
        <is>
          <t>SYRM</t>
        </is>
      </c>
      <c r="L759" t="inlineStr">
        <is>
          <t>Intraday top-up</t>
        </is>
      </c>
      <c r="M759" s="8" t="n">
        <v>46254.60105324074</v>
      </c>
      <c r="N759" t="inlineStr">
        <is>
          <t>Marlow Thorne</t>
        </is>
      </c>
      <c r="O759" s="8" t="n">
        <v>46254.62813657407</v>
      </c>
      <c r="P759" t="inlineStr">
        <is>
          <t>Wren Delaney</t>
        </is>
      </c>
      <c r="Q759" t="inlineStr">
        <is>
          <t>LEDGER_OR_CASHFLOW_RECEIVED</t>
        </is>
      </c>
      <c r="R759" t="inlineStr">
        <is>
          <t>SYRM_ACKNOWLEDGED</t>
        </is>
      </c>
      <c r="S759" t="inlineStr">
        <is>
          <t>View details</t>
        </is>
      </c>
    </row>
    <row r="760">
      <c r="A760" t="inlineStr">
        <is>
          <t>794226063698</t>
        </is>
      </c>
      <c r="B760" t="inlineStr">
        <is>
          <t>Larkspur Clearing New York</t>
        </is>
      </c>
      <c r="C760" t="inlineStr">
        <is>
          <t>132544340094</t>
        </is>
      </c>
      <c r="D760" t="inlineStr">
        <is>
          <t>Wrenfield Trust Tokyo</t>
        </is>
      </c>
      <c r="E760" t="inlineStr">
        <is>
          <t>AED</t>
        </is>
      </c>
      <c r="F760" t="inlineStr">
        <is>
          <t>NT26082000754</t>
        </is>
      </c>
      <c r="G760" s="6" t="n">
        <v>46254</v>
      </c>
      <c r="H760" s="7" t="n">
        <v>5499793.459</v>
      </c>
      <c r="I760" t="inlineStr">
        <is>
          <t>GBP</t>
        </is>
      </c>
      <c r="J760" s="7" t="n">
        <v>1171456.007</v>
      </c>
      <c r="K760" t="inlineStr">
        <is>
          <t>SYRM</t>
        </is>
      </c>
      <c r="L760" t="inlineStr"/>
      <c r="M760" s="8" t="n">
        <v>46254.77462962963</v>
      </c>
      <c r="N760" t="inlineStr">
        <is>
          <t>Oakley Fairweather</t>
        </is>
      </c>
      <c r="O760" s="8" t="n">
        <v>46254.82254629629</v>
      </c>
      <c r="P760" t="inlineStr">
        <is>
          <t>Wren Delaney</t>
        </is>
      </c>
      <c r="Q760" t="inlineStr">
        <is>
          <t>LEDGER_OR_CASHFLOW_RECEIVED</t>
        </is>
      </c>
      <c r="R760" t="inlineStr">
        <is>
          <t>SYRM_ACKNOWLEDGED</t>
        </is>
      </c>
      <c r="S760" t="inlineStr">
        <is>
          <t>View details</t>
        </is>
      </c>
    </row>
    <row r="761">
      <c r="A761" t="inlineStr">
        <is>
          <t>468341071172</t>
        </is>
      </c>
      <c r="B761" t="inlineStr">
        <is>
          <t>Granite Commercial Bank Milan</t>
        </is>
      </c>
      <c r="C761" t="inlineStr">
        <is>
          <t>150316825069</t>
        </is>
      </c>
      <c r="D761" t="inlineStr">
        <is>
          <t>Dunlin Commercial Bank Warsaw</t>
        </is>
      </c>
      <c r="E761" t="inlineStr">
        <is>
          <t>EUR</t>
        </is>
      </c>
      <c r="F761" t="inlineStr">
        <is>
          <t>NT26082000755</t>
        </is>
      </c>
      <c r="G761" s="6" t="n">
        <v>46254</v>
      </c>
      <c r="H761" s="7" t="n">
        <v>15193875.85</v>
      </c>
      <c r="I761" t="inlineStr">
        <is>
          <t>GBP</t>
        </is>
      </c>
      <c r="J761" s="7" t="n">
        <v>13036345.479</v>
      </c>
      <c r="K761" t="inlineStr">
        <is>
          <t>SYRM</t>
        </is>
      </c>
      <c r="L761" t="inlineStr">
        <is>
          <t>Funding move</t>
        </is>
      </c>
      <c r="M761" s="8" t="n">
        <v>46254.40908564815</v>
      </c>
      <c r="N761" t="inlineStr">
        <is>
          <t>Avery Prentice</t>
        </is>
      </c>
      <c r="O761" s="8" t="n">
        <v>46254.42089120371</v>
      </c>
      <c r="P761" t="inlineStr">
        <is>
          <t>Blake Fairweather</t>
        </is>
      </c>
      <c r="Q761" t="inlineStr">
        <is>
          <t>FAILED</t>
        </is>
      </c>
      <c r="R761" t="inlineStr">
        <is>
          <t>SYRM_ACKNOWLEDGED</t>
        </is>
      </c>
      <c r="S761" t="inlineStr">
        <is>
          <t>View details</t>
        </is>
      </c>
    </row>
    <row r="762">
      <c r="A762" t="inlineStr">
        <is>
          <t>359365220160</t>
        </is>
      </c>
      <c r="B762" t="inlineStr">
        <is>
          <t>Yarrow Settlement Bank Oslo</t>
        </is>
      </c>
      <c r="C762" t="inlineStr">
        <is>
          <t>150316825069</t>
        </is>
      </c>
      <c r="D762" t="inlineStr">
        <is>
          <t>Mallow Settlement Bank Warsaw</t>
        </is>
      </c>
      <c r="E762" t="inlineStr">
        <is>
          <t>EUR</t>
        </is>
      </c>
      <c r="F762" t="inlineStr">
        <is>
          <t>NT26082000756</t>
        </is>
      </c>
      <c r="G762" s="6" t="n">
        <v>46254</v>
      </c>
      <c r="H762" s="7" t="n">
        <v>823070.029</v>
      </c>
      <c r="I762" t="inlineStr">
        <is>
          <t>GBP</t>
        </is>
      </c>
      <c r="J762" s="7" t="n">
        <v>706194.085</v>
      </c>
      <c r="K762" t="inlineStr">
        <is>
          <t>SWIFT</t>
        </is>
      </c>
      <c r="L762" t="inlineStr">
        <is>
          <t>Liquidity sweep</t>
        </is>
      </c>
      <c r="M762" s="8" t="n">
        <v>46254.429375</v>
      </c>
      <c r="N762" t="inlineStr">
        <is>
          <t>Wren Fairweather</t>
        </is>
      </c>
      <c r="O762" s="8" t="n">
        <v>46254.46340277778</v>
      </c>
      <c r="P762" t="inlineStr">
        <is>
          <t>Wren Hollis</t>
        </is>
      </c>
      <c r="Q762" t="inlineStr">
        <is>
          <t>LEDGER_OR_CASHFLOW_RECEIVED</t>
        </is>
      </c>
      <c r="R762" t="inlineStr">
        <is>
          <t>SYRM_PENDING</t>
        </is>
      </c>
      <c r="S762" t="inlineStr">
        <is>
          <t>View details</t>
        </is>
      </c>
    </row>
    <row r="763">
      <c r="A763" t="inlineStr">
        <is>
          <t>898317028833</t>
        </is>
      </c>
      <c r="B763" t="inlineStr">
        <is>
          <t>Sablewood Settlement Bank Oslo</t>
        </is>
      </c>
      <c r="C763" t="inlineStr">
        <is>
          <t>898317028833</t>
        </is>
      </c>
      <c r="D763" t="inlineStr">
        <is>
          <t>Bramble Clearing Milan</t>
        </is>
      </c>
      <c r="E763" t="inlineStr">
        <is>
          <t>GBP</t>
        </is>
      </c>
      <c r="F763" t="inlineStr">
        <is>
          <t>NT26082000757</t>
        </is>
      </c>
      <c r="G763" s="6" t="n">
        <v>46254</v>
      </c>
      <c r="H763" s="7" t="n">
        <v>208917.049</v>
      </c>
      <c r="I763" t="inlineStr">
        <is>
          <t>GBP</t>
        </is>
      </c>
      <c r="J763" s="7" t="n">
        <v>208917.049</v>
      </c>
      <c r="K763" t="inlineStr">
        <is>
          <t>SYRM</t>
        </is>
      </c>
      <c r="L763" t="inlineStr">
        <is>
          <t>Intraday top-up</t>
        </is>
      </c>
      <c r="M763" s="8" t="n">
        <v>46254.44574074074</v>
      </c>
      <c r="N763" t="inlineStr">
        <is>
          <t>Kai Merrick</t>
        </is>
      </c>
      <c r="O763" s="8" t="n">
        <v>46254.46865740741</v>
      </c>
      <c r="P763" t="inlineStr">
        <is>
          <t>Quinn Lindqvist</t>
        </is>
      </c>
      <c r="Q763" t="inlineStr">
        <is>
          <t>LEDGER_OR_CASHFLOW_RECEIVED</t>
        </is>
      </c>
      <c r="R763" t="inlineStr">
        <is>
          <t>SYRM_ACKNOWLEDGED</t>
        </is>
      </c>
      <c r="S763" t="inlineStr">
        <is>
          <t>View details</t>
        </is>
      </c>
    </row>
    <row r="764">
      <c r="A764" t="inlineStr">
        <is>
          <t>794226063698</t>
        </is>
      </c>
      <c r="B764" t="inlineStr">
        <is>
          <t>Dunlin Commercial Bank Warsaw</t>
        </is>
      </c>
      <c r="C764" t="inlineStr">
        <is>
          <t>968942362772</t>
        </is>
      </c>
      <c r="D764" t="inlineStr">
        <is>
          <t>Wrenfield Clearing Mexico City</t>
        </is>
      </c>
      <c r="E764" t="inlineStr">
        <is>
          <t>AED</t>
        </is>
      </c>
      <c r="F764" t="inlineStr">
        <is>
          <t>NT26082000758</t>
        </is>
      </c>
      <c r="G764" s="6" t="n">
        <v>46254</v>
      </c>
      <c r="H764" s="7" t="n">
        <v>373448780.162</v>
      </c>
      <c r="I764" t="inlineStr">
        <is>
          <t>GBP</t>
        </is>
      </c>
      <c r="J764" s="7" t="n">
        <v>79544590.175</v>
      </c>
      <c r="K764" t="inlineStr">
        <is>
          <t>SWIFT</t>
        </is>
      </c>
      <c r="L764" t="inlineStr">
        <is>
          <t>Liquidity sweep</t>
        </is>
      </c>
      <c r="M764" s="8" t="n">
        <v>46254.44741898148</v>
      </c>
      <c r="N764" t="inlineStr">
        <is>
          <t>Kai Calloway</t>
        </is>
      </c>
      <c r="O764" s="8" t="n">
        <v>46254.49394675926</v>
      </c>
      <c r="P764" t="inlineStr">
        <is>
          <t>Oakley Prentice</t>
        </is>
      </c>
      <c r="Q764" t="inlineStr">
        <is>
          <t>LEDGER_OR_CASHFLOW_RECEIVED</t>
        </is>
      </c>
      <c r="R764" t="inlineStr">
        <is>
          <t>SYRM_ACKNOWLEDGED</t>
        </is>
      </c>
      <c r="S764" t="inlineStr">
        <is>
          <t>View details</t>
        </is>
      </c>
    </row>
    <row r="765">
      <c r="A765" t="inlineStr">
        <is>
          <t>468341071172</t>
        </is>
      </c>
      <c r="B765" t="inlineStr">
        <is>
          <t>Wrenfield Clearing Mexico City</t>
        </is>
      </c>
      <c r="C765" t="inlineStr">
        <is>
          <t>499062838623</t>
        </is>
      </c>
      <c r="D765" t="inlineStr">
        <is>
          <t>Cedar Settlement Bank Hong Kong</t>
        </is>
      </c>
      <c r="E765" t="inlineStr">
        <is>
          <t>EUR</t>
        </is>
      </c>
      <c r="F765" t="inlineStr">
        <is>
          <t>NT26082000759</t>
        </is>
      </c>
      <c r="G765" s="6" t="n">
        <v>46254</v>
      </c>
      <c r="H765" s="7" t="n">
        <v>2891174.677</v>
      </c>
      <c r="I765" t="inlineStr">
        <is>
          <t>GBP</t>
        </is>
      </c>
      <c r="J765" s="7" t="n">
        <v>2480627.873</v>
      </c>
      <c r="K765" t="inlineStr">
        <is>
          <t>SYRM</t>
        </is>
      </c>
      <c r="L765" t="inlineStr">
        <is>
          <t>Balance alignment</t>
        </is>
      </c>
      <c r="M765" s="8" t="n">
        <v>46254.40503472222</v>
      </c>
      <c r="N765" t="inlineStr">
        <is>
          <t>Oakley Prentice</t>
        </is>
      </c>
      <c r="O765" s="8" t="n">
        <v>46254.45295138889</v>
      </c>
      <c r="P765" t="inlineStr">
        <is>
          <t>Marlow Sinclair</t>
        </is>
      </c>
      <c r="Q765" t="inlineStr">
        <is>
          <t>LEDGER_OR_CASHFLOW_RECEIVED</t>
        </is>
      </c>
      <c r="R765" t="inlineStr">
        <is>
          <t>SYRM_ACKNOWLEDGED</t>
        </is>
      </c>
      <c r="S765" t="inlineStr">
        <is>
          <t>View details</t>
        </is>
      </c>
    </row>
    <row r="766">
      <c r="A766" t="inlineStr">
        <is>
          <t>953625291146</t>
        </is>
      </c>
      <c r="B766" t="inlineStr">
        <is>
          <t>Ironbark Clearing Frankfurt</t>
        </is>
      </c>
      <c r="C766" t="inlineStr">
        <is>
          <t>700726936098</t>
        </is>
      </c>
      <c r="D766" t="inlineStr">
        <is>
          <t>Pinehurst Trust Toronto</t>
        </is>
      </c>
      <c r="E766" t="inlineStr">
        <is>
          <t>USD</t>
        </is>
      </c>
      <c r="F766" t="inlineStr">
        <is>
          <t>NT26082000760</t>
        </is>
      </c>
      <c r="G766" s="6" t="n">
        <v>46254</v>
      </c>
      <c r="H766" s="7" t="n">
        <v>7809635995.833</v>
      </c>
      <c r="I766" t="inlineStr">
        <is>
          <t>GBP</t>
        </is>
      </c>
      <c r="J766" s="7" t="n">
        <v>6122754620.733</v>
      </c>
      <c r="K766" t="inlineStr">
        <is>
          <t>SWIFT</t>
        </is>
      </c>
      <c r="L766" t="inlineStr"/>
      <c r="M766" s="8" t="n">
        <v>46254.55962962963</v>
      </c>
      <c r="N766" t="inlineStr">
        <is>
          <t>Quinn Hollis</t>
        </is>
      </c>
      <c r="O766" s="8" t="n">
        <v>46254.58115740741</v>
      </c>
      <c r="P766" t="inlineStr">
        <is>
          <t>Finley Sinclair</t>
        </is>
      </c>
      <c r="Q766" t="inlineStr">
        <is>
          <t>LEDGER_OR_CASHFLOW_RECEIVED</t>
        </is>
      </c>
      <c r="R766" t="inlineStr">
        <is>
          <t>SYRM_ACKNOWLEDGED</t>
        </is>
      </c>
      <c r="S766" t="inlineStr">
        <is>
          <t>View details</t>
        </is>
      </c>
    </row>
    <row r="767">
      <c r="A767" t="inlineStr">
        <is>
          <t>621381112674</t>
        </is>
      </c>
      <c r="B767" t="inlineStr">
        <is>
          <t>Zephyr Commercial Bank Oslo</t>
        </is>
      </c>
      <c r="C767" t="inlineStr">
        <is>
          <t>120047354818</t>
        </is>
      </c>
      <c r="D767" t="inlineStr">
        <is>
          <t>Redstart Commercial Bank Stockholm</t>
        </is>
      </c>
      <c r="E767" t="inlineStr">
        <is>
          <t>PLN</t>
        </is>
      </c>
      <c r="F767" t="inlineStr">
        <is>
          <t>NT26082000761</t>
        </is>
      </c>
      <c r="G767" s="6" t="n">
        <v>46254</v>
      </c>
      <c r="H767" s="7" t="n">
        <v>50194254.01</v>
      </c>
      <c r="I767" t="inlineStr">
        <is>
          <t>GBP</t>
        </is>
      </c>
      <c r="J767" s="7" t="n">
        <v>9938462.294</v>
      </c>
      <c r="K767" t="inlineStr">
        <is>
          <t>SYRM</t>
        </is>
      </c>
      <c r="L767" t="inlineStr">
        <is>
          <t>Liquidity sweep</t>
        </is>
      </c>
      <c r="M767" s="8" t="n">
        <v>46254.4425462963</v>
      </c>
      <c r="N767" t="inlineStr">
        <is>
          <t>Ellis Delaney</t>
        </is>
      </c>
      <c r="O767" s="8" t="n">
        <v>46254.50296296296</v>
      </c>
      <c r="P767" t="inlineStr">
        <is>
          <t>Finley Hollis</t>
        </is>
      </c>
      <c r="Q767" t="inlineStr">
        <is>
          <t>LEDGER_OR_CASHFLOW_RECEIVED</t>
        </is>
      </c>
      <c r="R767" t="inlineStr">
        <is>
          <t>SYRM_ACKNOWLEDGED</t>
        </is>
      </c>
      <c r="S767" t="inlineStr">
        <is>
          <t>View details</t>
        </is>
      </c>
    </row>
    <row r="768">
      <c r="A768" t="inlineStr">
        <is>
          <t>468341071172</t>
        </is>
      </c>
      <c r="B768" t="inlineStr">
        <is>
          <t>Fernway Clearing Frankfurt</t>
        </is>
      </c>
      <c r="C768" t="inlineStr">
        <is>
          <t>794226063698</t>
        </is>
      </c>
      <c r="D768" t="inlineStr">
        <is>
          <t>Bramble Trust Zurich</t>
        </is>
      </c>
      <c r="E768" t="inlineStr">
        <is>
          <t>EUR</t>
        </is>
      </c>
      <c r="F768" t="inlineStr">
        <is>
          <t>NT26082000762</t>
        </is>
      </c>
      <c r="G768" s="6" t="n">
        <v>46254</v>
      </c>
      <c r="H768" s="7" t="n">
        <v>177584210.128</v>
      </c>
      <c r="I768" t="inlineStr">
        <is>
          <t>GBP</t>
        </is>
      </c>
      <c r="J768" s="7" t="n">
        <v>152367252.29</v>
      </c>
      <c r="K768" t="inlineStr">
        <is>
          <t>INTERNAL</t>
        </is>
      </c>
      <c r="L768" t="inlineStr">
        <is>
          <t>Liquidity sweep</t>
        </is>
      </c>
      <c r="M768" s="8" t="n">
        <v>46254.63079861111</v>
      </c>
      <c r="N768" t="inlineStr">
        <is>
          <t>Finley Jennings</t>
        </is>
      </c>
      <c r="O768" s="8" t="n">
        <v>46254.65649305555</v>
      </c>
      <c r="P768" t="inlineStr">
        <is>
          <t>Greer Osgood</t>
        </is>
      </c>
      <c r="Q768" t="inlineStr">
        <is>
          <t>CASHFLOW_RECEIVED</t>
        </is>
      </c>
      <c r="R768" t="inlineStr">
        <is>
          <t>SYRM_ACKNOWLEDGED</t>
        </is>
      </c>
      <c r="S768" t="inlineStr">
        <is>
          <t>View details</t>
        </is>
      </c>
    </row>
    <row r="769">
      <c r="A769" t="inlineStr">
        <is>
          <t>794226063698</t>
        </is>
      </c>
      <c r="B769" t="inlineStr">
        <is>
          <t>Kestrel Bank Frankfurt</t>
        </is>
      </c>
      <c r="C769" t="inlineStr">
        <is>
          <t>499062838623</t>
        </is>
      </c>
      <c r="D769" t="inlineStr">
        <is>
          <t>Redstart Commercial Bank Stockholm</t>
        </is>
      </c>
      <c r="E769" t="inlineStr">
        <is>
          <t>AED</t>
        </is>
      </c>
      <c r="F769" t="inlineStr">
        <is>
          <t>NT26082000763</t>
        </is>
      </c>
      <c r="G769" s="6" t="n">
        <v>46254</v>
      </c>
      <c r="H769" s="7" t="n">
        <v>40731.434</v>
      </c>
      <c r="I769" t="inlineStr">
        <is>
          <t>GBP</t>
        </is>
      </c>
      <c r="J769" s="7" t="n">
        <v>8675.795</v>
      </c>
      <c r="K769" t="inlineStr">
        <is>
          <t>SYRM</t>
        </is>
      </c>
      <c r="L769" t="inlineStr">
        <is>
          <t>Balance alignment</t>
        </is>
      </c>
      <c r="M769" s="8" t="n">
        <v>46254.37631944445</v>
      </c>
      <c r="N769" t="inlineStr">
        <is>
          <t>Oakley Delaney</t>
        </is>
      </c>
      <c r="O769" s="8" t="n">
        <v>46254.40548611111</v>
      </c>
      <c r="P769" t="inlineStr">
        <is>
          <t>Quinn Lindqvist</t>
        </is>
      </c>
      <c r="Q769" t="inlineStr">
        <is>
          <t>LEDGER_OR_CASHFLOW_RECEIVED</t>
        </is>
      </c>
      <c r="R769" t="inlineStr">
        <is>
          <t>SYRM_ACKNOWLEDGED</t>
        </is>
      </c>
      <c r="S769" t="inlineStr">
        <is>
          <t>View details</t>
        </is>
      </c>
    </row>
    <row r="770">
      <c r="A770" t="inlineStr">
        <is>
          <t>284925023085</t>
        </is>
      </c>
      <c r="B770" t="inlineStr">
        <is>
          <t>Pinehurst Trust Toronto</t>
        </is>
      </c>
      <c r="C770" t="inlineStr">
        <is>
          <t>968942362772</t>
        </is>
      </c>
      <c r="D770" t="inlineStr">
        <is>
          <t>Yarrow Bank Stockholm</t>
        </is>
      </c>
      <c r="E770" t="inlineStr">
        <is>
          <t>MXN</t>
        </is>
      </c>
      <c r="F770" t="inlineStr">
        <is>
          <t>NT26082000764</t>
        </is>
      </c>
      <c r="G770" s="6" t="n">
        <v>46254</v>
      </c>
      <c r="H770" s="7" t="n">
        <v>10042313.884</v>
      </c>
      <c r="I770" t="inlineStr">
        <is>
          <t>GBP</t>
        </is>
      </c>
      <c r="J770" s="7" t="n">
        <v>429811.034</v>
      </c>
      <c r="K770" t="inlineStr">
        <is>
          <t>SYRM</t>
        </is>
      </c>
      <c r="L770" t="inlineStr">
        <is>
          <t>Balance alignment</t>
        </is>
      </c>
      <c r="M770" s="8" t="n">
        <v>46254.64423611111</v>
      </c>
      <c r="N770" t="inlineStr">
        <is>
          <t>Finley Hollis</t>
        </is>
      </c>
      <c r="O770" s="8" t="n">
        <v>46254.68173611111</v>
      </c>
      <c r="P770" t="inlineStr">
        <is>
          <t>Kai Merrick</t>
        </is>
      </c>
      <c r="Q770" t="inlineStr">
        <is>
          <t>LEDGER_OR_CASHFLOW_RECEIVED</t>
        </is>
      </c>
      <c r="R770" t="inlineStr">
        <is>
          <t>SYRM_ACKNOWLEDGED</t>
        </is>
      </c>
      <c r="S770" t="inlineStr">
        <is>
          <t>View details</t>
        </is>
      </c>
    </row>
    <row r="771">
      <c r="A771" t="inlineStr">
        <is>
          <t>898317028833</t>
        </is>
      </c>
      <c r="B771" t="inlineStr">
        <is>
          <t>Pinehurst Commercial Bank Stockholm</t>
        </is>
      </c>
      <c r="C771" t="inlineStr">
        <is>
          <t>150316825069</t>
        </is>
      </c>
      <c r="D771" t="inlineStr">
        <is>
          <t>Alder Settlement Bank Paris</t>
        </is>
      </c>
      <c r="E771" t="inlineStr">
        <is>
          <t>GBP</t>
        </is>
      </c>
      <c r="F771" t="inlineStr">
        <is>
          <t>NT26082000765</t>
        </is>
      </c>
      <c r="G771" s="6" t="n">
        <v>46254</v>
      </c>
      <c r="H771" s="7" t="n">
        <v>13763048.742</v>
      </c>
      <c r="I771" t="inlineStr">
        <is>
          <t>GBP</t>
        </is>
      </c>
      <c r="J771" s="7" t="n">
        <v>13763048.742</v>
      </c>
      <c r="K771" t="inlineStr">
        <is>
          <t>SYRM</t>
        </is>
      </c>
      <c r="L771" t="inlineStr">
        <is>
          <t>Liquidity sweep</t>
        </is>
      </c>
      <c r="M771" s="8" t="n">
        <v>46254.48670138889</v>
      </c>
      <c r="N771" t="inlineStr">
        <is>
          <t>Oakley Rhodes</t>
        </is>
      </c>
      <c r="O771" s="8" t="n">
        <v>46254.49017361111</v>
      </c>
      <c r="P771" t="inlineStr">
        <is>
          <t>Marlow Sinclair</t>
        </is>
      </c>
      <c r="Q771" t="inlineStr">
        <is>
          <t>LEDGER_OR_CASHFLOW_RECEIVED</t>
        </is>
      </c>
      <c r="R771" t="inlineStr">
        <is>
          <t>SYRM_ACKNOWLEDGED</t>
        </is>
      </c>
      <c r="S771" t="inlineStr">
        <is>
          <t>View details</t>
        </is>
      </c>
    </row>
    <row r="772">
      <c r="A772" t="inlineStr">
        <is>
          <t>265771593142</t>
        </is>
      </c>
      <c r="B772" t="inlineStr">
        <is>
          <t>Bramble Clearing Milan</t>
        </is>
      </c>
      <c r="C772" t="inlineStr">
        <is>
          <t>794226063698</t>
        </is>
      </c>
      <c r="D772" t="inlineStr">
        <is>
          <t>Yarrow Bank Stockholm</t>
        </is>
      </c>
      <c r="E772" t="inlineStr">
        <is>
          <t>EUR</t>
        </is>
      </c>
      <c r="F772" t="inlineStr">
        <is>
          <t>NT26082000766</t>
        </is>
      </c>
      <c r="G772" s="6" t="n">
        <v>46254</v>
      </c>
      <c r="H772" s="7" t="n">
        <v>12072451.038</v>
      </c>
      <c r="I772" t="inlineStr">
        <is>
          <t>GBP</t>
        </is>
      </c>
      <c r="J772" s="7" t="n">
        <v>10358162.991</v>
      </c>
      <c r="K772" t="inlineStr">
        <is>
          <t>SYRM</t>
        </is>
      </c>
      <c r="L772" t="inlineStr">
        <is>
          <t>Balance alignment</t>
        </is>
      </c>
      <c r="M772" s="8" t="n">
        <v>46254.45855324074</v>
      </c>
      <c r="N772" t="inlineStr">
        <is>
          <t>Sawyer Calloway</t>
        </is>
      </c>
      <c r="O772" s="8" t="n">
        <v>46254.51758101852</v>
      </c>
      <c r="P772" t="inlineStr">
        <is>
          <t>Devon Calloway</t>
        </is>
      </c>
      <c r="Q772" t="inlineStr">
        <is>
          <t>LEDGER_OR_CASHFLOW_RECEIVED</t>
        </is>
      </c>
      <c r="R772" t="inlineStr">
        <is>
          <t>SYRM_ACKNOWLEDGED</t>
        </is>
      </c>
      <c r="S772" t="inlineStr">
        <is>
          <t>View details</t>
        </is>
      </c>
    </row>
    <row r="773">
      <c r="A773" t="inlineStr">
        <is>
          <t>794226063698</t>
        </is>
      </c>
      <c r="B773" t="inlineStr">
        <is>
          <t>Larkspur Trust Hong Kong</t>
        </is>
      </c>
      <c r="C773" t="inlineStr">
        <is>
          <t>150316825069</t>
        </is>
      </c>
      <c r="D773" t="inlineStr">
        <is>
          <t>Mallow Settlement Bank Oslo</t>
        </is>
      </c>
      <c r="E773" t="inlineStr">
        <is>
          <t>AED</t>
        </is>
      </c>
      <c r="F773" t="inlineStr">
        <is>
          <t>NT26082000767</t>
        </is>
      </c>
      <c r="G773" s="6" t="n">
        <v>46254</v>
      </c>
      <c r="H773" s="7" t="n">
        <v>1110351.463</v>
      </c>
      <c r="I773" t="inlineStr">
        <is>
          <t>GBP</t>
        </is>
      </c>
      <c r="J773" s="7" t="n">
        <v>236504.862</v>
      </c>
      <c r="K773" t="inlineStr">
        <is>
          <t>SYRM</t>
        </is>
      </c>
      <c r="L773" t="inlineStr">
        <is>
          <t>Intraday top-up</t>
        </is>
      </c>
      <c r="M773" s="8" t="n">
        <v>46254.52252314815</v>
      </c>
      <c r="N773" t="inlineStr">
        <is>
          <t>Tatum Ashford</t>
        </is>
      </c>
      <c r="O773" s="8" t="n">
        <v>46254.58224537037</v>
      </c>
      <c r="P773" t="inlineStr">
        <is>
          <t>Greer Prentice</t>
        </is>
      </c>
      <c r="Q773" t="inlineStr">
        <is>
          <t>LEDGER_OR_CASHFLOW_RECEIVED</t>
        </is>
      </c>
      <c r="R773" t="inlineStr">
        <is>
          <t>SYRM_ACKNOWLEDGED</t>
        </is>
      </c>
      <c r="S773" t="inlineStr">
        <is>
          <t>View details</t>
        </is>
      </c>
    </row>
    <row r="774">
      <c r="A774" t="inlineStr">
        <is>
          <t>359365220160</t>
        </is>
      </c>
      <c r="B774" t="inlineStr">
        <is>
          <t>Juniper Bank Warsaw</t>
        </is>
      </c>
      <c r="C774" t="inlineStr">
        <is>
          <t>150316825069</t>
        </is>
      </c>
      <c r="D774" t="inlineStr">
        <is>
          <t>Juniper Commercial Bank Warsaw</t>
        </is>
      </c>
      <c r="E774" t="inlineStr">
        <is>
          <t>EUR</t>
        </is>
      </c>
      <c r="F774" t="inlineStr">
        <is>
          <t>NT26082000768</t>
        </is>
      </c>
      <c r="G774" s="6" t="n">
        <v>46254</v>
      </c>
      <c r="H774" s="7" t="n">
        <v>5.605</v>
      </c>
      <c r="I774" t="inlineStr">
        <is>
          <t>GBP</t>
        </is>
      </c>
      <c r="J774" s="7" t="n">
        <v>4.809</v>
      </c>
      <c r="K774" t="inlineStr">
        <is>
          <t>SYRM</t>
        </is>
      </c>
      <c r="L774" t="inlineStr">
        <is>
          <t>Intraday top-up</t>
        </is>
      </c>
      <c r="M774" s="8" t="n">
        <v>46254.68706018518</v>
      </c>
      <c r="N774" t="inlineStr">
        <is>
          <t>Ellis Delaney</t>
        </is>
      </c>
      <c r="O774" s="8" t="n">
        <v>46254.73636574074</v>
      </c>
      <c r="P774" t="inlineStr">
        <is>
          <t>Avery Sinclair</t>
        </is>
      </c>
      <c r="Q774" t="inlineStr">
        <is>
          <t>LEDGER_OR_CASHFLOW_RECEIVED</t>
        </is>
      </c>
      <c r="R774" t="inlineStr">
        <is>
          <t>SYRM_ACKNOWLEDGED</t>
        </is>
      </c>
      <c r="S774" t="inlineStr">
        <is>
          <t>View details</t>
        </is>
      </c>
    </row>
    <row r="775">
      <c r="A775" t="inlineStr">
        <is>
          <t>824840705580</t>
        </is>
      </c>
      <c r="B775" t="inlineStr">
        <is>
          <t>Fernway Trust Tokyo</t>
        </is>
      </c>
      <c r="C775" t="inlineStr">
        <is>
          <t>265771593142</t>
        </is>
      </c>
      <c r="D775" t="inlineStr">
        <is>
          <t>Redstart Commercial Bank Stockholm</t>
        </is>
      </c>
      <c r="E775" t="inlineStr">
        <is>
          <t>EUR</t>
        </is>
      </c>
      <c r="F775" t="inlineStr">
        <is>
          <t>NT26082000769</t>
        </is>
      </c>
      <c r="G775" s="6" t="n">
        <v>46254</v>
      </c>
      <c r="H775" s="7" t="n">
        <v>106152964.296</v>
      </c>
      <c r="I775" t="inlineStr">
        <is>
          <t>GBP</t>
        </is>
      </c>
      <c r="J775" s="7" t="n">
        <v>91079243.366</v>
      </c>
      <c r="K775" t="inlineStr">
        <is>
          <t>SYRM</t>
        </is>
      </c>
      <c r="L775" t="inlineStr">
        <is>
          <t>Funding move</t>
        </is>
      </c>
      <c r="M775" s="8" t="n">
        <v>46254.35917824074</v>
      </c>
      <c r="N775" t="inlineStr">
        <is>
          <t>Kai Calloway</t>
        </is>
      </c>
      <c r="O775" s="8" t="n">
        <v>46254.36890046296</v>
      </c>
      <c r="P775" t="inlineStr">
        <is>
          <t>Quinn Kirby</t>
        </is>
      </c>
      <c r="Q775" t="inlineStr">
        <is>
          <t>LEDGER_OR_CASHFLOW_RECEIVED</t>
        </is>
      </c>
      <c r="R775" t="inlineStr">
        <is>
          <t>SYRM_ACKNOWLEDGED</t>
        </is>
      </c>
      <c r="S775" t="inlineStr">
        <is>
          <t>View details</t>
        </is>
      </c>
    </row>
    <row r="776">
      <c r="A776" t="inlineStr">
        <is>
          <t>150316825069</t>
        </is>
      </c>
      <c r="B776" t="inlineStr">
        <is>
          <t>Thornbury Commercial Bank London</t>
        </is>
      </c>
      <c r="C776" t="inlineStr">
        <is>
          <t>499062838623</t>
        </is>
      </c>
      <c r="D776" t="inlineStr">
        <is>
          <t>Cedar Settlement Bank Hong Kong</t>
        </is>
      </c>
      <c r="E776" t="inlineStr">
        <is>
          <t>GBP</t>
        </is>
      </c>
      <c r="F776" t="inlineStr">
        <is>
          <t>NT26082000770</t>
        </is>
      </c>
      <c r="G776" s="6" t="n">
        <v>46254</v>
      </c>
      <c r="H776" s="7" t="n">
        <v>6822342.221</v>
      </c>
      <c r="I776" t="inlineStr">
        <is>
          <t>GBP</t>
        </is>
      </c>
      <c r="J776" s="7" t="n">
        <v>6822342.221</v>
      </c>
      <c r="K776" t="inlineStr">
        <is>
          <t>SWIFT</t>
        </is>
      </c>
      <c r="L776" t="inlineStr">
        <is>
          <t>Intraday top-up</t>
        </is>
      </c>
      <c r="M776" s="8" t="n">
        <v>46254.69517361111</v>
      </c>
      <c r="N776" t="inlineStr">
        <is>
          <t>Sawyer Calloway</t>
        </is>
      </c>
      <c r="O776" s="8" t="n">
        <v>46254.72364583334</v>
      </c>
      <c r="P776" t="inlineStr">
        <is>
          <t>Quinn Hollis</t>
        </is>
      </c>
      <c r="Q776" t="inlineStr">
        <is>
          <t>LEDGER_OR_CASHFLOW_RECEIVED</t>
        </is>
      </c>
      <c r="R776" t="inlineStr">
        <is>
          <t>SYRM_ACKNOWLEDGED</t>
        </is>
      </c>
      <c r="S776" t="inlineStr">
        <is>
          <t>View details</t>
        </is>
      </c>
    </row>
    <row r="777">
      <c r="A777" t="inlineStr">
        <is>
          <t>468341071172</t>
        </is>
      </c>
      <c r="B777" t="inlineStr">
        <is>
          <t>Cedar Settlement Bank Hong Kong</t>
        </is>
      </c>
      <c r="C777" t="inlineStr">
        <is>
          <t>794226063698</t>
        </is>
      </c>
      <c r="D777" t="inlineStr">
        <is>
          <t>Bramble Clearing Milan</t>
        </is>
      </c>
      <c r="E777" t="inlineStr">
        <is>
          <t>EUR</t>
        </is>
      </c>
      <c r="F777" t="inlineStr">
        <is>
          <t>NT26082000771</t>
        </is>
      </c>
      <c r="G777" s="6" t="n">
        <v>46254</v>
      </c>
      <c r="H777" s="7" t="n">
        <v>538764870.876</v>
      </c>
      <c r="I777" t="inlineStr">
        <is>
          <t>GBP</t>
        </is>
      </c>
      <c r="J777" s="7" t="n">
        <v>462260259.212</v>
      </c>
      <c r="K777" t="inlineStr">
        <is>
          <t>SYRM</t>
        </is>
      </c>
      <c r="L777" t="inlineStr">
        <is>
          <t>Intraday top-up</t>
        </is>
      </c>
      <c r="M777" s="8" t="n">
        <v>46254.51170138889</v>
      </c>
      <c r="N777" t="inlineStr">
        <is>
          <t>Sawyer Calloway</t>
        </is>
      </c>
      <c r="O777" s="8" t="n">
        <v>46254.5728125</v>
      </c>
      <c r="P777" t="inlineStr">
        <is>
          <t>Finley Sinclair</t>
        </is>
      </c>
      <c r="Q777" t="inlineStr">
        <is>
          <t>LEDGER_OR_CASHFLOW_RECEIVED</t>
        </is>
      </c>
      <c r="R777" t="inlineStr">
        <is>
          <t>SYRM_ACKNOWLEDGED</t>
        </is>
      </c>
      <c r="S777" t="inlineStr">
        <is>
          <t>View details</t>
        </is>
      </c>
    </row>
    <row r="778">
      <c r="A778" t="inlineStr">
        <is>
          <t>150316825069</t>
        </is>
      </c>
      <c r="B778" t="inlineStr">
        <is>
          <t>Mallow Trust Frankfurt</t>
        </is>
      </c>
      <c r="C778" t="inlineStr">
        <is>
          <t>120047354818</t>
        </is>
      </c>
      <c r="D778" t="inlineStr">
        <is>
          <t>Redstart Trust Mexico City</t>
        </is>
      </c>
      <c r="E778" t="inlineStr">
        <is>
          <t>GBP</t>
        </is>
      </c>
      <c r="F778" t="inlineStr">
        <is>
          <t>NT26082000772</t>
        </is>
      </c>
      <c r="G778" s="6" t="n">
        <v>46254</v>
      </c>
      <c r="H778" s="7" t="n">
        <v>18576674.89</v>
      </c>
      <c r="I778" t="inlineStr">
        <is>
          <t>GBP</t>
        </is>
      </c>
      <c r="J778" s="7" t="n">
        <v>18576674.89</v>
      </c>
      <c r="K778" t="inlineStr">
        <is>
          <t>SYRM</t>
        </is>
      </c>
      <c r="L778" t="inlineStr"/>
      <c r="M778" s="8" t="n">
        <v>46254.75476851852</v>
      </c>
      <c r="N778" t="inlineStr">
        <is>
          <t>Harper Calloway</t>
        </is>
      </c>
      <c r="O778" s="8" t="n">
        <v>46254.77074074074</v>
      </c>
      <c r="P778" t="inlineStr">
        <is>
          <t>Greer Osgood</t>
        </is>
      </c>
      <c r="Q778" t="inlineStr">
        <is>
          <t>LEDGER_OR_CASHFLOW_RECEIVED</t>
        </is>
      </c>
      <c r="R778" t="inlineStr">
        <is>
          <t>SYRM_ACKNOWLEDGED</t>
        </is>
      </c>
      <c r="S778" t="inlineStr">
        <is>
          <t>View details</t>
        </is>
      </c>
    </row>
    <row r="779">
      <c r="A779" t="inlineStr">
        <is>
          <t>150316825069</t>
        </is>
      </c>
      <c r="B779" t="inlineStr">
        <is>
          <t>Pinehurst Settlement Bank Frankfurt</t>
        </is>
      </c>
      <c r="C779" t="inlineStr">
        <is>
          <t>794226063698</t>
        </is>
      </c>
      <c r="D779" t="inlineStr">
        <is>
          <t>Yarrow Trust Oslo</t>
        </is>
      </c>
      <c r="E779" t="inlineStr">
        <is>
          <t>GBP</t>
        </is>
      </c>
      <c r="F779" t="inlineStr">
        <is>
          <t>NT26082000773</t>
        </is>
      </c>
      <c r="G779" s="6" t="n">
        <v>46254</v>
      </c>
      <c r="H779" s="7" t="n">
        <v>61443.021</v>
      </c>
      <c r="I779" t="inlineStr">
        <is>
          <t>GBP</t>
        </is>
      </c>
      <c r="J779" s="7" t="n">
        <v>61443.021</v>
      </c>
      <c r="K779" t="inlineStr">
        <is>
          <t>SYRM</t>
        </is>
      </c>
      <c r="L779" t="inlineStr"/>
      <c r="M779" s="8" t="n">
        <v>46254.57589120371</v>
      </c>
      <c r="N779" t="inlineStr">
        <is>
          <t>Ellis Delaney</t>
        </is>
      </c>
      <c r="O779" s="8" t="n"/>
      <c r="Q779" t="inlineStr">
        <is>
          <t>PENDING_APPROVAL</t>
        </is>
      </c>
      <c r="R779" t="inlineStr">
        <is>
          <t>SYRM_PENDING</t>
        </is>
      </c>
      <c r="S779" t="inlineStr">
        <is>
          <t>View details</t>
        </is>
      </c>
    </row>
    <row r="780">
      <c r="A780" t="inlineStr">
        <is>
          <t>621381112674</t>
        </is>
      </c>
      <c r="B780" t="inlineStr">
        <is>
          <t>Granite Commercial Bank Milan</t>
        </is>
      </c>
      <c r="C780" t="inlineStr">
        <is>
          <t>150316825069</t>
        </is>
      </c>
      <c r="D780" t="inlineStr">
        <is>
          <t>Juniper Bank Warsaw</t>
        </is>
      </c>
      <c r="E780" t="inlineStr">
        <is>
          <t>PLN</t>
        </is>
      </c>
      <c r="F780" t="inlineStr">
        <is>
          <t>NT26082000774</t>
        </is>
      </c>
      <c r="G780" s="6" t="n">
        <v>46254</v>
      </c>
      <c r="H780" s="7" t="n">
        <v>2081567.164</v>
      </c>
      <c r="I780" t="inlineStr">
        <is>
          <t>GBP</t>
        </is>
      </c>
      <c r="J780" s="7" t="n">
        <v>412150.298</v>
      </c>
      <c r="K780" t="inlineStr">
        <is>
          <t>SYRM</t>
        </is>
      </c>
      <c r="L780" t="inlineStr">
        <is>
          <t>Balance alignment</t>
        </is>
      </c>
      <c r="M780" s="8" t="n">
        <v>46254.39266203704</v>
      </c>
      <c r="N780" t="inlineStr">
        <is>
          <t>Quinn Lindqvist</t>
        </is>
      </c>
      <c r="O780" s="8" t="n">
        <v>46254.4530787037</v>
      </c>
      <c r="P780" t="inlineStr">
        <is>
          <t>Quinn Hollis</t>
        </is>
      </c>
      <c r="Q780" t="inlineStr">
        <is>
          <t>LEDGER_OR_CASHFLOW_RECEIVED</t>
        </is>
      </c>
      <c r="R780" t="inlineStr">
        <is>
          <t>SYRM_ACKNOWLEDGED</t>
        </is>
      </c>
      <c r="S780" t="inlineStr">
        <is>
          <t>View details</t>
        </is>
      </c>
    </row>
    <row r="781">
      <c r="A781" t="inlineStr">
        <is>
          <t>113829985108</t>
        </is>
      </c>
      <c r="B781" t="inlineStr">
        <is>
          <t>Alder Settlement Bank Paris</t>
        </is>
      </c>
      <c r="C781" t="inlineStr">
        <is>
          <t>927538182434</t>
        </is>
      </c>
      <c r="D781" t="inlineStr">
        <is>
          <t>Zephyr Settlement Bank New York</t>
        </is>
      </c>
      <c r="E781" t="inlineStr">
        <is>
          <t>EUR</t>
        </is>
      </c>
      <c r="F781" t="inlineStr">
        <is>
          <t>NT26082000775</t>
        </is>
      </c>
      <c r="G781" s="6" t="n">
        <v>46254</v>
      </c>
      <c r="H781" s="7" t="n">
        <v>2695534.286</v>
      </c>
      <c r="I781" t="inlineStr">
        <is>
          <t>GBP</t>
        </is>
      </c>
      <c r="J781" s="7" t="n">
        <v>2312768.417</v>
      </c>
      <c r="K781" t="inlineStr">
        <is>
          <t>SYRM</t>
        </is>
      </c>
      <c r="L781" t="inlineStr">
        <is>
          <t>Funding move</t>
        </is>
      </c>
      <c r="M781" s="8" t="n">
        <v>46254.52787037037</v>
      </c>
      <c r="N781" t="inlineStr">
        <is>
          <t>Ellis Delaney</t>
        </is>
      </c>
      <c r="O781" s="8" t="n">
        <v>46254.54800925926</v>
      </c>
      <c r="P781" t="inlineStr">
        <is>
          <t>Avery Prentice</t>
        </is>
      </c>
      <c r="Q781" t="inlineStr">
        <is>
          <t>LEDGER_OR_CASHFLOW_RECEIVED</t>
        </is>
      </c>
      <c r="R781" t="inlineStr">
        <is>
          <t>SYRM_ACKNOWLEDGED</t>
        </is>
      </c>
      <c r="S781" t="inlineStr">
        <is>
          <t>View details</t>
        </is>
      </c>
    </row>
    <row r="782">
      <c r="A782" t="inlineStr">
        <is>
          <t>910703979141</t>
        </is>
      </c>
      <c r="B782" t="inlineStr">
        <is>
          <t>Alder Settlement Bank Paris</t>
        </is>
      </c>
      <c r="C782" t="inlineStr">
        <is>
          <t>150316825069</t>
        </is>
      </c>
      <c r="D782" t="inlineStr">
        <is>
          <t>Granite Trust Frankfurt</t>
        </is>
      </c>
      <c r="E782" t="inlineStr">
        <is>
          <t>CHF</t>
        </is>
      </c>
      <c r="F782" t="inlineStr">
        <is>
          <t>NT26082000776</t>
        </is>
      </c>
      <c r="G782" s="6" t="n">
        <v>46254</v>
      </c>
      <c r="H782" s="7" t="n">
        <v>46693674.792</v>
      </c>
      <c r="I782" t="inlineStr">
        <is>
          <t>GBP</t>
        </is>
      </c>
      <c r="J782" s="7" t="n">
        <v>41884226.288</v>
      </c>
      <c r="K782" t="inlineStr">
        <is>
          <t>SYRM</t>
        </is>
      </c>
      <c r="L782" t="inlineStr">
        <is>
          <t>Liquidity sweep</t>
        </is>
      </c>
      <c r="M782" s="8" t="n">
        <v>46254.70582175926</v>
      </c>
      <c r="N782" t="inlineStr">
        <is>
          <t>Noor Brookes</t>
        </is>
      </c>
      <c r="O782" s="8" t="n">
        <v>46254.77040509259</v>
      </c>
      <c r="P782" t="inlineStr">
        <is>
          <t>Harper Calloway</t>
        </is>
      </c>
      <c r="Q782" t="inlineStr">
        <is>
          <t>LEDGER_RECEIVED</t>
        </is>
      </c>
      <c r="R782" t="inlineStr">
        <is>
          <t>SYRM_ACKNOWLEDGED</t>
        </is>
      </c>
      <c r="S782" t="inlineStr">
        <is>
          <t>View details</t>
        </is>
      </c>
    </row>
    <row r="783">
      <c r="A783" t="inlineStr">
        <is>
          <t>794226063698</t>
        </is>
      </c>
      <c r="B783" t="inlineStr">
        <is>
          <t>Dunlin Commercial Bank Warsaw</t>
        </is>
      </c>
      <c r="C783" t="inlineStr">
        <is>
          <t>910703979141</t>
        </is>
      </c>
      <c r="D783" t="inlineStr">
        <is>
          <t>Ironbark Trust Dublin</t>
        </is>
      </c>
      <c r="E783" t="inlineStr">
        <is>
          <t>AED</t>
        </is>
      </c>
      <c r="F783" t="inlineStr">
        <is>
          <t>NT26082000777</t>
        </is>
      </c>
      <c r="G783" s="6" t="n">
        <v>46254</v>
      </c>
      <c r="H783" s="7" t="n">
        <v>121621.878</v>
      </c>
      <c r="I783" t="inlineStr">
        <is>
          <t>GBP</t>
        </is>
      </c>
      <c r="J783" s="7" t="n">
        <v>25905.46</v>
      </c>
      <c r="K783" t="inlineStr">
        <is>
          <t>SYRM</t>
        </is>
      </c>
      <c r="L783" t="inlineStr">
        <is>
          <t>Liquidity sweep</t>
        </is>
      </c>
      <c r="M783" s="8" t="n">
        <v>46254.63381944445</v>
      </c>
      <c r="N783" t="inlineStr">
        <is>
          <t>Noor Sinclair</t>
        </is>
      </c>
      <c r="O783" s="8" t="n">
        <v>46254.63868055555</v>
      </c>
      <c r="P783" t="inlineStr">
        <is>
          <t>Kai Novak</t>
        </is>
      </c>
      <c r="Q783" t="inlineStr">
        <is>
          <t>LEDGER_OR_CASHFLOW_RECEIVED</t>
        </is>
      </c>
      <c r="R783" t="inlineStr">
        <is>
          <t>SYRM_ACKNOWLEDGED</t>
        </is>
      </c>
      <c r="S783" t="inlineStr">
        <is>
          <t>View details</t>
        </is>
      </c>
    </row>
    <row r="784">
      <c r="A784" t="inlineStr">
        <is>
          <t>968942362772</t>
        </is>
      </c>
      <c r="B784" t="inlineStr">
        <is>
          <t>Dunlin Commercial Bank Warsaw</t>
        </is>
      </c>
      <c r="C784" t="inlineStr">
        <is>
          <t>927538182434</t>
        </is>
      </c>
      <c r="D784" t="inlineStr">
        <is>
          <t>Granite Trust Frankfurt</t>
        </is>
      </c>
      <c r="E784" t="inlineStr">
        <is>
          <t>EUR</t>
        </is>
      </c>
      <c r="F784" t="inlineStr">
        <is>
          <t>NT26082000778</t>
        </is>
      </c>
      <c r="G784" s="6" t="n">
        <v>46254</v>
      </c>
      <c r="H784" s="7" t="n">
        <v>1411652.522</v>
      </c>
      <c r="I784" t="inlineStr">
        <is>
          <t>GBP</t>
        </is>
      </c>
      <c r="J784" s="7" t="n">
        <v>1211197.864</v>
      </c>
      <c r="K784" t="inlineStr">
        <is>
          <t>SWIFT</t>
        </is>
      </c>
      <c r="L784" t="inlineStr">
        <is>
          <t>Balance alignment</t>
        </is>
      </c>
      <c r="M784" s="8" t="n">
        <v>46254.82592592593</v>
      </c>
      <c r="N784" t="inlineStr">
        <is>
          <t>Wren Delaney</t>
        </is>
      </c>
      <c r="O784" s="8" t="n"/>
      <c r="Q784" t="inlineStr">
        <is>
          <t>PENDING_APPROVAL</t>
        </is>
      </c>
      <c r="R784" t="inlineStr">
        <is>
          <t>SYRM_PENDING</t>
        </is>
      </c>
      <c r="S784" t="inlineStr">
        <is>
          <t>View details</t>
        </is>
      </c>
    </row>
    <row r="785">
      <c r="A785" t="inlineStr">
        <is>
          <t>150316825069</t>
        </is>
      </c>
      <c r="B785" t="inlineStr">
        <is>
          <t>Bramble Commercial Bank Toronto</t>
        </is>
      </c>
      <c r="C785" t="inlineStr">
        <is>
          <t>359365220160</t>
        </is>
      </c>
      <c r="D785" t="inlineStr">
        <is>
          <t>Bramble Settlement Bank Hong Kong</t>
        </is>
      </c>
      <c r="E785" t="inlineStr">
        <is>
          <t>GBP</t>
        </is>
      </c>
      <c r="F785" t="inlineStr">
        <is>
          <t>NT26082000779</t>
        </is>
      </c>
      <c r="G785" s="6" t="n">
        <v>46254</v>
      </c>
      <c r="H785" s="7" t="n">
        <v>634393005.668</v>
      </c>
      <c r="I785" t="inlineStr">
        <is>
          <t>GBP</t>
        </is>
      </c>
      <c r="J785" s="7" t="n">
        <v>634393005.668</v>
      </c>
      <c r="K785" t="inlineStr">
        <is>
          <t>SYRM</t>
        </is>
      </c>
      <c r="L785" t="inlineStr">
        <is>
          <t>Balance alignment</t>
        </is>
      </c>
      <c r="M785" s="8" t="n">
        <v>46254.32682870371</v>
      </c>
      <c r="N785" t="inlineStr">
        <is>
          <t>Wren Fairweather</t>
        </is>
      </c>
      <c r="O785" s="8" t="n">
        <v>46254.33099537037</v>
      </c>
      <c r="P785" t="inlineStr">
        <is>
          <t>Greer Osgood</t>
        </is>
      </c>
      <c r="Q785" t="inlineStr">
        <is>
          <t>LEDGER_RECEIVED</t>
        </is>
      </c>
      <c r="R785" t="inlineStr">
        <is>
          <t>SYRM_ACKNOWLEDGED</t>
        </is>
      </c>
      <c r="S785" t="inlineStr">
        <is>
          <t>View details</t>
        </is>
      </c>
    </row>
    <row r="786">
      <c r="A786" t="inlineStr">
        <is>
          <t>359365220160</t>
        </is>
      </c>
      <c r="B786" t="inlineStr">
        <is>
          <t>Kestrel Bank Frankfurt</t>
        </is>
      </c>
      <c r="C786" t="inlineStr">
        <is>
          <t>794226063698</t>
        </is>
      </c>
      <c r="D786" t="inlineStr">
        <is>
          <t>Juniper Bank Warsaw</t>
        </is>
      </c>
      <c r="E786" t="inlineStr">
        <is>
          <t>EUR</t>
        </is>
      </c>
      <c r="F786" t="inlineStr">
        <is>
          <t>NT26082000780</t>
        </is>
      </c>
      <c r="G786" s="6" t="n">
        <v>46254</v>
      </c>
      <c r="H786" s="7" t="n">
        <v>64738668.811</v>
      </c>
      <c r="I786" t="inlineStr">
        <is>
          <t>GBP</t>
        </is>
      </c>
      <c r="J786" s="7" t="n">
        <v>55545777.84</v>
      </c>
      <c r="K786" t="inlineStr">
        <is>
          <t>SYRM</t>
        </is>
      </c>
      <c r="L786" t="inlineStr"/>
      <c r="M786" s="8" t="n">
        <v>46254.51309027777</v>
      </c>
      <c r="N786" t="inlineStr">
        <is>
          <t>Kai Merrick</t>
        </is>
      </c>
      <c r="O786" s="8" t="n">
        <v>46254.57350694444</v>
      </c>
      <c r="P786" t="inlineStr">
        <is>
          <t>Devon Delaney</t>
        </is>
      </c>
      <c r="Q786" t="inlineStr">
        <is>
          <t>LEDGER_OR_CASHFLOW_RECEIVED</t>
        </is>
      </c>
      <c r="R786" t="inlineStr">
        <is>
          <t>SYRM_ACKNOWLEDGED</t>
        </is>
      </c>
      <c r="S786" t="inlineStr">
        <is>
          <t>View details</t>
        </is>
      </c>
    </row>
    <row r="787">
      <c r="A787" t="inlineStr">
        <is>
          <t>726928343448</t>
        </is>
      </c>
      <c r="B787" t="inlineStr">
        <is>
          <t>Bramble Settlement Bank Hong Kong</t>
        </is>
      </c>
      <c r="C787" t="inlineStr">
        <is>
          <t>499062838623</t>
        </is>
      </c>
      <c r="D787" t="inlineStr">
        <is>
          <t>Juniper Commercial Bank Warsaw</t>
        </is>
      </c>
      <c r="E787" t="inlineStr">
        <is>
          <t>EUR</t>
        </is>
      </c>
      <c r="F787" t="inlineStr">
        <is>
          <t>NT26082000781</t>
        </is>
      </c>
      <c r="G787" s="6" t="n">
        <v>46254</v>
      </c>
      <c r="H787" s="7" t="n">
        <v>2737836.727</v>
      </c>
      <c r="I787" t="inlineStr">
        <is>
          <t>GBP</t>
        </is>
      </c>
      <c r="J787" s="7" t="n">
        <v>2349063.912</v>
      </c>
      <c r="K787" t="inlineStr">
        <is>
          <t>SYRM</t>
        </is>
      </c>
      <c r="L787" t="inlineStr"/>
      <c r="M787" s="8" t="n">
        <v>46254.64002314815</v>
      </c>
      <c r="N787" t="inlineStr">
        <is>
          <t>Wren Delaney</t>
        </is>
      </c>
      <c r="O787" s="8" t="n">
        <v>46254.67196759259</v>
      </c>
      <c r="P787" t="inlineStr">
        <is>
          <t>Noor Brookes</t>
        </is>
      </c>
      <c r="Q787" t="inlineStr">
        <is>
          <t>LEDGER_OR_CASHFLOW_RECEIVED</t>
        </is>
      </c>
      <c r="R787" t="inlineStr">
        <is>
          <t>SYRM_ACKNOWLEDGED</t>
        </is>
      </c>
      <c r="S787" t="inlineStr">
        <is>
          <t>View details</t>
        </is>
      </c>
    </row>
    <row r="788">
      <c r="A788" t="inlineStr">
        <is>
          <t>171857983160</t>
        </is>
      </c>
      <c r="B788" t="inlineStr">
        <is>
          <t>Oriel Commercial Bank Toronto</t>
        </is>
      </c>
      <c r="C788" t="inlineStr">
        <is>
          <t>265771593142</t>
        </is>
      </c>
      <c r="D788" t="inlineStr">
        <is>
          <t>Juniper Clearing New York</t>
        </is>
      </c>
      <c r="E788" t="inlineStr">
        <is>
          <t>AUD</t>
        </is>
      </c>
      <c r="F788" t="inlineStr">
        <is>
          <t>NT26082000782</t>
        </is>
      </c>
      <c r="G788" s="6" t="n">
        <v>46254</v>
      </c>
      <c r="H788" s="7" t="n">
        <v>148338562.52</v>
      </c>
      <c r="I788" t="inlineStr">
        <is>
          <t>GBP</t>
        </is>
      </c>
      <c r="J788" s="7" t="n">
        <v>76097682.573</v>
      </c>
      <c r="K788" t="inlineStr">
        <is>
          <t>SYRM</t>
        </is>
      </c>
      <c r="L788" t="inlineStr">
        <is>
          <t>Funding move</t>
        </is>
      </c>
      <c r="M788" s="8" t="n">
        <v>46254.54432870371</v>
      </c>
      <c r="N788" t="inlineStr">
        <is>
          <t>Wren Fairweather</t>
        </is>
      </c>
      <c r="O788" s="8" t="n">
        <v>46254.59571759259</v>
      </c>
      <c r="P788" t="inlineStr">
        <is>
          <t>Oakley Rhodes</t>
        </is>
      </c>
      <c r="Q788" t="inlineStr">
        <is>
          <t>LEDGER_OR_CASHFLOW_RECEIVED</t>
        </is>
      </c>
      <c r="R788" t="inlineStr">
        <is>
          <t>SYRM_ACKNOWLEDGED</t>
        </is>
      </c>
      <c r="S788" t="inlineStr">
        <is>
          <t>View details</t>
        </is>
      </c>
    </row>
    <row r="789">
      <c r="A789" t="inlineStr">
        <is>
          <t>910703979141</t>
        </is>
      </c>
      <c r="B789" t="inlineStr">
        <is>
          <t>Harrow Bank Milan</t>
        </is>
      </c>
      <c r="C789" t="inlineStr">
        <is>
          <t>499062838623</t>
        </is>
      </c>
      <c r="D789" t="inlineStr">
        <is>
          <t>Sablewood Settlement Bank Oslo</t>
        </is>
      </c>
      <c r="E789" t="inlineStr">
        <is>
          <t>CHF</t>
        </is>
      </c>
      <c r="F789" t="inlineStr">
        <is>
          <t>NT26082000783</t>
        </is>
      </c>
      <c r="G789" s="6" t="n">
        <v>46254</v>
      </c>
      <c r="H789" s="7" t="n">
        <v>9952954.514</v>
      </c>
      <c r="I789" t="inlineStr">
        <is>
          <t>GBP</t>
        </is>
      </c>
      <c r="J789" s="7" t="n">
        <v>8927800.198999999</v>
      </c>
      <c r="K789" t="inlineStr">
        <is>
          <t>SYRM</t>
        </is>
      </c>
      <c r="L789" t="inlineStr">
        <is>
          <t>Liquidity sweep</t>
        </is>
      </c>
      <c r="M789" s="8" t="n">
        <v>46254.39546296297</v>
      </c>
      <c r="N789" t="inlineStr">
        <is>
          <t>Noor Thorne</t>
        </is>
      </c>
      <c r="O789" s="8" t="n">
        <v>46254.42949074074</v>
      </c>
      <c r="P789" t="inlineStr">
        <is>
          <t>Finley Jennings</t>
        </is>
      </c>
      <c r="Q789" t="inlineStr">
        <is>
          <t>CASHFLOW_RECEIVED</t>
        </is>
      </c>
      <c r="R789" t="inlineStr">
        <is>
          <t>SYRM_ACKNOWLEDGED</t>
        </is>
      </c>
      <c r="S789" t="inlineStr">
        <is>
          <t>View details</t>
        </is>
      </c>
    </row>
    <row r="790">
      <c r="A790" t="inlineStr">
        <is>
          <t>468341071172</t>
        </is>
      </c>
      <c r="B790" t="inlineStr">
        <is>
          <t>Pinehurst Commercial Bank Sydney</t>
        </is>
      </c>
      <c r="C790" t="inlineStr">
        <is>
          <t>284925023085</t>
        </is>
      </c>
      <c r="D790" t="inlineStr">
        <is>
          <t>Wrenfield Commercial Bank Oslo</t>
        </is>
      </c>
      <c r="E790" t="inlineStr">
        <is>
          <t>EUR</t>
        </is>
      </c>
      <c r="F790" t="inlineStr">
        <is>
          <t>NT26082000784</t>
        </is>
      </c>
      <c r="G790" s="6" t="n">
        <v>46254</v>
      </c>
      <c r="H790" s="7" t="n">
        <v>29075311.839</v>
      </c>
      <c r="I790" t="inlineStr">
        <is>
          <t>GBP</t>
        </is>
      </c>
      <c r="J790" s="7" t="n">
        <v>24946617.558</v>
      </c>
      <c r="K790" t="inlineStr">
        <is>
          <t>SYRM</t>
        </is>
      </c>
      <c r="L790" t="inlineStr">
        <is>
          <t>Funding move</t>
        </is>
      </c>
      <c r="M790" s="8" t="n">
        <v>46254.42797453704</v>
      </c>
      <c r="N790" t="inlineStr">
        <is>
          <t>Quinn Lindqvist</t>
        </is>
      </c>
      <c r="O790" s="8" t="n">
        <v>46254.49325231482</v>
      </c>
      <c r="P790" t="inlineStr">
        <is>
          <t>Avery Sinclair</t>
        </is>
      </c>
      <c r="Q790" t="inlineStr">
        <is>
          <t>LEDGER_OR_CASHFLOW_RECEIVED</t>
        </is>
      </c>
      <c r="R790" t="inlineStr">
        <is>
          <t>SYRM_ACKNOWLEDGED</t>
        </is>
      </c>
      <c r="S790" t="inlineStr">
        <is>
          <t>View details</t>
        </is>
      </c>
    </row>
    <row r="791">
      <c r="A791" t="inlineStr">
        <is>
          <t>113829985108</t>
        </is>
      </c>
      <c r="B791" t="inlineStr">
        <is>
          <t>Redstart Commercial Bank Dublin</t>
        </is>
      </c>
      <c r="C791" t="inlineStr">
        <is>
          <t>150316825069</t>
        </is>
      </c>
      <c r="D791" t="inlineStr">
        <is>
          <t>Juniper Clearing New York</t>
        </is>
      </c>
      <c r="E791" t="inlineStr">
        <is>
          <t>EUR</t>
        </is>
      </c>
      <c r="F791" t="inlineStr">
        <is>
          <t>NT26082000785</t>
        </is>
      </c>
      <c r="G791" s="6" t="n">
        <v>46254</v>
      </c>
      <c r="H791" s="7" t="n">
        <v>104566449.396</v>
      </c>
      <c r="I791" t="inlineStr">
        <is>
          <t>GBP</t>
        </is>
      </c>
      <c r="J791" s="7" t="n">
        <v>89718013.582</v>
      </c>
      <c r="K791" t="inlineStr">
        <is>
          <t>SYRM</t>
        </is>
      </c>
      <c r="L791" t="inlineStr">
        <is>
          <t>Intraday top-up</t>
        </is>
      </c>
      <c r="M791" s="8" t="n">
        <v>46254.55449074074</v>
      </c>
      <c r="N791" t="inlineStr">
        <is>
          <t>Wren Fairweather</t>
        </is>
      </c>
      <c r="O791" s="8" t="n">
        <v>46254.61699074074</v>
      </c>
      <c r="P791" t="inlineStr">
        <is>
          <t>Lennox Ellison</t>
        </is>
      </c>
      <c r="Q791" t="inlineStr">
        <is>
          <t>LEDGER_OR_CASHFLOW_RECEIVED</t>
        </is>
      </c>
      <c r="R791" t="inlineStr">
        <is>
          <t>SYRM_ACKNOWLEDGED</t>
        </is>
      </c>
      <c r="S791" t="inlineStr">
        <is>
          <t>View details</t>
        </is>
      </c>
    </row>
    <row r="792">
      <c r="A792" t="inlineStr">
        <is>
          <t>120047354818</t>
        </is>
      </c>
      <c r="B792" t="inlineStr">
        <is>
          <t>Nightjar Bank Stockholm</t>
        </is>
      </c>
      <c r="C792" t="inlineStr">
        <is>
          <t>499062838623</t>
        </is>
      </c>
      <c r="D792" t="inlineStr">
        <is>
          <t>Dunlin Commercial Bank Warsaw</t>
        </is>
      </c>
      <c r="E792" t="inlineStr">
        <is>
          <t>USD</t>
        </is>
      </c>
      <c r="F792" t="inlineStr">
        <is>
          <t>NT26082000786</t>
        </is>
      </c>
      <c r="G792" s="6" t="n">
        <v>46254</v>
      </c>
      <c r="H792" s="7" t="n">
        <v>24847019.034</v>
      </c>
      <c r="I792" t="inlineStr">
        <is>
          <t>GBP</t>
        </is>
      </c>
      <c r="J792" s="7" t="n">
        <v>19480062.923</v>
      </c>
      <c r="K792" t="inlineStr">
        <is>
          <t>SWIFT</t>
        </is>
      </c>
      <c r="L792" t="inlineStr">
        <is>
          <t>Intraday top-up</t>
        </is>
      </c>
      <c r="M792" s="8" t="n">
        <v>46254.55684027778</v>
      </c>
      <c r="N792" t="inlineStr">
        <is>
          <t>Marlow Thorne</t>
        </is>
      </c>
      <c r="O792" s="8" t="n">
        <v>46254.56725694444</v>
      </c>
      <c r="P792" t="inlineStr">
        <is>
          <t>Devon Jennings</t>
        </is>
      </c>
      <c r="Q792" t="inlineStr">
        <is>
          <t>LEDGER_OR_CASHFLOW_RECEIVED</t>
        </is>
      </c>
      <c r="R792" t="inlineStr">
        <is>
          <t>SYRM_ACKNOWLEDGED</t>
        </is>
      </c>
      <c r="S792" t="inlineStr">
        <is>
          <t>View details</t>
        </is>
      </c>
    </row>
    <row r="793">
      <c r="A793" t="inlineStr">
        <is>
          <t>468341071172</t>
        </is>
      </c>
      <c r="B793" t="inlineStr">
        <is>
          <t>Wrenfield Clearing Mexico City</t>
        </is>
      </c>
      <c r="C793" t="inlineStr">
        <is>
          <t>898317028833</t>
        </is>
      </c>
      <c r="D793" t="inlineStr">
        <is>
          <t>Cedar Settlement Bank Hong Kong</t>
        </is>
      </c>
      <c r="E793" t="inlineStr">
        <is>
          <t>EUR</t>
        </is>
      </c>
      <c r="F793" t="inlineStr">
        <is>
          <t>NT26082000787</t>
        </is>
      </c>
      <c r="G793" s="6" t="n">
        <v>46254</v>
      </c>
      <c r="H793" s="7" t="n">
        <v>18666832319.638</v>
      </c>
      <c r="I793" t="inlineStr">
        <is>
          <t>GBP</t>
        </is>
      </c>
      <c r="J793" s="7" t="n">
        <v>16016142130.249</v>
      </c>
      <c r="K793" t="inlineStr">
        <is>
          <t>SWIFT</t>
        </is>
      </c>
      <c r="L793" t="inlineStr">
        <is>
          <t>Funding move</t>
        </is>
      </c>
      <c r="M793" s="8" t="n">
        <v>46254.47795138889</v>
      </c>
      <c r="N793" t="inlineStr">
        <is>
          <t>Quinn Hollis</t>
        </is>
      </c>
      <c r="O793" s="8" t="n">
        <v>46254.5203125</v>
      </c>
      <c r="P793" t="inlineStr">
        <is>
          <t>Finley Hollis</t>
        </is>
      </c>
      <c r="Q793" t="inlineStr">
        <is>
          <t>LEDGER_OR_CASHFLOW_RECEIVED</t>
        </is>
      </c>
      <c r="R793" t="inlineStr">
        <is>
          <t>SYRM_ACKNOWLEDGED</t>
        </is>
      </c>
      <c r="S793" t="inlineStr">
        <is>
          <t>View details</t>
        </is>
      </c>
    </row>
    <row r="794">
      <c r="A794" t="inlineStr">
        <is>
          <t>132544340094</t>
        </is>
      </c>
      <c r="B794" t="inlineStr">
        <is>
          <t>Yarrow Bank Stockholm</t>
        </is>
      </c>
      <c r="C794" t="inlineStr">
        <is>
          <t>910703979141</t>
        </is>
      </c>
      <c r="D794" t="inlineStr">
        <is>
          <t>Fernway Clearing Frankfurt</t>
        </is>
      </c>
      <c r="E794" t="inlineStr">
        <is>
          <t>CZK</t>
        </is>
      </c>
      <c r="F794" t="inlineStr">
        <is>
          <t>NT26082000788</t>
        </is>
      </c>
      <c r="G794" s="6" t="n">
        <v>46254</v>
      </c>
      <c r="H794" s="7" t="n">
        <v>2379128136.553</v>
      </c>
      <c r="I794" t="inlineStr">
        <is>
          <t>GBP</t>
        </is>
      </c>
      <c r="J794" s="7" t="n">
        <v>80652443.829</v>
      </c>
      <c r="K794" t="inlineStr">
        <is>
          <t>SWIFT</t>
        </is>
      </c>
      <c r="L794" t="inlineStr">
        <is>
          <t>Intraday top-up</t>
        </is>
      </c>
      <c r="M794" s="8" t="n">
        <v>46254.39476851852</v>
      </c>
      <c r="N794" t="inlineStr">
        <is>
          <t>Quinn Osgood</t>
        </is>
      </c>
      <c r="O794" s="8" t="n">
        <v>46254.4100462963</v>
      </c>
      <c r="P794" t="inlineStr">
        <is>
          <t>Greer Osgood</t>
        </is>
      </c>
      <c r="Q794" t="inlineStr">
        <is>
          <t>LEDGER_OR_CASHFLOW_RECEIVED</t>
        </is>
      </c>
      <c r="R794" t="inlineStr">
        <is>
          <t>SYRM_ACKNOWLEDGED</t>
        </is>
      </c>
      <c r="S794" t="inlineStr">
        <is>
          <t>View details</t>
        </is>
      </c>
    </row>
    <row r="795">
      <c r="A795" t="inlineStr">
        <is>
          <t>794226063698</t>
        </is>
      </c>
      <c r="B795" t="inlineStr">
        <is>
          <t>Pinehurst Trust Toronto</t>
        </is>
      </c>
      <c r="C795" t="inlineStr">
        <is>
          <t>265771593142</t>
        </is>
      </c>
      <c r="D795" t="inlineStr">
        <is>
          <t>Oriel Settlement Bank Madrid</t>
        </is>
      </c>
      <c r="E795" t="inlineStr">
        <is>
          <t>AED</t>
        </is>
      </c>
      <c r="F795" t="inlineStr">
        <is>
          <t>NT26082000789</t>
        </is>
      </c>
      <c r="G795" s="6" t="n">
        <v>46254</v>
      </c>
      <c r="H795" s="7" t="n">
        <v>149933162.989</v>
      </c>
      <c r="I795" t="inlineStr">
        <is>
          <t>GBP</t>
        </is>
      </c>
      <c r="J795" s="7" t="n">
        <v>31935763.717</v>
      </c>
      <c r="K795" t="inlineStr">
        <is>
          <t>SYRM</t>
        </is>
      </c>
      <c r="L795" t="inlineStr">
        <is>
          <t>Balance alignment</t>
        </is>
      </c>
      <c r="M795" s="8" t="n">
        <v>46254.41034722222</v>
      </c>
      <c r="N795" t="inlineStr">
        <is>
          <t>Oakley Prentice</t>
        </is>
      </c>
      <c r="O795" s="8" t="n">
        <v>46254.47493055555</v>
      </c>
      <c r="P795" t="inlineStr">
        <is>
          <t>Quinn Hollis</t>
        </is>
      </c>
      <c r="Q795" t="inlineStr">
        <is>
          <t>LEDGER_OR_CASHFLOW_RECEIVED</t>
        </is>
      </c>
      <c r="R795" t="inlineStr">
        <is>
          <t>SYRM_ACKNOWLEDGED</t>
        </is>
      </c>
      <c r="S795" t="inlineStr">
        <is>
          <t>View details</t>
        </is>
      </c>
    </row>
    <row r="796">
      <c r="A796" t="inlineStr">
        <is>
          <t>953625291146</t>
        </is>
      </c>
      <c r="B796" t="inlineStr">
        <is>
          <t>Sablewood Settlement Bank Oslo</t>
        </is>
      </c>
      <c r="C796" t="inlineStr">
        <is>
          <t>468341071172</t>
        </is>
      </c>
      <c r="D796" t="inlineStr">
        <is>
          <t>Oriel Commercial Bank Toronto</t>
        </is>
      </c>
      <c r="E796" t="inlineStr">
        <is>
          <t>USD</t>
        </is>
      </c>
      <c r="F796" t="inlineStr">
        <is>
          <t>NT26082000790</t>
        </is>
      </c>
      <c r="G796" s="6" t="n">
        <v>46254</v>
      </c>
      <c r="H796" s="7" t="n">
        <v>4235992.6</v>
      </c>
      <c r="I796" t="inlineStr">
        <is>
          <t>GBP</t>
        </is>
      </c>
      <c r="J796" s="7" t="n">
        <v>3321018.198</v>
      </c>
      <c r="K796" t="inlineStr">
        <is>
          <t>SYRM</t>
        </is>
      </c>
      <c r="L796" t="inlineStr">
        <is>
          <t>Balance alignment</t>
        </is>
      </c>
      <c r="M796" s="8" t="n">
        <v>46254.34820601852</v>
      </c>
      <c r="N796" t="inlineStr">
        <is>
          <t>Avery Prentice</t>
        </is>
      </c>
      <c r="O796" s="8" t="n">
        <v>46254.39542824074</v>
      </c>
      <c r="P796" t="inlineStr">
        <is>
          <t>Wren Delaney</t>
        </is>
      </c>
      <c r="Q796" t="inlineStr">
        <is>
          <t>LEDGER_OR_CASHFLOW_RECEIVED</t>
        </is>
      </c>
      <c r="R796" t="inlineStr">
        <is>
          <t>SYRM_ACKNOWLEDGED</t>
        </is>
      </c>
      <c r="S796" t="inlineStr">
        <is>
          <t>View details</t>
        </is>
      </c>
    </row>
    <row r="797">
      <c r="A797" t="inlineStr">
        <is>
          <t>150316825069</t>
        </is>
      </c>
      <c r="B797" t="inlineStr">
        <is>
          <t>Yarrow Settlement Bank Oslo</t>
        </is>
      </c>
      <c r="C797" t="inlineStr">
        <is>
          <t>953625291146</t>
        </is>
      </c>
      <c r="D797" t="inlineStr">
        <is>
          <t>Juniper Trust London</t>
        </is>
      </c>
      <c r="E797" t="inlineStr">
        <is>
          <t>GBP</t>
        </is>
      </c>
      <c r="F797" t="inlineStr">
        <is>
          <t>NT26082000791</t>
        </is>
      </c>
      <c r="G797" s="6" t="n">
        <v>46254</v>
      </c>
      <c r="H797" s="7" t="n">
        <v>69208592.83</v>
      </c>
      <c r="I797" t="inlineStr">
        <is>
          <t>GBP</t>
        </is>
      </c>
      <c r="J797" s="7" t="n">
        <v>69208592.83</v>
      </c>
      <c r="K797" t="inlineStr">
        <is>
          <t>SYRM</t>
        </is>
      </c>
      <c r="L797" t="inlineStr">
        <is>
          <t>Balance alignment</t>
        </is>
      </c>
      <c r="M797" s="8" t="n">
        <v>46254.29540509259</v>
      </c>
      <c r="N797" t="inlineStr">
        <is>
          <t>Oakley Prentice</t>
        </is>
      </c>
      <c r="O797" s="8" t="n">
        <v>46254.30443287037</v>
      </c>
      <c r="P797" t="inlineStr">
        <is>
          <t>Marlow Thorne</t>
        </is>
      </c>
      <c r="Q797" t="inlineStr">
        <is>
          <t>LEDGER_OR_CASHFLOW_RECEIVED</t>
        </is>
      </c>
      <c r="R797" t="inlineStr">
        <is>
          <t>SYRM_ACKNOWLEDGED</t>
        </is>
      </c>
      <c r="S797" t="inlineStr">
        <is>
          <t>View details</t>
        </is>
      </c>
    </row>
    <row r="798">
      <c r="A798" t="inlineStr">
        <is>
          <t>700726936098</t>
        </is>
      </c>
      <c r="B798" t="inlineStr">
        <is>
          <t>Granite Commercial Bank Milan</t>
        </is>
      </c>
      <c r="C798" t="inlineStr">
        <is>
          <t>468341071172</t>
        </is>
      </c>
      <c r="D798" t="inlineStr">
        <is>
          <t>Zephyr Bank Singapore</t>
        </is>
      </c>
      <c r="E798" t="inlineStr">
        <is>
          <t>SAR</t>
        </is>
      </c>
      <c r="F798" t="inlineStr">
        <is>
          <t>NT26082000792</t>
        </is>
      </c>
      <c r="G798" s="6" t="n">
        <v>46254</v>
      </c>
      <c r="H798" s="7" t="n">
        <v>47507414.537</v>
      </c>
      <c r="I798" t="inlineStr">
        <is>
          <t>GBP</t>
        </is>
      </c>
      <c r="J798" s="7" t="n">
        <v>9929049.638</v>
      </c>
      <c r="K798" t="inlineStr">
        <is>
          <t>SYRM</t>
        </is>
      </c>
      <c r="L798" t="inlineStr">
        <is>
          <t>Funding move</t>
        </is>
      </c>
      <c r="M798" s="8" t="n">
        <v>46254.34140046296</v>
      </c>
      <c r="N798" t="inlineStr">
        <is>
          <t>Avery Sinclair</t>
        </is>
      </c>
      <c r="O798" s="8" t="n">
        <v>46254.36848379629</v>
      </c>
      <c r="P798" t="inlineStr">
        <is>
          <t>Kai Novak</t>
        </is>
      </c>
      <c r="Q798" t="inlineStr">
        <is>
          <t>LEDGER_OR_CASHFLOW_RECEIVED</t>
        </is>
      </c>
      <c r="R798" t="inlineStr">
        <is>
          <t>SYRM_ACKNOWLEDGED</t>
        </is>
      </c>
      <c r="S798" t="inlineStr">
        <is>
          <t>View details</t>
        </is>
      </c>
    </row>
    <row r="799">
      <c r="A799" t="inlineStr">
        <is>
          <t>794226063698</t>
        </is>
      </c>
      <c r="B799" t="inlineStr">
        <is>
          <t>Pinehurst Trust Toronto</t>
        </is>
      </c>
      <c r="C799" t="inlineStr">
        <is>
          <t>265771593142</t>
        </is>
      </c>
      <c r="D799" t="inlineStr">
        <is>
          <t>Fernway Trust Tokyo</t>
        </is>
      </c>
      <c r="E799" t="inlineStr">
        <is>
          <t>AED</t>
        </is>
      </c>
      <c r="F799" t="inlineStr">
        <is>
          <t>NT26082000793</t>
        </is>
      </c>
      <c r="G799" s="6" t="n">
        <v>46254</v>
      </c>
      <c r="H799" s="7" t="n">
        <v>6253565.627</v>
      </c>
      <c r="I799" t="inlineStr">
        <is>
          <t>GBP</t>
        </is>
      </c>
      <c r="J799" s="7" t="n">
        <v>1332009.479</v>
      </c>
      <c r="K799" t="inlineStr">
        <is>
          <t>SYRM</t>
        </is>
      </c>
      <c r="L799" t="inlineStr">
        <is>
          <t>Funding move</t>
        </is>
      </c>
      <c r="M799" s="8" t="n">
        <v>46254.48496527778</v>
      </c>
      <c r="N799" t="inlineStr">
        <is>
          <t>Quinn Hollis</t>
        </is>
      </c>
      <c r="O799" s="8" t="n">
        <v>46254.50927083333</v>
      </c>
      <c r="P799" t="inlineStr">
        <is>
          <t>Oakley Rhodes</t>
        </is>
      </c>
      <c r="Q799" t="inlineStr">
        <is>
          <t>LEDGER_OR_CASHFLOW_RECEIVED</t>
        </is>
      </c>
      <c r="R799" t="inlineStr">
        <is>
          <t>SYRM_ACKNOWLEDGED</t>
        </is>
      </c>
      <c r="S799" t="inlineStr">
        <is>
          <t>View details</t>
        </is>
      </c>
    </row>
    <row r="800">
      <c r="A800" t="inlineStr">
        <is>
          <t>150316825069</t>
        </is>
      </c>
      <c r="B800" t="inlineStr">
        <is>
          <t>Dunlin Commercial Bank Warsaw</t>
        </is>
      </c>
      <c r="C800" t="inlineStr">
        <is>
          <t>468341071172</t>
        </is>
      </c>
      <c r="D800" t="inlineStr">
        <is>
          <t>Zephyr Commercial Bank Oslo</t>
        </is>
      </c>
      <c r="E800" t="inlineStr">
        <is>
          <t>GBP</t>
        </is>
      </c>
      <c r="F800" t="inlineStr">
        <is>
          <t>NT26082000794</t>
        </is>
      </c>
      <c r="G800" s="6" t="n">
        <v>46254</v>
      </c>
      <c r="H800" s="7" t="n">
        <v>122530.064</v>
      </c>
      <c r="I800" t="inlineStr">
        <is>
          <t>GBP</t>
        </is>
      </c>
      <c r="J800" s="7" t="n">
        <v>122530.064</v>
      </c>
      <c r="K800" t="inlineStr">
        <is>
          <t>SYRM</t>
        </is>
      </c>
      <c r="L800" t="inlineStr">
        <is>
          <t>Liquidity sweep</t>
        </is>
      </c>
      <c r="M800" s="8" t="n">
        <v>46254.60299768519</v>
      </c>
      <c r="N800" t="inlineStr">
        <is>
          <t>Oakley Fairweather</t>
        </is>
      </c>
      <c r="O800" s="8" t="n">
        <v>46254.64396990741</v>
      </c>
      <c r="P800" t="inlineStr">
        <is>
          <t>Tatum Ashford</t>
        </is>
      </c>
      <c r="Q800" t="inlineStr">
        <is>
          <t>LEDGER_OR_CASHFLOW_RECEIVED</t>
        </is>
      </c>
      <c r="R800" t="inlineStr">
        <is>
          <t>SYRM_ACKNOWLEDGED</t>
        </is>
      </c>
      <c r="S800" t="inlineStr">
        <is>
          <t>View details</t>
        </is>
      </c>
    </row>
    <row r="801">
      <c r="A801" t="inlineStr">
        <is>
          <t>468341071172</t>
        </is>
      </c>
      <c r="B801" t="inlineStr">
        <is>
          <t>Bramble Trust Zurich</t>
        </is>
      </c>
      <c r="C801" t="inlineStr">
        <is>
          <t>794226063698</t>
        </is>
      </c>
      <c r="D801" t="inlineStr">
        <is>
          <t>Pinehurst Clearing Oslo</t>
        </is>
      </c>
      <c r="E801" t="inlineStr">
        <is>
          <t>EUR</t>
        </is>
      </c>
      <c r="F801" t="inlineStr">
        <is>
          <t>NT26082000795</t>
        </is>
      </c>
      <c r="G801" s="6" t="n">
        <v>46254</v>
      </c>
      <c r="H801" s="7" t="n">
        <v>25386252.944</v>
      </c>
      <c r="I801" t="inlineStr">
        <is>
          <t>GBP</t>
        </is>
      </c>
      <c r="J801" s="7" t="n">
        <v>21781405.026</v>
      </c>
      <c r="K801" t="inlineStr">
        <is>
          <t>SWIFT</t>
        </is>
      </c>
      <c r="L801" t="inlineStr"/>
      <c r="M801" s="8" t="n">
        <v>46254.63366898148</v>
      </c>
      <c r="N801" t="inlineStr">
        <is>
          <t>Wren Fairweather</t>
        </is>
      </c>
      <c r="O801" s="8" t="n">
        <v>46254.69616898148</v>
      </c>
      <c r="P801" t="inlineStr">
        <is>
          <t>Devon Delaney</t>
        </is>
      </c>
      <c r="Q801" t="inlineStr">
        <is>
          <t>LEDGER_OR_CASHFLOW_RECEIVED</t>
        </is>
      </c>
      <c r="R801" t="inlineStr">
        <is>
          <t>SYRM_PENDING</t>
        </is>
      </c>
      <c r="S801" t="inlineStr">
        <is>
          <t>View details</t>
        </is>
      </c>
    </row>
    <row r="802">
      <c r="A802" t="inlineStr">
        <is>
          <t>132544340094</t>
        </is>
      </c>
      <c r="B802" t="inlineStr">
        <is>
          <t>Granite Commercial Bank Milan</t>
        </is>
      </c>
      <c r="C802" t="inlineStr">
        <is>
          <t>150316825069</t>
        </is>
      </c>
      <c r="D802" t="inlineStr">
        <is>
          <t>Wrenfield Bank Paris</t>
        </is>
      </c>
      <c r="E802" t="inlineStr">
        <is>
          <t>CZK</t>
        </is>
      </c>
      <c r="F802" t="inlineStr">
        <is>
          <t>NT26082000796</t>
        </is>
      </c>
      <c r="G802" s="6" t="n">
        <v>46254</v>
      </c>
      <c r="H802" s="7" t="n">
        <v>263332.958</v>
      </c>
      <c r="I802" t="inlineStr">
        <is>
          <t>GBP</t>
        </is>
      </c>
      <c r="J802" s="7" t="n">
        <v>8926.986999999999</v>
      </c>
      <c r="K802" t="inlineStr">
        <is>
          <t>SYRM</t>
        </is>
      </c>
      <c r="L802" t="inlineStr">
        <is>
          <t>Intraday top-up</t>
        </is>
      </c>
      <c r="M802" s="8" t="n">
        <v>46254.45262731481</v>
      </c>
      <c r="N802" t="inlineStr">
        <is>
          <t>Marlow Sinclair</t>
        </is>
      </c>
      <c r="O802" s="8" t="n">
        <v>46254.50748842592</v>
      </c>
      <c r="P802" t="inlineStr">
        <is>
          <t>Sawyer Calloway</t>
        </is>
      </c>
      <c r="Q802" t="inlineStr">
        <is>
          <t>CASHFLOW_RECEIVED</t>
        </is>
      </c>
      <c r="R802" t="inlineStr">
        <is>
          <t>SYRM_ACKNOWLEDGED</t>
        </is>
      </c>
      <c r="S802" t="inlineStr">
        <is>
          <t>View details</t>
        </is>
      </c>
    </row>
    <row r="803">
      <c r="A803" t="inlineStr">
        <is>
          <t>284925023085</t>
        </is>
      </c>
      <c r="B803" t="inlineStr">
        <is>
          <t>Zephyr Settlement Bank Sydney</t>
        </is>
      </c>
      <c r="C803" t="inlineStr">
        <is>
          <t>898317028833</t>
        </is>
      </c>
      <c r="D803" t="inlineStr">
        <is>
          <t>Fernway Trust Tokyo</t>
        </is>
      </c>
      <c r="E803" t="inlineStr">
        <is>
          <t>MXN</t>
        </is>
      </c>
      <c r="F803" t="inlineStr">
        <is>
          <t>NT26082000797</t>
        </is>
      </c>
      <c r="G803" s="6" t="n">
        <v>46254</v>
      </c>
      <c r="H803" s="7" t="n">
        <v>911724694.391</v>
      </c>
      <c r="I803" t="inlineStr">
        <is>
          <t>GBP</t>
        </is>
      </c>
      <c r="J803" s="7" t="n">
        <v>39021816.92</v>
      </c>
      <c r="K803" t="inlineStr">
        <is>
          <t>SYRM</t>
        </is>
      </c>
      <c r="L803" t="inlineStr">
        <is>
          <t>Funding move</t>
        </is>
      </c>
      <c r="M803" s="8" t="n">
        <v>46254.30601851852</v>
      </c>
      <c r="N803" t="inlineStr">
        <is>
          <t>Marlow Sinclair</t>
        </is>
      </c>
      <c r="O803" s="8" t="n">
        <v>46254.32824074074</v>
      </c>
      <c r="P803" t="inlineStr">
        <is>
          <t>Wren Hollis</t>
        </is>
      </c>
      <c r="Q803" t="inlineStr">
        <is>
          <t>LEDGER_OR_CASHFLOW_RECEIVED</t>
        </is>
      </c>
      <c r="R803" t="inlineStr">
        <is>
          <t>SYRM_ACKNOWLEDGED</t>
        </is>
      </c>
      <c r="S803" t="inlineStr">
        <is>
          <t>View details</t>
        </is>
      </c>
    </row>
    <row r="804">
      <c r="A804" t="inlineStr">
        <is>
          <t>468341071172</t>
        </is>
      </c>
      <c r="B804" t="inlineStr">
        <is>
          <t>Kestrel Clearing Oslo</t>
        </is>
      </c>
      <c r="C804" t="inlineStr">
        <is>
          <t>700726936098</t>
        </is>
      </c>
      <c r="D804" t="inlineStr">
        <is>
          <t>Redstart Commercial Bank Stockholm</t>
        </is>
      </c>
      <c r="E804" t="inlineStr">
        <is>
          <t>EUR</t>
        </is>
      </c>
      <c r="F804" t="inlineStr">
        <is>
          <t>NT26082000798</t>
        </is>
      </c>
      <c r="G804" s="6" t="n">
        <v>46254</v>
      </c>
      <c r="H804" s="7" t="n">
        <v>28185588.467</v>
      </c>
      <c r="I804" t="inlineStr">
        <is>
          <t>GBP</t>
        </is>
      </c>
      <c r="J804" s="7" t="n">
        <v>24183234.905</v>
      </c>
      <c r="K804" t="inlineStr">
        <is>
          <t>SWIFT</t>
        </is>
      </c>
      <c r="L804" t="inlineStr">
        <is>
          <t>Balance alignment</t>
        </is>
      </c>
      <c r="M804" s="8" t="n">
        <v>46254.43946759259</v>
      </c>
      <c r="N804" t="inlineStr">
        <is>
          <t>Tatum Ashford</t>
        </is>
      </c>
      <c r="O804" s="8" t="n">
        <v>46254.48252314814</v>
      </c>
      <c r="P804" t="inlineStr">
        <is>
          <t>Quinn Hollis</t>
        </is>
      </c>
      <c r="Q804" t="inlineStr">
        <is>
          <t>CASHFLOW_RECEIVED</t>
        </is>
      </c>
      <c r="R804" t="inlineStr">
        <is>
          <t>SYRM_ACKNOWLEDGED</t>
        </is>
      </c>
      <c r="S804" t="inlineStr">
        <is>
          <t>View details</t>
        </is>
      </c>
    </row>
    <row r="805">
      <c r="A805" t="inlineStr">
        <is>
          <t>794226063698</t>
        </is>
      </c>
      <c r="B805" t="inlineStr">
        <is>
          <t>Zephyr Settlement Bank New York</t>
        </is>
      </c>
      <c r="C805" t="inlineStr">
        <is>
          <t>132544340094</t>
        </is>
      </c>
      <c r="D805" t="inlineStr">
        <is>
          <t>Juniper Commercial Bank Warsaw</t>
        </is>
      </c>
      <c r="E805" t="inlineStr">
        <is>
          <t>AED</t>
        </is>
      </c>
      <c r="F805" t="inlineStr">
        <is>
          <t>NT26082000799</t>
        </is>
      </c>
      <c r="G805" s="6" t="n">
        <v>46254</v>
      </c>
      <c r="H805" s="7" t="n">
        <v>60790504.874</v>
      </c>
      <c r="I805" t="inlineStr">
        <is>
          <t>GBP</t>
        </is>
      </c>
      <c r="J805" s="7" t="n">
        <v>12948377.538</v>
      </c>
      <c r="K805" t="inlineStr">
        <is>
          <t>INTERNAL</t>
        </is>
      </c>
      <c r="L805" t="inlineStr"/>
      <c r="M805" s="8" t="n">
        <v>46254.66574074074</v>
      </c>
      <c r="N805" t="inlineStr">
        <is>
          <t>Quinn Hollis</t>
        </is>
      </c>
      <c r="O805" s="8" t="n">
        <v>46254.70185185185</v>
      </c>
      <c r="P805" t="inlineStr">
        <is>
          <t>Lennox Ellison</t>
        </is>
      </c>
      <c r="Q805" t="inlineStr">
        <is>
          <t>LEDGER_OR_CASHFLOW_RECEIVED</t>
        </is>
      </c>
      <c r="R805" t="inlineStr">
        <is>
          <t>SYRM_ACKNOWLEDGED</t>
        </is>
      </c>
      <c r="S805" t="inlineStr">
        <is>
          <t>View details</t>
        </is>
      </c>
    </row>
    <row r="806">
      <c r="A806" t="inlineStr">
        <is>
          <t>927538182434</t>
        </is>
      </c>
      <c r="B806" t="inlineStr">
        <is>
          <t>Wrenfield Bank Paris</t>
        </is>
      </c>
      <c r="C806" t="inlineStr">
        <is>
          <t>794226063698</t>
        </is>
      </c>
      <c r="D806" t="inlineStr">
        <is>
          <t>Mallow Settlement Bank Warsaw</t>
        </is>
      </c>
      <c r="E806" t="inlineStr">
        <is>
          <t>CNY</t>
        </is>
      </c>
      <c r="F806" t="inlineStr">
        <is>
          <t>NT26082000800</t>
        </is>
      </c>
      <c r="G806" s="6" t="n">
        <v>46254</v>
      </c>
      <c r="H806" s="7" t="n">
        <v>4571173.25</v>
      </c>
      <c r="I806" t="inlineStr">
        <is>
          <t>GBP</t>
        </is>
      </c>
      <c r="J806" s="7" t="n">
        <v>498257.884</v>
      </c>
      <c r="K806" t="inlineStr">
        <is>
          <t>SYRM</t>
        </is>
      </c>
      <c r="L806" t="inlineStr">
        <is>
          <t>Balance alignment</t>
        </is>
      </c>
      <c r="M806" s="8" t="n">
        <v>46254.53381944444</v>
      </c>
      <c r="N806" t="inlineStr">
        <is>
          <t>Devon Calloway</t>
        </is>
      </c>
      <c r="O806" s="8" t="n">
        <v>46254.58590277778</v>
      </c>
      <c r="P806" t="inlineStr">
        <is>
          <t>Avery Sinclair</t>
        </is>
      </c>
      <c r="Q806" t="inlineStr">
        <is>
          <t>LEDGER_OR_CASHFLOW_RECEIVED</t>
        </is>
      </c>
      <c r="R806" t="inlineStr">
        <is>
          <t>SYRM_ACKNOWLEDGED</t>
        </is>
      </c>
      <c r="S806" t="inlineStr">
        <is>
          <t>View details</t>
        </is>
      </c>
    </row>
    <row r="807">
      <c r="A807" t="inlineStr">
        <is>
          <t>150316825069</t>
        </is>
      </c>
      <c r="B807" t="inlineStr">
        <is>
          <t>Zephyr Commercial Bank Oslo</t>
        </is>
      </c>
      <c r="C807" t="inlineStr">
        <is>
          <t>953625291146</t>
        </is>
      </c>
      <c r="D807" t="inlineStr">
        <is>
          <t>Dunlin Commercial Bank Warsaw</t>
        </is>
      </c>
      <c r="E807" t="inlineStr">
        <is>
          <t>GBP</t>
        </is>
      </c>
      <c r="F807" t="inlineStr">
        <is>
          <t>NT26082000801</t>
        </is>
      </c>
      <c r="G807" s="6" t="n">
        <v>46254</v>
      </c>
      <c r="H807" s="7" t="n">
        <v>50390096.605</v>
      </c>
      <c r="I807" t="inlineStr">
        <is>
          <t>GBP</t>
        </is>
      </c>
      <c r="J807" s="7" t="n">
        <v>50390096.605</v>
      </c>
      <c r="K807" t="inlineStr">
        <is>
          <t>INTERNAL</t>
        </is>
      </c>
      <c r="L807" t="inlineStr">
        <is>
          <t>Balance alignment</t>
        </is>
      </c>
      <c r="M807" s="8" t="n">
        <v>46254.61806712963</v>
      </c>
      <c r="N807" t="inlineStr">
        <is>
          <t>Devon Delaney</t>
        </is>
      </c>
      <c r="O807" s="8" t="n">
        <v>46254.66320601852</v>
      </c>
      <c r="P807" t="inlineStr">
        <is>
          <t>Wren Hollis</t>
        </is>
      </c>
      <c r="Q807" t="inlineStr">
        <is>
          <t>LEDGER_OR_CASHFLOW_RECEIVED</t>
        </is>
      </c>
      <c r="R807" t="inlineStr">
        <is>
          <t>SYRM_ACKNOWLEDGED</t>
        </is>
      </c>
      <c r="S807" t="inlineStr">
        <is>
          <t>View details</t>
        </is>
      </c>
    </row>
    <row r="808">
      <c r="A808" t="inlineStr">
        <is>
          <t>700726936098</t>
        </is>
      </c>
      <c r="B808" t="inlineStr">
        <is>
          <t>Mallow Trust Frankfurt</t>
        </is>
      </c>
      <c r="C808" t="inlineStr">
        <is>
          <t>150316825069</t>
        </is>
      </c>
      <c r="D808" t="inlineStr">
        <is>
          <t>Mallow Commercial Bank Mexico City</t>
        </is>
      </c>
      <c r="E808" t="inlineStr">
        <is>
          <t>SAR</t>
        </is>
      </c>
      <c r="F808" t="inlineStr">
        <is>
          <t>NT26082000802</t>
        </is>
      </c>
      <c r="G808" s="6" t="n">
        <v>46254</v>
      </c>
      <c r="H808" s="7" t="n">
        <v>3.607</v>
      </c>
      <c r="I808" t="inlineStr">
        <is>
          <t>GBP</t>
        </is>
      </c>
      <c r="J808" s="7" t="n">
        <v>0.754</v>
      </c>
      <c r="K808" t="inlineStr">
        <is>
          <t>INTERNAL</t>
        </is>
      </c>
      <c r="L808" t="inlineStr">
        <is>
          <t>Funding move</t>
        </is>
      </c>
      <c r="M808" s="8" t="n">
        <v>46254.65377314815</v>
      </c>
      <c r="N808" t="inlineStr">
        <is>
          <t>Finley Jennings</t>
        </is>
      </c>
      <c r="O808" s="8" t="n">
        <v>46254.67668981481</v>
      </c>
      <c r="P808" t="inlineStr">
        <is>
          <t>Wren Fairweather</t>
        </is>
      </c>
      <c r="Q808" t="inlineStr">
        <is>
          <t>LEDGER_OR_CASHFLOW_RECEIVED</t>
        </is>
      </c>
      <c r="R808" t="inlineStr">
        <is>
          <t>SYRM_ACKNOWLEDGED</t>
        </is>
      </c>
      <c r="S808" t="inlineStr">
        <is>
          <t>View details</t>
        </is>
      </c>
    </row>
    <row r="809">
      <c r="A809" t="inlineStr">
        <is>
          <t>171857983160</t>
        </is>
      </c>
      <c r="B809" t="inlineStr">
        <is>
          <t>Yarrow Trust Oslo</t>
        </is>
      </c>
      <c r="C809" t="inlineStr">
        <is>
          <t>898317028833</t>
        </is>
      </c>
      <c r="D809" t="inlineStr">
        <is>
          <t>Cedar Settlement Bank Hong Kong</t>
        </is>
      </c>
      <c r="E809" t="inlineStr">
        <is>
          <t>AUD</t>
        </is>
      </c>
      <c r="F809" t="inlineStr">
        <is>
          <t>NT26082000803</t>
        </is>
      </c>
      <c r="G809" s="6" t="n">
        <v>46254</v>
      </c>
      <c r="H809" s="7" t="n">
        <v>1314410.729</v>
      </c>
      <c r="I809" t="inlineStr">
        <is>
          <t>GBP</t>
        </is>
      </c>
      <c r="J809" s="7" t="n">
        <v>674292.704</v>
      </c>
      <c r="K809" t="inlineStr">
        <is>
          <t>SWIFT</t>
        </is>
      </c>
      <c r="L809" t="inlineStr">
        <is>
          <t>Balance alignment</t>
        </is>
      </c>
      <c r="M809" s="8" t="n">
        <v>46254.20711805556</v>
      </c>
      <c r="N809" t="inlineStr">
        <is>
          <t>Oakley Delaney</t>
        </is>
      </c>
      <c r="O809" s="8" t="n">
        <v>46254.25711805555</v>
      </c>
      <c r="P809" t="inlineStr">
        <is>
          <t>Quinn Hollis</t>
        </is>
      </c>
      <c r="Q809" t="inlineStr">
        <is>
          <t>CASHFLOW_RECEIVED</t>
        </is>
      </c>
      <c r="R809" t="inlineStr">
        <is>
          <t>SYRM_ACKNOWLEDGED</t>
        </is>
      </c>
      <c r="S809" t="inlineStr">
        <is>
          <t>View details</t>
        </is>
      </c>
    </row>
    <row r="810">
      <c r="A810" t="inlineStr">
        <is>
          <t>953625291146</t>
        </is>
      </c>
      <c r="B810" t="inlineStr">
        <is>
          <t>Wrenfield Clearing Mexico City</t>
        </is>
      </c>
      <c r="C810" t="inlineStr">
        <is>
          <t>359365220160</t>
        </is>
      </c>
      <c r="D810" t="inlineStr">
        <is>
          <t>Cedar Settlement Bank Hong Kong</t>
        </is>
      </c>
      <c r="E810" t="inlineStr">
        <is>
          <t>USD</t>
        </is>
      </c>
      <c r="F810" t="inlineStr">
        <is>
          <t>NT26082000804</t>
        </is>
      </c>
      <c r="G810" s="6" t="n">
        <v>46254</v>
      </c>
      <c r="H810" s="7" t="n">
        <v>2717589.713</v>
      </c>
      <c r="I810" t="inlineStr">
        <is>
          <t>GBP</t>
        </is>
      </c>
      <c r="J810" s="7" t="n">
        <v>2130590.335</v>
      </c>
      <c r="K810" t="inlineStr">
        <is>
          <t>SYRM</t>
        </is>
      </c>
      <c r="L810" t="inlineStr">
        <is>
          <t>Balance alignment</t>
        </is>
      </c>
      <c r="M810" s="8" t="n">
        <v>46254.65003472222</v>
      </c>
      <c r="N810" t="inlineStr">
        <is>
          <t>Devon Delaney</t>
        </is>
      </c>
      <c r="O810" s="8" t="n">
        <v>46254.68128472222</v>
      </c>
      <c r="P810" t="inlineStr">
        <is>
          <t>Kai Novak</t>
        </is>
      </c>
      <c r="Q810" t="inlineStr">
        <is>
          <t>LEDGER_OR_CASHFLOW_RECEIVED</t>
        </is>
      </c>
      <c r="R810" t="inlineStr">
        <is>
          <t>SYRM_ACKNOWLEDGED</t>
        </is>
      </c>
      <c r="S810" t="inlineStr">
        <is>
          <t>View details</t>
        </is>
      </c>
    </row>
    <row r="811">
      <c r="A811" t="inlineStr">
        <is>
          <t>359365220160</t>
        </is>
      </c>
      <c r="B811" t="inlineStr">
        <is>
          <t>Dunlin Commercial Bank Warsaw</t>
        </is>
      </c>
      <c r="C811" t="inlineStr">
        <is>
          <t>621381112674</t>
        </is>
      </c>
      <c r="D811" t="inlineStr">
        <is>
          <t>Dunlin Commercial Bank Warsaw</t>
        </is>
      </c>
      <c r="E811" t="inlineStr">
        <is>
          <t>EUR</t>
        </is>
      </c>
      <c r="F811" t="inlineStr">
        <is>
          <t>NT26082000805</t>
        </is>
      </c>
      <c r="G811" s="6" t="n">
        <v>46254</v>
      </c>
      <c r="H811" s="7" t="n">
        <v>267010072.122</v>
      </c>
      <c r="I811" t="inlineStr">
        <is>
          <t>GBP</t>
        </is>
      </c>
      <c r="J811" s="7" t="n">
        <v>229094641.881</v>
      </c>
      <c r="K811" t="inlineStr">
        <is>
          <t>SYRM</t>
        </is>
      </c>
      <c r="L811" t="inlineStr">
        <is>
          <t>Liquidity sweep</t>
        </is>
      </c>
      <c r="M811" s="8" t="n">
        <v>46254.45334490741</v>
      </c>
      <c r="N811" t="inlineStr">
        <is>
          <t>Marlow Rhodes</t>
        </is>
      </c>
      <c r="O811" s="8" t="n">
        <v>46254.50334490741</v>
      </c>
      <c r="P811" t="inlineStr">
        <is>
          <t>Marlow Thorne</t>
        </is>
      </c>
      <c r="Q811" t="inlineStr">
        <is>
          <t>LEDGER_OR_CASHFLOW_RECEIVED</t>
        </is>
      </c>
      <c r="R811" t="inlineStr">
        <is>
          <t>SYRM_ACKNOWLEDGED</t>
        </is>
      </c>
      <c r="S811" t="inlineStr">
        <is>
          <t>View details</t>
        </is>
      </c>
    </row>
    <row r="812">
      <c r="A812" t="inlineStr">
        <is>
          <t>700726936098</t>
        </is>
      </c>
      <c r="B812" t="inlineStr">
        <is>
          <t>Kestrel Clearing Oslo</t>
        </is>
      </c>
      <c r="C812" t="inlineStr">
        <is>
          <t>794226063698</t>
        </is>
      </c>
      <c r="D812" t="inlineStr">
        <is>
          <t>Wrenfield Commercial Bank Oslo</t>
        </is>
      </c>
      <c r="E812" t="inlineStr">
        <is>
          <t>SAR</t>
        </is>
      </c>
      <c r="F812" t="inlineStr">
        <is>
          <t>NT26082000806</t>
        </is>
      </c>
      <c r="G812" s="6" t="n">
        <v>46254</v>
      </c>
      <c r="H812" s="7" t="n">
        <v>250495.701</v>
      </c>
      <c r="I812" t="inlineStr">
        <is>
          <t>GBP</t>
        </is>
      </c>
      <c r="J812" s="7" t="n">
        <v>52353.602</v>
      </c>
      <c r="K812" t="inlineStr">
        <is>
          <t>SYRM</t>
        </is>
      </c>
      <c r="L812" t="inlineStr">
        <is>
          <t>Intraday top-up</t>
        </is>
      </c>
      <c r="M812" s="8" t="n">
        <v>46254.48358796296</v>
      </c>
      <c r="N812" t="inlineStr">
        <is>
          <t>Ellis Delaney</t>
        </is>
      </c>
      <c r="O812" s="8" t="n">
        <v>46254.53150462963</v>
      </c>
      <c r="P812" t="inlineStr">
        <is>
          <t>Quinn Osgood</t>
        </is>
      </c>
      <c r="Q812" t="inlineStr">
        <is>
          <t>LEDGER_RECEIVED</t>
        </is>
      </c>
      <c r="R812" t="inlineStr">
        <is>
          <t>SYRM_ACKNOWLEDGED</t>
        </is>
      </c>
      <c r="S812" t="inlineStr">
        <is>
          <t>View details</t>
        </is>
      </c>
    </row>
    <row r="813">
      <c r="A813" t="inlineStr">
        <is>
          <t>927538182434</t>
        </is>
      </c>
      <c r="B813" t="inlineStr">
        <is>
          <t>Cedar Clearing New York</t>
        </is>
      </c>
      <c r="C813" t="inlineStr">
        <is>
          <t>794226063698</t>
        </is>
      </c>
      <c r="D813" t="inlineStr">
        <is>
          <t>Oriel Settlement Bank Madrid</t>
        </is>
      </c>
      <c r="E813" t="inlineStr">
        <is>
          <t>CNY</t>
        </is>
      </c>
      <c r="F813" t="inlineStr">
        <is>
          <t>NT26082000807</t>
        </is>
      </c>
      <c r="G813" s="6" t="n">
        <v>46254</v>
      </c>
      <c r="H813" s="7" t="n">
        <v>74111293.604</v>
      </c>
      <c r="I813" t="inlineStr">
        <is>
          <t>GBP</t>
        </is>
      </c>
      <c r="J813" s="7" t="n">
        <v>8078131.003</v>
      </c>
      <c r="K813" t="inlineStr">
        <is>
          <t>SYRM</t>
        </is>
      </c>
      <c r="L813" t="inlineStr">
        <is>
          <t>Intraday top-up</t>
        </is>
      </c>
      <c r="M813" s="8" t="n">
        <v>46254.53303240741</v>
      </c>
      <c r="N813" t="inlineStr">
        <is>
          <t>Oakley Novak</t>
        </is>
      </c>
      <c r="O813" s="8" t="n"/>
      <c r="Q813" t="inlineStr">
        <is>
          <t>PENDING_APPROVAL</t>
        </is>
      </c>
      <c r="R813" t="inlineStr">
        <is>
          <t>SYRM_ACKNOWLEDGED</t>
        </is>
      </c>
      <c r="S813" t="inlineStr">
        <is>
          <t>View details</t>
        </is>
      </c>
    </row>
    <row r="814">
      <c r="A814" t="inlineStr">
        <is>
          <t>953625291146</t>
        </is>
      </c>
      <c r="B814" t="inlineStr">
        <is>
          <t>Yarrow Bank Stockholm</t>
        </is>
      </c>
      <c r="C814" t="inlineStr">
        <is>
          <t>150316825069</t>
        </is>
      </c>
      <c r="D814" t="inlineStr">
        <is>
          <t>Wrenfield Trust Tokyo</t>
        </is>
      </c>
      <c r="E814" t="inlineStr">
        <is>
          <t>USD</t>
        </is>
      </c>
      <c r="F814" t="inlineStr">
        <is>
          <t>NT26082000808</t>
        </is>
      </c>
      <c r="G814" s="6" t="n">
        <v>46254</v>
      </c>
      <c r="H814" s="7" t="n">
        <v>3430288.458</v>
      </c>
      <c r="I814" t="inlineStr">
        <is>
          <t>GBP</t>
        </is>
      </c>
      <c r="J814" s="7" t="n">
        <v>2689346.151</v>
      </c>
      <c r="K814" t="inlineStr">
        <is>
          <t>SWIFT</t>
        </is>
      </c>
      <c r="L814" t="inlineStr">
        <is>
          <t>Funding move</t>
        </is>
      </c>
      <c r="M814" s="8" t="n">
        <v>46254.29659722222</v>
      </c>
      <c r="N814" t="inlineStr">
        <is>
          <t>Noor Thorne</t>
        </is>
      </c>
      <c r="O814" s="8" t="n">
        <v>46254.32020833333</v>
      </c>
      <c r="P814" t="inlineStr">
        <is>
          <t>Kai Novak</t>
        </is>
      </c>
      <c r="Q814" t="inlineStr">
        <is>
          <t>LEDGER_RECEIVED</t>
        </is>
      </c>
      <c r="R814" t="inlineStr">
        <is>
          <t>SYRM_ACKNOWLEDGED</t>
        </is>
      </c>
      <c r="S814" t="inlineStr">
        <is>
          <t>View details</t>
        </is>
      </c>
    </row>
    <row r="815">
      <c r="A815" t="inlineStr">
        <is>
          <t>499062838623</t>
        </is>
      </c>
      <c r="B815" t="inlineStr">
        <is>
          <t>Juniper Bank Warsaw</t>
        </is>
      </c>
      <c r="C815" t="inlineStr">
        <is>
          <t>150316825069</t>
        </is>
      </c>
      <c r="D815" t="inlineStr">
        <is>
          <t>Zephyr Bank Madrid</t>
        </is>
      </c>
      <c r="E815" t="inlineStr">
        <is>
          <t>USD</t>
        </is>
      </c>
      <c r="F815" t="inlineStr">
        <is>
          <t>NT26082000809</t>
        </is>
      </c>
      <c r="G815" s="6" t="n">
        <v>46254</v>
      </c>
      <c r="H815" s="7" t="n">
        <v>12841671.307</v>
      </c>
      <c r="I815" t="inlineStr">
        <is>
          <t>GBP</t>
        </is>
      </c>
      <c r="J815" s="7" t="n">
        <v>10067870.305</v>
      </c>
      <c r="K815" t="inlineStr">
        <is>
          <t>SYRM</t>
        </is>
      </c>
      <c r="L815" t="inlineStr">
        <is>
          <t>Liquidity sweep</t>
        </is>
      </c>
      <c r="M815" s="8" t="n">
        <v>46254.53113425926</v>
      </c>
      <c r="N815" t="inlineStr">
        <is>
          <t>Noor Thorne</t>
        </is>
      </c>
      <c r="O815" s="8" t="n">
        <v>46254.54155092593</v>
      </c>
      <c r="P815" t="inlineStr">
        <is>
          <t>Finley Hollis</t>
        </is>
      </c>
      <c r="Q815" t="inlineStr">
        <is>
          <t>LEDGER_OR_CASHFLOW_RECEIVED</t>
        </is>
      </c>
      <c r="R815" t="inlineStr">
        <is>
          <t>SYRM_ACKNOWLEDGED</t>
        </is>
      </c>
      <c r="S815" t="inlineStr">
        <is>
          <t>View details</t>
        </is>
      </c>
    </row>
    <row r="816">
      <c r="A816" t="inlineStr">
        <is>
          <t>953625291146</t>
        </is>
      </c>
      <c r="B816" t="inlineStr">
        <is>
          <t>Juniper Clearing Hong Kong</t>
        </is>
      </c>
      <c r="C816" t="inlineStr">
        <is>
          <t>499062838623</t>
        </is>
      </c>
      <c r="D816" t="inlineStr">
        <is>
          <t>Wrenfield Commercial Bank Oslo</t>
        </is>
      </c>
      <c r="E816" t="inlineStr">
        <is>
          <t>USD</t>
        </is>
      </c>
      <c r="F816" t="inlineStr">
        <is>
          <t>NT26082000810</t>
        </is>
      </c>
      <c r="G816" s="6" t="n">
        <v>46254</v>
      </c>
      <c r="H816" s="7" t="n">
        <v>18466528.804</v>
      </c>
      <c r="I816" t="inlineStr">
        <is>
          <t>GBP</t>
        </is>
      </c>
      <c r="J816" s="7" t="n">
        <v>14477758.582</v>
      </c>
      <c r="K816" t="inlineStr">
        <is>
          <t>SYRM</t>
        </is>
      </c>
      <c r="L816" t="inlineStr">
        <is>
          <t>Balance alignment</t>
        </is>
      </c>
      <c r="M816" s="8" t="n">
        <v>46254.4247337963</v>
      </c>
      <c r="N816" t="inlineStr">
        <is>
          <t>Harper Calloway</t>
        </is>
      </c>
      <c r="O816" s="8" t="n">
        <v>46254.43515046296</v>
      </c>
      <c r="P816" t="inlineStr">
        <is>
          <t>Greer Osgood</t>
        </is>
      </c>
      <c r="Q816" t="inlineStr">
        <is>
          <t>CASHFLOW_RECEIVED</t>
        </is>
      </c>
      <c r="R816" t="inlineStr">
        <is>
          <t>SYRM_ACKNOWLEDGED</t>
        </is>
      </c>
      <c r="S816" t="inlineStr">
        <is>
          <t>View details</t>
        </is>
      </c>
    </row>
    <row r="817">
      <c r="A817" t="inlineStr">
        <is>
          <t>968942362772</t>
        </is>
      </c>
      <c r="B817" t="inlineStr">
        <is>
          <t>Zephyr Commercial Bank Oslo</t>
        </is>
      </c>
      <c r="C817" t="inlineStr">
        <is>
          <t>171857983160</t>
        </is>
      </c>
      <c r="D817" t="inlineStr">
        <is>
          <t>Zephyr Bank Madrid</t>
        </is>
      </c>
      <c r="E817" t="inlineStr">
        <is>
          <t>EUR</t>
        </is>
      </c>
      <c r="F817" t="inlineStr">
        <is>
          <t>NT26082000811</t>
        </is>
      </c>
      <c r="G817" s="6" t="n">
        <v>46254</v>
      </c>
      <c r="H817" s="7" t="n">
        <v>42705588.144</v>
      </c>
      <c r="I817" t="inlineStr">
        <is>
          <t>GBP</t>
        </is>
      </c>
      <c r="J817" s="7" t="n">
        <v>36641394.628</v>
      </c>
      <c r="K817" t="inlineStr">
        <is>
          <t>SWIFT</t>
        </is>
      </c>
      <c r="L817" t="inlineStr"/>
      <c r="M817" s="8" t="n">
        <v>46254.20854166667</v>
      </c>
      <c r="N817" t="inlineStr">
        <is>
          <t>Kai Merrick</t>
        </is>
      </c>
      <c r="O817" s="8" t="n">
        <v>46254.21548611111</v>
      </c>
      <c r="P817" t="inlineStr">
        <is>
          <t>Finley Sinclair</t>
        </is>
      </c>
      <c r="Q817" t="inlineStr">
        <is>
          <t>LEDGER_RECEIVED</t>
        </is>
      </c>
      <c r="R817" t="inlineStr">
        <is>
          <t>SYRM_ACKNOWLEDGED</t>
        </is>
      </c>
      <c r="S817" t="inlineStr">
        <is>
          <t>View details</t>
        </is>
      </c>
    </row>
    <row r="818">
      <c r="A818" t="inlineStr">
        <is>
          <t>150316825069</t>
        </is>
      </c>
      <c r="B818" t="inlineStr">
        <is>
          <t>Umberton Trust Tokyo</t>
        </is>
      </c>
      <c r="C818" t="inlineStr">
        <is>
          <t>468341071172</t>
        </is>
      </c>
      <c r="D818" t="inlineStr">
        <is>
          <t>Juniper Bank Warsaw</t>
        </is>
      </c>
      <c r="E818" t="inlineStr">
        <is>
          <t>GBP</t>
        </is>
      </c>
      <c r="F818" t="inlineStr">
        <is>
          <t>NT26082000812</t>
        </is>
      </c>
      <c r="G818" s="6" t="n">
        <v>46254</v>
      </c>
      <c r="H818" s="7" t="n">
        <v>1.075</v>
      </c>
      <c r="I818" t="inlineStr">
        <is>
          <t>GBP</t>
        </is>
      </c>
      <c r="J818" s="7" t="n">
        <v>1.075</v>
      </c>
      <c r="K818" t="inlineStr">
        <is>
          <t>INTERNAL</t>
        </is>
      </c>
      <c r="L818" t="inlineStr">
        <is>
          <t>Intraday top-up</t>
        </is>
      </c>
      <c r="M818" s="8" t="n">
        <v>46254.49994212963</v>
      </c>
      <c r="N818" t="inlineStr">
        <is>
          <t>Noor Brookes</t>
        </is>
      </c>
      <c r="O818" s="8" t="n">
        <v>46254.50202546296</v>
      </c>
      <c r="P818" t="inlineStr">
        <is>
          <t>Devon Delaney</t>
        </is>
      </c>
      <c r="Q818" t="inlineStr">
        <is>
          <t>LEDGER_OR_CASHFLOW_RECEIVED</t>
        </is>
      </c>
      <c r="R818" t="inlineStr">
        <is>
          <t>SYRM_ACKNOWLEDGED</t>
        </is>
      </c>
      <c r="S818" t="inlineStr">
        <is>
          <t>View details</t>
        </is>
      </c>
    </row>
    <row r="819">
      <c r="A819" t="inlineStr">
        <is>
          <t>150316825069</t>
        </is>
      </c>
      <c r="B819" t="inlineStr">
        <is>
          <t>Umberton Commercial Bank Mexico City</t>
        </is>
      </c>
      <c r="C819" t="inlineStr">
        <is>
          <t>700726936098</t>
        </is>
      </c>
      <c r="D819" t="inlineStr">
        <is>
          <t>Cedar Settlement Bank Hong Kong</t>
        </is>
      </c>
      <c r="E819" t="inlineStr">
        <is>
          <t>GBP</t>
        </is>
      </c>
      <c r="F819" t="inlineStr">
        <is>
          <t>NT26082000813</t>
        </is>
      </c>
      <c r="G819" s="6" t="n">
        <v>46254</v>
      </c>
      <c r="H819" s="7" t="n">
        <v>16463266.676</v>
      </c>
      <c r="I819" t="inlineStr">
        <is>
          <t>GBP</t>
        </is>
      </c>
      <c r="J819" s="7" t="n">
        <v>16463266.676</v>
      </c>
      <c r="K819" t="inlineStr">
        <is>
          <t>SYRM</t>
        </is>
      </c>
      <c r="L819" t="inlineStr">
        <is>
          <t>Balance alignment</t>
        </is>
      </c>
      <c r="M819" s="8" t="n">
        <v>46254.65136574074</v>
      </c>
      <c r="N819" t="inlineStr">
        <is>
          <t>Harper Calloway</t>
        </is>
      </c>
      <c r="O819" s="8" t="n">
        <v>46254.66525462963</v>
      </c>
      <c r="P819" t="inlineStr">
        <is>
          <t>Noor Sinclair</t>
        </is>
      </c>
      <c r="Q819" t="inlineStr">
        <is>
          <t>CASHFLOW_RECEIVED</t>
        </is>
      </c>
      <c r="R819" t="inlineStr">
        <is>
          <t>SYRM_ACKNOWLEDGED</t>
        </is>
      </c>
      <c r="S819" t="inlineStr">
        <is>
          <t>View details</t>
        </is>
      </c>
    </row>
    <row r="820">
      <c r="A820" t="inlineStr">
        <is>
          <t>113829985108</t>
        </is>
      </c>
      <c r="B820" t="inlineStr">
        <is>
          <t>Mallow Commercial Bank Mexico City</t>
        </is>
      </c>
      <c r="C820" t="inlineStr">
        <is>
          <t>910703979141</t>
        </is>
      </c>
      <c r="D820" t="inlineStr">
        <is>
          <t>Yarrow Trust Oslo</t>
        </is>
      </c>
      <c r="E820" t="inlineStr">
        <is>
          <t>EUR</t>
        </is>
      </c>
      <c r="F820" t="inlineStr">
        <is>
          <t>NT26082000814</t>
        </is>
      </c>
      <c r="G820" s="6" t="n">
        <v>46254</v>
      </c>
      <c r="H820" s="7" t="n">
        <v>7147724.816</v>
      </c>
      <c r="I820" t="inlineStr">
        <is>
          <t>GBP</t>
        </is>
      </c>
      <c r="J820" s="7" t="n">
        <v>6132747.892</v>
      </c>
      <c r="K820" t="inlineStr">
        <is>
          <t>INTERNAL</t>
        </is>
      </c>
      <c r="L820" t="inlineStr">
        <is>
          <t>Intraday top-up</t>
        </is>
      </c>
      <c r="M820" s="8" t="n">
        <v>46254.25924768519</v>
      </c>
      <c r="N820" t="inlineStr">
        <is>
          <t>Wren Hollis</t>
        </is>
      </c>
      <c r="O820" s="8" t="n">
        <v>46254.28494212963</v>
      </c>
      <c r="P820" t="inlineStr">
        <is>
          <t>Ellis Gallagher</t>
        </is>
      </c>
      <c r="Q820" t="inlineStr">
        <is>
          <t>LEDGER_OR_CASHFLOW_RECEIVED</t>
        </is>
      </c>
      <c r="R820" t="inlineStr">
        <is>
          <t>SYRM_ACKNOWLEDGED</t>
        </is>
      </c>
      <c r="S820" t="inlineStr">
        <is>
          <t>View details</t>
        </is>
      </c>
    </row>
    <row r="821">
      <c r="A821" t="inlineStr">
        <is>
          <t>910703979141</t>
        </is>
      </c>
      <c r="B821" t="inlineStr">
        <is>
          <t>Juniper Clearing New York</t>
        </is>
      </c>
      <c r="C821" t="inlineStr">
        <is>
          <t>621381112674</t>
        </is>
      </c>
      <c r="D821" t="inlineStr">
        <is>
          <t>Pinehurst Trust Toronto</t>
        </is>
      </c>
      <c r="E821" t="inlineStr">
        <is>
          <t>CHF</t>
        </is>
      </c>
      <c r="F821" t="inlineStr">
        <is>
          <t>NT26082000815</t>
        </is>
      </c>
      <c r="G821" s="6" t="n">
        <v>46254</v>
      </c>
      <c r="H821" s="7" t="n">
        <v>1454221.249</v>
      </c>
      <c r="I821" t="inlineStr">
        <is>
          <t>GBP</t>
        </is>
      </c>
      <c r="J821" s="7" t="n">
        <v>1304436.46</v>
      </c>
      <c r="K821" t="inlineStr">
        <is>
          <t>SWIFT</t>
        </is>
      </c>
      <c r="L821" t="inlineStr">
        <is>
          <t>Liquidity sweep</t>
        </is>
      </c>
      <c r="M821" s="8" t="n">
        <v>46254.691875</v>
      </c>
      <c r="N821" t="inlineStr">
        <is>
          <t>Avery Sinclair</t>
        </is>
      </c>
      <c r="O821" s="8" t="n">
        <v>46254.75298611111</v>
      </c>
      <c r="P821" t="inlineStr">
        <is>
          <t>Kai Merrick</t>
        </is>
      </c>
      <c r="Q821" t="inlineStr">
        <is>
          <t>LEDGER_OR_CASHFLOW_RECEIVED</t>
        </is>
      </c>
      <c r="R821" t="inlineStr">
        <is>
          <t>SYRM_ACKNOWLEDGED</t>
        </is>
      </c>
      <c r="S821" t="inlineStr">
        <is>
          <t>View details</t>
        </is>
      </c>
    </row>
    <row r="822">
      <c r="A822" t="inlineStr">
        <is>
          <t>150316825069</t>
        </is>
      </c>
      <c r="B822" t="inlineStr">
        <is>
          <t>Dunlin Commercial Bank Warsaw</t>
        </is>
      </c>
      <c r="C822" t="inlineStr">
        <is>
          <t>794226063698</t>
        </is>
      </c>
      <c r="D822" t="inlineStr">
        <is>
          <t>Wrenfield Commercial Bank Oslo</t>
        </is>
      </c>
      <c r="E822" t="inlineStr">
        <is>
          <t>GBP</t>
        </is>
      </c>
      <c r="F822" t="inlineStr">
        <is>
          <t>NT26082000816</t>
        </is>
      </c>
      <c r="G822" s="6" t="n">
        <v>46254</v>
      </c>
      <c r="H822" s="7" t="n">
        <v>58330011.655</v>
      </c>
      <c r="I822" t="inlineStr">
        <is>
          <t>GBP</t>
        </is>
      </c>
      <c r="J822" s="7" t="n">
        <v>58330011.655</v>
      </c>
      <c r="K822" t="inlineStr">
        <is>
          <t>SYRM</t>
        </is>
      </c>
      <c r="L822" t="inlineStr">
        <is>
          <t>Funding move</t>
        </is>
      </c>
      <c r="M822" s="8" t="n">
        <v>46254.76800925926</v>
      </c>
      <c r="N822" t="inlineStr">
        <is>
          <t>Marlow Thorne</t>
        </is>
      </c>
      <c r="O822" s="8" t="n">
        <v>46254.77425925926</v>
      </c>
      <c r="P822" t="inlineStr">
        <is>
          <t>Oakley Novak</t>
        </is>
      </c>
      <c r="Q822" t="inlineStr">
        <is>
          <t>LEDGER_OR_CASHFLOW_RECEIVED</t>
        </is>
      </c>
      <c r="R822" t="inlineStr">
        <is>
          <t>SYRM_ACKNOWLEDGED</t>
        </is>
      </c>
      <c r="S822" t="inlineStr">
        <is>
          <t>View details</t>
        </is>
      </c>
    </row>
    <row r="823">
      <c r="A823" t="inlineStr">
        <is>
          <t>910703979141</t>
        </is>
      </c>
      <c r="B823" t="inlineStr">
        <is>
          <t>Oriel Settlement Bank Madrid</t>
        </is>
      </c>
      <c r="C823" t="inlineStr">
        <is>
          <t>953625291146</t>
        </is>
      </c>
      <c r="D823" t="inlineStr">
        <is>
          <t>Juniper Trust London</t>
        </is>
      </c>
      <c r="E823" t="inlineStr">
        <is>
          <t>CHF</t>
        </is>
      </c>
      <c r="F823" t="inlineStr">
        <is>
          <t>NT26082000817</t>
        </is>
      </c>
      <c r="G823" s="6" t="n">
        <v>46254</v>
      </c>
      <c r="H823" s="7" t="n">
        <v>28904173.797</v>
      </c>
      <c r="I823" t="inlineStr">
        <is>
          <t>GBP</t>
        </is>
      </c>
      <c r="J823" s="7" t="n">
        <v>25927043.896</v>
      </c>
      <c r="K823" t="inlineStr">
        <is>
          <t>SYRM</t>
        </is>
      </c>
      <c r="L823" t="inlineStr">
        <is>
          <t>Funding move</t>
        </is>
      </c>
      <c r="M823" s="8" t="n">
        <v>46254.62929398148</v>
      </c>
      <c r="N823" t="inlineStr">
        <is>
          <t>Noor Brookes</t>
        </is>
      </c>
      <c r="O823" s="8" t="n">
        <v>46254.67443287037</v>
      </c>
      <c r="P823" t="inlineStr">
        <is>
          <t>Ellis Delaney</t>
        </is>
      </c>
      <c r="Q823" t="inlineStr">
        <is>
          <t>LEDGER_OR_CASHFLOW_RECEIVED</t>
        </is>
      </c>
      <c r="R823" t="inlineStr">
        <is>
          <t>SYRM_ACKNOWLEDGED</t>
        </is>
      </c>
      <c r="S823" t="inlineStr">
        <is>
          <t>View details</t>
        </is>
      </c>
    </row>
    <row r="824">
      <c r="A824" t="inlineStr">
        <is>
          <t>968942362772</t>
        </is>
      </c>
      <c r="B824" t="inlineStr">
        <is>
          <t>Yarrow Bank Stockholm</t>
        </is>
      </c>
      <c r="C824" t="inlineStr">
        <is>
          <t>120047354818</t>
        </is>
      </c>
      <c r="D824" t="inlineStr">
        <is>
          <t>Mallow Commercial Bank Mexico City</t>
        </is>
      </c>
      <c r="E824" t="inlineStr">
        <is>
          <t>EUR</t>
        </is>
      </c>
      <c r="F824" t="inlineStr">
        <is>
          <t>NT26082000818</t>
        </is>
      </c>
      <c r="G824" s="6" t="n">
        <v>46254</v>
      </c>
      <c r="H824" s="7" t="n">
        <v>24477189.742</v>
      </c>
      <c r="I824" t="inlineStr">
        <is>
          <t>GBP</t>
        </is>
      </c>
      <c r="J824" s="7" t="n">
        <v>21001428.799</v>
      </c>
      <c r="K824" t="inlineStr">
        <is>
          <t>SYRM</t>
        </is>
      </c>
      <c r="L824" t="inlineStr">
        <is>
          <t>Liquidity sweep</t>
        </is>
      </c>
      <c r="M824" s="8" t="n">
        <v>46254.4315162037</v>
      </c>
      <c r="N824" t="inlineStr">
        <is>
          <t>Quinn Hollis</t>
        </is>
      </c>
      <c r="O824" s="8" t="n">
        <v>46254.43429398148</v>
      </c>
      <c r="P824" t="inlineStr">
        <is>
          <t>Avery Sinclair</t>
        </is>
      </c>
      <c r="Q824" t="inlineStr">
        <is>
          <t>CASHFLOW_RECEIVED</t>
        </is>
      </c>
      <c r="R824" t="inlineStr">
        <is>
          <t>SYRM_ACKNOWLEDGED</t>
        </is>
      </c>
      <c r="S824" t="inlineStr">
        <is>
          <t>View details</t>
        </is>
      </c>
    </row>
    <row r="825">
      <c r="A825" t="inlineStr">
        <is>
          <t>499062838623</t>
        </is>
      </c>
      <c r="B825" t="inlineStr">
        <is>
          <t>Bramble Bank Milan</t>
        </is>
      </c>
      <c r="C825" t="inlineStr">
        <is>
          <t>499062838623</t>
        </is>
      </c>
      <c r="D825" t="inlineStr">
        <is>
          <t>Redstart Trust Mexico City</t>
        </is>
      </c>
      <c r="E825" t="inlineStr">
        <is>
          <t>USD</t>
        </is>
      </c>
      <c r="F825" t="inlineStr">
        <is>
          <t>NT26082000819</t>
        </is>
      </c>
      <c r="G825" s="6" t="n">
        <v>46254</v>
      </c>
      <c r="H825" s="7" t="n">
        <v>4460777.825</v>
      </c>
      <c r="I825" t="inlineStr">
        <is>
          <t>GBP</t>
        </is>
      </c>
      <c r="J825" s="7" t="n">
        <v>3497249.815</v>
      </c>
      <c r="K825" t="inlineStr">
        <is>
          <t>SYRM</t>
        </is>
      </c>
      <c r="L825" t="inlineStr">
        <is>
          <t>Funding move</t>
        </is>
      </c>
      <c r="M825" s="8" t="n">
        <v>46254.31123842593</v>
      </c>
      <c r="N825" t="inlineStr">
        <is>
          <t>Lennox Ellison</t>
        </is>
      </c>
      <c r="O825" s="8" t="n">
        <v>46254.3140162037</v>
      </c>
      <c r="P825" t="inlineStr">
        <is>
          <t>Avery Sinclair</t>
        </is>
      </c>
      <c r="Q825" t="inlineStr">
        <is>
          <t>LEDGER_OR_CASHFLOW_RECEIVED</t>
        </is>
      </c>
      <c r="R825" t="inlineStr">
        <is>
          <t>SYRM_ACKNOWLEDGED</t>
        </is>
      </c>
      <c r="S825" t="inlineStr">
        <is>
          <t>View details</t>
        </is>
      </c>
    </row>
    <row r="826">
      <c r="A826" t="inlineStr">
        <is>
          <t>150316825069</t>
        </is>
      </c>
      <c r="B826" t="inlineStr">
        <is>
          <t>Juniper Commercial Bank Warsaw</t>
        </is>
      </c>
      <c r="C826" t="inlineStr">
        <is>
          <t>794226063698</t>
        </is>
      </c>
      <c r="D826" t="inlineStr">
        <is>
          <t>Wrenfield Bank Paris</t>
        </is>
      </c>
      <c r="E826" t="inlineStr">
        <is>
          <t>GBP</t>
        </is>
      </c>
      <c r="F826" t="inlineStr">
        <is>
          <t>NT26082000820</t>
        </is>
      </c>
      <c r="G826" s="6" t="n">
        <v>46254</v>
      </c>
      <c r="H826" s="7" t="n">
        <v>834832754.05</v>
      </c>
      <c r="I826" t="inlineStr">
        <is>
          <t>GBP</t>
        </is>
      </c>
      <c r="J826" s="7" t="n">
        <v>834832754.05</v>
      </c>
      <c r="K826" t="inlineStr">
        <is>
          <t>SYRM</t>
        </is>
      </c>
      <c r="L826" t="inlineStr">
        <is>
          <t>Liquidity sweep</t>
        </is>
      </c>
      <c r="M826" s="8" t="n">
        <v>46254.40399305556</v>
      </c>
      <c r="N826" t="inlineStr">
        <is>
          <t>Greer Prentice</t>
        </is>
      </c>
      <c r="O826" s="8" t="n">
        <v>46254.41232638889</v>
      </c>
      <c r="P826" t="inlineStr">
        <is>
          <t>Devon Calloway</t>
        </is>
      </c>
      <c r="Q826" t="inlineStr">
        <is>
          <t>LEDGER_OR_CASHFLOW_RECEIVED</t>
        </is>
      </c>
      <c r="R826" t="inlineStr">
        <is>
          <t>SYRM_ACKNOWLEDGED</t>
        </is>
      </c>
      <c r="S826" t="inlineStr">
        <is>
          <t>View details</t>
        </is>
      </c>
    </row>
    <row r="827">
      <c r="A827" t="inlineStr">
        <is>
          <t>499062838623</t>
        </is>
      </c>
      <c r="B827" t="inlineStr">
        <is>
          <t>Mallow Settlement Bank Warsaw</t>
        </is>
      </c>
      <c r="C827" t="inlineStr">
        <is>
          <t>132544340094</t>
        </is>
      </c>
      <c r="D827" t="inlineStr">
        <is>
          <t>Nightjar Bank Stockholm</t>
        </is>
      </c>
      <c r="E827" t="inlineStr">
        <is>
          <t>USD</t>
        </is>
      </c>
      <c r="F827" t="inlineStr">
        <is>
          <t>NT26082000821</t>
        </is>
      </c>
      <c r="G827" s="6" t="n">
        <v>46254</v>
      </c>
      <c r="H827" s="7" t="n">
        <v>41795910.825</v>
      </c>
      <c r="I827" t="inlineStr">
        <is>
          <t>GBP</t>
        </is>
      </c>
      <c r="J827" s="7" t="n">
        <v>32767994.087</v>
      </c>
      <c r="K827" t="inlineStr">
        <is>
          <t>SWIFT</t>
        </is>
      </c>
      <c r="L827" t="inlineStr">
        <is>
          <t>Intraday top-up</t>
        </is>
      </c>
      <c r="M827" s="8" t="n">
        <v>46254.65336805556</v>
      </c>
      <c r="N827" t="inlineStr">
        <is>
          <t>Harper Hollis</t>
        </is>
      </c>
      <c r="O827" s="8" t="n">
        <v>46254.67489583333</v>
      </c>
      <c r="P827" t="inlineStr">
        <is>
          <t>Oakley Prentice</t>
        </is>
      </c>
      <c r="Q827" t="inlineStr">
        <is>
          <t>LEDGER_OR_CASHFLOW_RECEIVED</t>
        </is>
      </c>
      <c r="R827" t="inlineStr">
        <is>
          <t>SYRM_ACKNOWLEDGED</t>
        </is>
      </c>
      <c r="S827" t="inlineStr">
        <is>
          <t>View details</t>
        </is>
      </c>
    </row>
    <row r="828">
      <c r="A828" t="inlineStr">
        <is>
          <t>265771593142</t>
        </is>
      </c>
      <c r="B828" t="inlineStr">
        <is>
          <t>Larkspur Clearing New York</t>
        </is>
      </c>
      <c r="C828" t="inlineStr">
        <is>
          <t>468341071172</t>
        </is>
      </c>
      <c r="D828" t="inlineStr">
        <is>
          <t>Fernway Trust Tokyo</t>
        </is>
      </c>
      <c r="E828" t="inlineStr">
        <is>
          <t>EUR</t>
        </is>
      </c>
      <c r="F828" t="inlineStr">
        <is>
          <t>NT26082000822</t>
        </is>
      </c>
      <c r="G828" s="6" t="n">
        <v>46254</v>
      </c>
      <c r="H828" s="7" t="n">
        <v>5917958.157</v>
      </c>
      <c r="I828" t="inlineStr">
        <is>
          <t>GBP</t>
        </is>
      </c>
      <c r="J828" s="7" t="n">
        <v>5077608.099</v>
      </c>
      <c r="K828" t="inlineStr">
        <is>
          <t>INTERNAL</t>
        </is>
      </c>
      <c r="L828" t="inlineStr">
        <is>
          <t>Liquidity sweep</t>
        </is>
      </c>
      <c r="M828" s="8" t="n">
        <v>46254.40744212963</v>
      </c>
      <c r="N828" t="inlineStr">
        <is>
          <t>Oakley Prentice</t>
        </is>
      </c>
      <c r="O828" s="8" t="n">
        <v>46254.42688657407</v>
      </c>
      <c r="P828" t="inlineStr">
        <is>
          <t>Wren Hollis</t>
        </is>
      </c>
      <c r="Q828" t="inlineStr">
        <is>
          <t>LEDGER_OR_CASHFLOW_RECEIVED</t>
        </is>
      </c>
      <c r="R828" t="inlineStr">
        <is>
          <t>SYRM_ACKNOWLEDGED</t>
        </is>
      </c>
      <c r="S828" t="inlineStr">
        <is>
          <t>View details</t>
        </is>
      </c>
    </row>
    <row r="829">
      <c r="A829" t="inlineStr">
        <is>
          <t>359365220160</t>
        </is>
      </c>
      <c r="B829" t="inlineStr">
        <is>
          <t>Redstart Commercial Bank Dublin</t>
        </is>
      </c>
      <c r="C829" t="inlineStr">
        <is>
          <t>968942362772</t>
        </is>
      </c>
      <c r="D829" t="inlineStr">
        <is>
          <t>Redstart Trust Mexico City</t>
        </is>
      </c>
      <c r="E829" t="inlineStr">
        <is>
          <t>EUR</t>
        </is>
      </c>
      <c r="F829" t="inlineStr">
        <is>
          <t>NT26082000823</t>
        </is>
      </c>
      <c r="G829" s="6" t="n">
        <v>46254</v>
      </c>
      <c r="H829" s="7" t="n">
        <v>2085339.467</v>
      </c>
      <c r="I829" t="inlineStr">
        <is>
          <t>GBP</t>
        </is>
      </c>
      <c r="J829" s="7" t="n">
        <v>1789221.263</v>
      </c>
      <c r="K829" t="inlineStr">
        <is>
          <t>SWIFT</t>
        </is>
      </c>
      <c r="L829" t="inlineStr"/>
      <c r="M829" s="8" t="n">
        <v>46254.69797453703</v>
      </c>
      <c r="N829" t="inlineStr">
        <is>
          <t>Oakley Fairweather</t>
        </is>
      </c>
      <c r="O829" s="8" t="n">
        <v>46254.70005787037</v>
      </c>
      <c r="P829" t="inlineStr">
        <is>
          <t>Devon Jennings</t>
        </is>
      </c>
      <c r="Q829" t="inlineStr">
        <is>
          <t>LEDGER_OR_CASHFLOW_RECEIVED</t>
        </is>
      </c>
      <c r="R829" t="inlineStr">
        <is>
          <t>SYRM_ACKNOWLEDGED</t>
        </is>
      </c>
      <c r="S829" t="inlineStr">
        <is>
          <t>View details</t>
        </is>
      </c>
    </row>
    <row r="830">
      <c r="A830" t="inlineStr">
        <is>
          <t>150316825069</t>
        </is>
      </c>
      <c r="B830" t="inlineStr">
        <is>
          <t>Wrenfield Clearing Mexico City</t>
        </is>
      </c>
      <c r="C830" t="inlineStr">
        <is>
          <t>120047354818</t>
        </is>
      </c>
      <c r="D830" t="inlineStr">
        <is>
          <t>Harrow Bank Milan</t>
        </is>
      </c>
      <c r="E830" t="inlineStr">
        <is>
          <t>GBP</t>
        </is>
      </c>
      <c r="F830" t="inlineStr">
        <is>
          <t>NT26082000824</t>
        </is>
      </c>
      <c r="G830" s="6" t="n">
        <v>46254</v>
      </c>
      <c r="H830" s="7" t="n">
        <v>174651655.507</v>
      </c>
      <c r="I830" t="inlineStr">
        <is>
          <t>GBP</t>
        </is>
      </c>
      <c r="J830" s="7" t="n">
        <v>174651655.507</v>
      </c>
      <c r="K830" t="inlineStr">
        <is>
          <t>INTERNAL</t>
        </is>
      </c>
      <c r="L830" t="inlineStr"/>
      <c r="M830" s="8" t="n">
        <v>46254.5582175926</v>
      </c>
      <c r="N830" t="inlineStr">
        <is>
          <t>Wren Hollis</t>
        </is>
      </c>
      <c r="O830" s="8" t="n">
        <v>46254.56446759259</v>
      </c>
      <c r="P830" t="inlineStr">
        <is>
          <t>Marlow Thorne</t>
        </is>
      </c>
      <c r="Q830" t="inlineStr">
        <is>
          <t>LEDGER_OR_CASHFLOW_RECEIVED</t>
        </is>
      </c>
      <c r="R830" t="inlineStr">
        <is>
          <t>SYRM_ACKNOWLEDGED</t>
        </is>
      </c>
      <c r="S830" t="inlineStr">
        <is>
          <t>View details</t>
        </is>
      </c>
    </row>
    <row r="831">
      <c r="A831" t="inlineStr">
        <is>
          <t>171857983160</t>
        </is>
      </c>
      <c r="B831" t="inlineStr">
        <is>
          <t>Fernway Clearing Frankfurt</t>
        </is>
      </c>
      <c r="C831" t="inlineStr">
        <is>
          <t>468341071172</t>
        </is>
      </c>
      <c r="D831" t="inlineStr">
        <is>
          <t>Mallow Commercial Bank Mexico City</t>
        </is>
      </c>
      <c r="E831" t="inlineStr">
        <is>
          <t>AUD</t>
        </is>
      </c>
      <c r="F831" t="inlineStr">
        <is>
          <t>NT26082000825</t>
        </is>
      </c>
      <c r="G831" s="6" t="n">
        <v>46254</v>
      </c>
      <c r="H831" s="7" t="n">
        <v>5142210.5</v>
      </c>
      <c r="I831" t="inlineStr">
        <is>
          <t>GBP</t>
        </is>
      </c>
      <c r="J831" s="7" t="n">
        <v>2637953.987</v>
      </c>
      <c r="K831" t="inlineStr">
        <is>
          <t>SWIFT</t>
        </is>
      </c>
      <c r="L831" t="inlineStr"/>
      <c r="M831" s="8" t="n">
        <v>46254.46313657407</v>
      </c>
      <c r="N831" t="inlineStr">
        <is>
          <t>Devon Jennings</t>
        </is>
      </c>
      <c r="O831" s="8" t="n">
        <v>46254.48674768519</v>
      </c>
      <c r="P831" t="inlineStr">
        <is>
          <t>Avery Prentice</t>
        </is>
      </c>
      <c r="Q831" t="inlineStr">
        <is>
          <t>LEDGER_OR_CASHFLOW_RECEIVED</t>
        </is>
      </c>
      <c r="R831" t="inlineStr">
        <is>
          <t>SYRM_ACKNOWLEDGED</t>
        </is>
      </c>
      <c r="S831" t="inlineStr">
        <is>
          <t>View details</t>
        </is>
      </c>
    </row>
    <row r="832">
      <c r="A832" s="9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6" customWidth="1" min="5" max="5"/>
    <col width="14" customWidth="1" min="6" max="6"/>
    <col width="30" customWidth="1" min="7" max="7"/>
    <col width="19" customWidth="1" min="8" max="8"/>
    <col width="18" customWidth="1" min="9" max="9"/>
    <col width="30" customWidth="1" min="10" max="10"/>
    <col width="17" customWidth="1" min="11" max="11"/>
    <col width="29" customWidth="1" min="12" max="12"/>
    <col width="23" customWidth="1" min="13" max="13"/>
    <col width="22" customWidth="1" min="14" max="14"/>
    <col width="13" customWidth="1" min="15" max="15"/>
    <col width="30" customWidth="1" min="16" max="16"/>
    <col width="21" customWidth="1" min="17" max="17"/>
    <col width="20" customWidth="1" min="18" max="18"/>
    <col width="30" customWidth="1" min="19" max="19"/>
    <col width="19" customWidth="1" min="20" max="20"/>
  </cols>
  <sheetData>
    <row r="1">
      <c r="A1" s="2" t="inlineStr">
        <is>
          <t>Client View</t>
        </is>
      </c>
    </row>
    <row r="2">
      <c r="A2" s="3" t="inlineStr">
        <is>
          <t>Client Group</t>
        </is>
      </c>
      <c r="B2" s="3" t="inlineStr">
        <is>
          <t>SYNTHETIC CLIENT GROUP</t>
        </is>
      </c>
      <c r="D2" s="3" t="inlineStr">
        <is>
          <t>Value Date</t>
        </is>
      </c>
      <c r="E2" s="4" t="n">
        <v>46251</v>
      </c>
      <c r="G2" s="3" t="inlineStr">
        <is>
          <t>To</t>
        </is>
      </c>
      <c r="H2" s="4" t="n">
        <v>46254</v>
      </c>
      <c r="J2" s="3" t="inlineStr">
        <is>
          <t>Time Zone</t>
        </is>
      </c>
      <c r="K2" s="3" t="inlineStr">
        <is>
          <t>London</t>
        </is>
      </c>
      <c r="M2" s="3" t="inlineStr">
        <is>
          <t>Display Currency</t>
        </is>
      </c>
      <c r="N2" s="3" t="inlineStr">
        <is>
          <t>GBP</t>
        </is>
      </c>
      <c r="P2" s="3" t="inlineStr">
        <is>
          <t>Match Tolerance</t>
        </is>
      </c>
      <c r="Q2" s="3" t="n">
        <v>0.01</v>
      </c>
    </row>
    <row r="3">
      <c r="A3" s="3" t="inlineStr">
        <is>
          <t>Refresh Mode</t>
        </is>
      </c>
      <c r="B3" s="3" t="inlineStr">
        <is>
          <t>Manual</t>
        </is>
      </c>
      <c r="D3" s="3" t="inlineStr">
        <is>
          <t>Rows</t>
        </is>
      </c>
      <c r="E3" s="3" t="n">
        <v>80</v>
      </c>
      <c r="G3" s="3" t="inlineStr">
        <is>
          <t>Data Classification</t>
        </is>
      </c>
      <c r="H3" s="3" t="inlineStr">
        <is>
          <t>Synthetic / non-production</t>
        </is>
      </c>
    </row>
    <row r="6">
      <c r="A6" s="5" t="inlineStr">
        <is>
          <t>Legal Entity</t>
        </is>
      </c>
      <c r="B6" s="5" t="inlineStr">
        <is>
          <t>Currency</t>
        </is>
      </c>
      <c r="C6" s="5" t="inlineStr">
        <is>
          <t>Account</t>
        </is>
      </c>
      <c r="D6" s="5" t="inlineStr">
        <is>
          <t>Sort Code</t>
        </is>
      </c>
      <c r="E6" s="5" t="inlineStr">
        <is>
          <t>Account Name</t>
        </is>
      </c>
      <c r="F6" s="5" t="inlineStr">
        <is>
          <t>Value Date</t>
        </is>
      </c>
      <c r="G6" s="5" t="inlineStr">
        <is>
          <t>Start of Day Balance (Local)</t>
        </is>
      </c>
      <c r="H6" s="5" t="inlineStr">
        <is>
          <t>Credits (Local)</t>
        </is>
      </c>
      <c r="I6" s="5" t="inlineStr">
        <is>
          <t>Debits (Local)</t>
        </is>
      </c>
      <c r="J6" s="5" t="inlineStr">
        <is>
          <t>Calculated Balance (Local)</t>
        </is>
      </c>
      <c r="K6" s="5" t="inlineStr">
        <is>
          <t>Swing (Local)</t>
        </is>
      </c>
      <c r="L6" s="5" t="inlineStr">
        <is>
          <t>Last Transaction Received</t>
        </is>
      </c>
      <c r="M6" s="5" t="inlineStr">
        <is>
          <t>EOD Balance (Local)</t>
        </is>
      </c>
      <c r="N6" s="5" t="inlineStr">
        <is>
          <t>Difference (Local)</t>
        </is>
      </c>
      <c r="O6" s="5" t="inlineStr">
        <is>
          <t>Match</t>
        </is>
      </c>
      <c r="P6" s="5" t="inlineStr">
        <is>
          <t>Start of Day Balance (Display)</t>
        </is>
      </c>
      <c r="Q6" s="5" t="inlineStr">
        <is>
          <t>Credits (Display)</t>
        </is>
      </c>
      <c r="R6" s="5" t="inlineStr">
        <is>
          <t>Debits (Display)</t>
        </is>
      </c>
      <c r="S6" s="5" t="inlineStr">
        <is>
          <t>Calculated Balance (Display)</t>
        </is>
      </c>
      <c r="T6" s="5" t="inlineStr">
        <is>
          <t>Swing (Display)</t>
        </is>
      </c>
    </row>
    <row r="7">
      <c r="A7" t="inlineStr">
        <is>
          <t>Oriel Group N.A.</t>
        </is>
      </c>
      <c r="B7" t="inlineStr">
        <is>
          <t>GBP</t>
        </is>
      </c>
      <c r="C7" t="inlineStr">
        <is>
          <t>150316825069</t>
        </is>
      </c>
      <c r="D7" t="inlineStr">
        <is>
          <t>933672</t>
        </is>
      </c>
      <c r="E7" t="inlineStr">
        <is>
          <t>Liquidity GBP 13</t>
        </is>
      </c>
      <c r="F7" s="6" t="n">
        <v>46251</v>
      </c>
      <c r="G7" s="7" t="n">
        <v>151270.715</v>
      </c>
      <c r="H7" s="7" t="n">
        <v>0</v>
      </c>
      <c r="I7" s="7" t="n">
        <v>0</v>
      </c>
      <c r="J7" s="7" t="n">
        <v>151270.715</v>
      </c>
      <c r="K7" s="7" t="n">
        <v>0</v>
      </c>
      <c r="L7" s="8" t="n"/>
      <c r="M7" s="7" t="n">
        <v>151270.715</v>
      </c>
      <c r="N7" s="7" t="n">
        <v>0</v>
      </c>
      <c r="O7" t="inlineStr">
        <is>
          <t>✓</t>
        </is>
      </c>
      <c r="P7" s="7" t="n">
        <v>151270.715</v>
      </c>
      <c r="Q7" s="7" t="n">
        <v>0</v>
      </c>
      <c r="R7" s="7" t="n">
        <v>0</v>
      </c>
      <c r="S7" s="7" t="n">
        <v>151270.715</v>
      </c>
      <c r="T7" s="7" t="n">
        <v>0</v>
      </c>
    </row>
    <row r="8">
      <c r="A8" t="inlineStr">
        <is>
          <t>Juniper Group AG</t>
        </is>
      </c>
      <c r="B8" t="inlineStr">
        <is>
          <t>AED</t>
        </is>
      </c>
      <c r="C8" t="inlineStr">
        <is>
          <t>794226063698</t>
        </is>
      </c>
      <c r="D8" t="inlineStr">
        <is>
          <t>158848</t>
        </is>
      </c>
      <c r="E8" t="inlineStr">
        <is>
          <t>Reserve AED 56</t>
        </is>
      </c>
      <c r="F8" s="6" t="n">
        <v>46251</v>
      </c>
      <c r="G8" s="7" t="n">
        <v>107431901.702</v>
      </c>
      <c r="H8" s="7" t="n">
        <v>27946214.201</v>
      </c>
      <c r="I8" s="7" t="n">
        <v>-24575884.606</v>
      </c>
      <c r="J8" s="7" t="n">
        <v>110802231.297</v>
      </c>
      <c r="K8" s="7" t="n">
        <v>3370329.595</v>
      </c>
      <c r="L8" s="8" t="n">
        <v>46251.34135416667</v>
      </c>
      <c r="M8" s="7" t="n">
        <v>110802231.297</v>
      </c>
      <c r="N8" s="7" t="n">
        <v>0</v>
      </c>
      <c r="O8" t="inlineStr">
        <is>
          <t>✓</t>
        </is>
      </c>
      <c r="P8" s="7" t="n">
        <v>22882995.063</v>
      </c>
      <c r="Q8" s="7" t="n">
        <v>5952543.625</v>
      </c>
      <c r="R8" s="7" t="n">
        <v>-5234663.421</v>
      </c>
      <c r="S8" s="7" t="n">
        <v>23600875.266</v>
      </c>
      <c r="T8" s="7" t="n">
        <v>717880.204</v>
      </c>
    </row>
    <row r="9">
      <c r="A9" t="inlineStr">
        <is>
          <t>Kestrel Group N.A.</t>
        </is>
      </c>
      <c r="B9" t="inlineStr">
        <is>
          <t>EUR</t>
        </is>
      </c>
      <c r="C9" t="inlineStr">
        <is>
          <t>468341071172</t>
        </is>
      </c>
      <c r="D9" t="inlineStr">
        <is>
          <t>284533</t>
        </is>
      </c>
      <c r="E9" t="inlineStr">
        <is>
          <t>Settlement EUR 54</t>
        </is>
      </c>
      <c r="F9" s="6" t="n">
        <v>46251</v>
      </c>
      <c r="G9" s="7" t="n">
        <v>104474.184</v>
      </c>
      <c r="H9" s="7" t="n">
        <v>23599.216</v>
      </c>
      <c r="I9" s="7" t="n">
        <v>-27380.452</v>
      </c>
      <c r="J9" s="7" t="n">
        <v>100692.948</v>
      </c>
      <c r="K9" s="7" t="n">
        <v>-3781.236</v>
      </c>
      <c r="L9" s="8" t="n">
        <v>46251.63230324074</v>
      </c>
      <c r="M9" s="7" t="n">
        <v>100692.948</v>
      </c>
      <c r="N9" s="7" t="n">
        <v>0</v>
      </c>
      <c r="O9" t="inlineStr">
        <is>
          <t>✓</t>
        </is>
      </c>
      <c r="P9" s="7" t="n">
        <v>89638.85000000001</v>
      </c>
      <c r="Q9" s="7" t="n">
        <v>20248.127</v>
      </c>
      <c r="R9" s="7" t="n">
        <v>-23492.428</v>
      </c>
      <c r="S9" s="7" t="n">
        <v>86394.549</v>
      </c>
      <c r="T9" s="7" t="n">
        <v>-3244.3</v>
      </c>
    </row>
    <row r="10">
      <c r="A10" t="inlineStr">
        <is>
          <t>Alder Group plc</t>
        </is>
      </c>
      <c r="B10" t="inlineStr">
        <is>
          <t>USD</t>
        </is>
      </c>
      <c r="C10" t="inlineStr">
        <is>
          <t>499062838623</t>
        </is>
      </c>
      <c r="D10" t="inlineStr">
        <is>
          <t>725094</t>
        </is>
      </c>
      <c r="E10" t="inlineStr">
        <is>
          <t>Fees USD 08</t>
        </is>
      </c>
      <c r="F10" s="6" t="n">
        <v>46251</v>
      </c>
      <c r="G10" s="7" t="n">
        <v>37884555.344</v>
      </c>
      <c r="H10" s="7" t="n">
        <v>4922835.623</v>
      </c>
      <c r="I10" s="7" t="n">
        <v>-2732787.341</v>
      </c>
      <c r="J10" s="7" t="n">
        <v>40074603.626</v>
      </c>
      <c r="K10" s="7" t="n">
        <v>2190048.282</v>
      </c>
      <c r="L10" s="8" t="n">
        <v>46251.6441550926</v>
      </c>
      <c r="M10" s="7" t="n">
        <v>40074603.626</v>
      </c>
      <c r="N10" s="7" t="n">
        <v>0</v>
      </c>
      <c r="O10" t="inlineStr">
        <is>
          <t>✓</t>
        </is>
      </c>
      <c r="P10" s="7" t="n">
        <v>29701491.39</v>
      </c>
      <c r="Q10" s="7" t="n">
        <v>3859503.128</v>
      </c>
      <c r="R10" s="7" t="n">
        <v>-2142505.275</v>
      </c>
      <c r="S10" s="7" t="n">
        <v>31418489.243</v>
      </c>
      <c r="T10" s="7" t="n">
        <v>1716997.853</v>
      </c>
    </row>
    <row r="11">
      <c r="A11" t="inlineStr">
        <is>
          <t>Granite Group plc</t>
        </is>
      </c>
      <c r="B11" t="inlineStr">
        <is>
          <t>EUR</t>
        </is>
      </c>
      <c r="C11" t="inlineStr">
        <is>
          <t>968942362772</t>
        </is>
      </c>
      <c r="D11" t="inlineStr">
        <is>
          <t>185137</t>
        </is>
      </c>
      <c r="E11" t="inlineStr">
        <is>
          <t>Fees EUR 30</t>
        </is>
      </c>
      <c r="F11" s="6" t="n">
        <v>46251</v>
      </c>
      <c r="G11" s="7" t="n">
        <v>3026554.284</v>
      </c>
      <c r="H11" s="7" t="n">
        <v>0</v>
      </c>
      <c r="I11" s="7" t="n">
        <v>0</v>
      </c>
      <c r="J11" s="7" t="n">
        <v>3026554.284</v>
      </c>
      <c r="K11" s="7" t="n">
        <v>0</v>
      </c>
      <c r="L11" s="8" t="n"/>
      <c r="M11" s="7" t="n">
        <v>3026554.284</v>
      </c>
      <c r="N11" s="7" t="n">
        <v>0</v>
      </c>
      <c r="O11" t="inlineStr">
        <is>
          <t>✓</t>
        </is>
      </c>
      <c r="P11" s="7" t="n">
        <v>2596783.576</v>
      </c>
      <c r="Q11" s="7" t="n">
        <v>0</v>
      </c>
      <c r="R11" s="7" t="n">
        <v>0</v>
      </c>
      <c r="S11" s="7" t="n">
        <v>2596783.576</v>
      </c>
      <c r="T11" s="7" t="n">
        <v>0</v>
      </c>
    </row>
    <row r="12">
      <c r="A12" t="inlineStr">
        <is>
          <t>Juniper Group AG</t>
        </is>
      </c>
      <c r="B12" t="inlineStr">
        <is>
          <t>CHF</t>
        </is>
      </c>
      <c r="C12" t="inlineStr">
        <is>
          <t>910703979141</t>
        </is>
      </c>
      <c r="D12" t="inlineStr">
        <is>
          <t>447330</t>
        </is>
      </c>
      <c r="E12" t="inlineStr">
        <is>
          <t>Nostro CHF 37</t>
        </is>
      </c>
      <c r="F12" s="6" t="n">
        <v>46251</v>
      </c>
      <c r="G12" s="7" t="n">
        <v>158305.976</v>
      </c>
      <c r="H12" s="7" t="n">
        <v>0</v>
      </c>
      <c r="I12" s="7" t="n">
        <v>0</v>
      </c>
      <c r="J12" s="7" t="n">
        <v>158305.976</v>
      </c>
      <c r="K12" s="7" t="n">
        <v>0</v>
      </c>
      <c r="L12" s="8" t="n"/>
      <c r="M12" s="7" t="n">
        <v>158305.976</v>
      </c>
      <c r="N12" s="7" t="n">
        <v>0</v>
      </c>
      <c r="O12" t="inlineStr">
        <is>
          <t>✓</t>
        </is>
      </c>
      <c r="P12" s="7" t="n">
        <v>142000.46</v>
      </c>
      <c r="Q12" s="7" t="n">
        <v>0</v>
      </c>
      <c r="R12" s="7" t="n">
        <v>0</v>
      </c>
      <c r="S12" s="7" t="n">
        <v>142000.46</v>
      </c>
      <c r="T12" s="7" t="n">
        <v>0</v>
      </c>
    </row>
    <row r="13">
      <c r="A13" t="inlineStr">
        <is>
          <t>Juniper Group AG</t>
        </is>
      </c>
      <c r="B13" t="inlineStr">
        <is>
          <t>GBP</t>
        </is>
      </c>
      <c r="C13" t="inlineStr">
        <is>
          <t>898317028833</t>
        </is>
      </c>
      <c r="D13" t="inlineStr">
        <is>
          <t>121545</t>
        </is>
      </c>
      <c r="E13" t="inlineStr">
        <is>
          <t>Settlement GBP 01</t>
        </is>
      </c>
      <c r="F13" s="6" t="n">
        <v>46251</v>
      </c>
      <c r="G13" s="7" t="n">
        <v>27355372.927</v>
      </c>
      <c r="H13" s="7" t="n">
        <v>14872949.379</v>
      </c>
      <c r="I13" s="7" t="n">
        <v>-9261234.581</v>
      </c>
      <c r="J13" s="7" t="n">
        <v>32967087.725</v>
      </c>
      <c r="K13" s="7" t="n">
        <v>5611714.798</v>
      </c>
      <c r="L13" s="8" t="n">
        <v>46251.3795949074</v>
      </c>
      <c r="M13" s="7" t="n">
        <v>32967087.725</v>
      </c>
      <c r="N13" s="7" t="n">
        <v>0</v>
      </c>
      <c r="O13" t="inlineStr">
        <is>
          <t>✓</t>
        </is>
      </c>
      <c r="P13" s="7" t="n">
        <v>27355372.927</v>
      </c>
      <c r="Q13" s="7" t="n">
        <v>14872949.379</v>
      </c>
      <c r="R13" s="7" t="n">
        <v>-9261234.581</v>
      </c>
      <c r="S13" s="7" t="n">
        <v>32967087.725</v>
      </c>
      <c r="T13" s="7" t="n">
        <v>5611714.798</v>
      </c>
    </row>
    <row r="14">
      <c r="A14" t="inlineStr">
        <is>
          <t>Granite Group N.A.</t>
        </is>
      </c>
      <c r="B14" t="inlineStr">
        <is>
          <t>SAR</t>
        </is>
      </c>
      <c r="C14" t="inlineStr">
        <is>
          <t>700726936098</t>
        </is>
      </c>
      <c r="D14" t="inlineStr">
        <is>
          <t>554718</t>
        </is>
      </c>
      <c r="E14" t="inlineStr">
        <is>
          <t>Collateral SAR 53</t>
        </is>
      </c>
      <c r="F14" s="6" t="n">
        <v>46251</v>
      </c>
      <c r="G14" s="7" t="n">
        <v>95268270.42299999</v>
      </c>
      <c r="H14" s="7" t="n">
        <v>0</v>
      </c>
      <c r="I14" s="7" t="n">
        <v>0</v>
      </c>
      <c r="J14" s="7" t="n">
        <v>95268270.42299999</v>
      </c>
      <c r="K14" s="7" t="n">
        <v>0</v>
      </c>
      <c r="L14" s="8" t="n"/>
      <c r="M14" s="7" t="n">
        <v>95268270.42299999</v>
      </c>
      <c r="N14" s="7" t="n">
        <v>0</v>
      </c>
      <c r="O14" t="inlineStr">
        <is>
          <t>✓</t>
        </is>
      </c>
      <c r="P14" s="7" t="n">
        <v>19911068.518</v>
      </c>
      <c r="Q14" s="7" t="n">
        <v>0</v>
      </c>
      <c r="R14" s="7" t="n">
        <v>0</v>
      </c>
      <c r="S14" s="7" t="n">
        <v>19911068.518</v>
      </c>
      <c r="T14" s="7" t="n">
        <v>0</v>
      </c>
    </row>
    <row r="15">
      <c r="A15" t="inlineStr">
        <is>
          <t>Juniper Group N.A.</t>
        </is>
      </c>
      <c r="B15" t="inlineStr">
        <is>
          <t>CZK</t>
        </is>
      </c>
      <c r="C15" t="inlineStr">
        <is>
          <t>132544340094</t>
        </is>
      </c>
      <c r="D15" t="inlineStr">
        <is>
          <t>802144</t>
        </is>
      </c>
      <c r="E15" t="inlineStr">
        <is>
          <t>Operating CZK 39</t>
        </is>
      </c>
      <c r="F15" s="6" t="n">
        <v>46251</v>
      </c>
      <c r="G15" s="7" t="n">
        <v>7357749.023</v>
      </c>
      <c r="H15" s="7" t="n">
        <v>0</v>
      </c>
      <c r="I15" s="7" t="n">
        <v>0</v>
      </c>
      <c r="J15" s="7" t="n">
        <v>7357749.023</v>
      </c>
      <c r="K15" s="7" t="n">
        <v>0</v>
      </c>
      <c r="L15" s="8" t="n"/>
      <c r="M15" s="7" t="n">
        <v>7357749.023</v>
      </c>
      <c r="N15" s="7" t="n">
        <v>0</v>
      </c>
      <c r="O15" t="inlineStr">
        <is>
          <t>✓</t>
        </is>
      </c>
      <c r="P15" s="7" t="n">
        <v>249427.692</v>
      </c>
      <c r="Q15" s="7" t="n">
        <v>0</v>
      </c>
      <c r="R15" s="7" t="n">
        <v>0</v>
      </c>
      <c r="S15" s="7" t="n">
        <v>249427.692</v>
      </c>
      <c r="T15" s="7" t="n">
        <v>0</v>
      </c>
    </row>
    <row r="16">
      <c r="A16" t="inlineStr">
        <is>
          <t>Oriel Group N.A.</t>
        </is>
      </c>
      <c r="B16" t="inlineStr">
        <is>
          <t>USD</t>
        </is>
      </c>
      <c r="C16" t="inlineStr">
        <is>
          <t>953625291146</t>
        </is>
      </c>
      <c r="D16" t="inlineStr">
        <is>
          <t>166476</t>
        </is>
      </c>
      <c r="E16" t="inlineStr">
        <is>
          <t>Reserve USD 26</t>
        </is>
      </c>
      <c r="F16" s="6" t="n">
        <v>46251</v>
      </c>
      <c r="G16" s="7" t="n">
        <v>960211.813</v>
      </c>
      <c r="H16" s="7" t="n">
        <v>273763.864</v>
      </c>
      <c r="I16" s="7" t="n">
        <v>-653729.53</v>
      </c>
      <c r="J16" s="7" t="n">
        <v>580246.147</v>
      </c>
      <c r="K16" s="7" t="n">
        <v>-379965.666</v>
      </c>
      <c r="L16" s="8" t="n">
        <v>46251.62274305556</v>
      </c>
      <c r="M16" s="7" t="n">
        <v>580246.147</v>
      </c>
      <c r="N16" s="7" t="n">
        <v>0</v>
      </c>
      <c r="O16" t="inlineStr">
        <is>
          <t>✓</t>
        </is>
      </c>
      <c r="P16" s="7" t="n">
        <v>752806.061</v>
      </c>
      <c r="Q16" s="7" t="n">
        <v>214630.869</v>
      </c>
      <c r="R16" s="7" t="n">
        <v>-512523.952</v>
      </c>
      <c r="S16" s="7" t="n">
        <v>454912.979</v>
      </c>
      <c r="T16" s="7" t="n">
        <v>-297893.082</v>
      </c>
    </row>
    <row r="17">
      <c r="A17" t="inlineStr">
        <is>
          <t>Granite Group N.A.</t>
        </is>
      </c>
      <c r="B17" t="inlineStr">
        <is>
          <t>AUD</t>
        </is>
      </c>
      <c r="C17" t="inlineStr">
        <is>
          <t>171857983160</t>
        </is>
      </c>
      <c r="D17" t="inlineStr">
        <is>
          <t>142168</t>
        </is>
      </c>
      <c r="E17" t="inlineStr">
        <is>
          <t>Reserve AUD 24</t>
        </is>
      </c>
      <c r="F17" s="6" t="n">
        <v>46251</v>
      </c>
      <c r="G17" s="7" t="n">
        <v>531677.497</v>
      </c>
      <c r="H17" s="7" t="n">
        <v>0</v>
      </c>
      <c r="I17" s="7" t="n">
        <v>0</v>
      </c>
      <c r="J17" s="7" t="n">
        <v>531677.497</v>
      </c>
      <c r="K17" s="7" t="n">
        <v>0</v>
      </c>
      <c r="L17" s="8" t="n"/>
      <c r="M17" s="7" t="n">
        <v>531677.497</v>
      </c>
      <c r="N17" s="7" t="n">
        <v>0</v>
      </c>
      <c r="O17" t="inlineStr">
        <is>
          <t>✓</t>
        </is>
      </c>
      <c r="P17" s="7" t="n">
        <v>272750.556</v>
      </c>
      <c r="Q17" s="7" t="n">
        <v>0</v>
      </c>
      <c r="R17" s="7" t="n">
        <v>0</v>
      </c>
      <c r="S17" s="7" t="n">
        <v>272750.556</v>
      </c>
      <c r="T17" s="7" t="n">
        <v>0</v>
      </c>
    </row>
    <row r="18">
      <c r="A18" t="inlineStr">
        <is>
          <t>Juniper Group N.A.</t>
        </is>
      </c>
      <c r="B18" t="inlineStr">
        <is>
          <t>CNY</t>
        </is>
      </c>
      <c r="C18" t="inlineStr">
        <is>
          <t>927538182434</t>
        </is>
      </c>
      <c r="D18" t="inlineStr">
        <is>
          <t>256479</t>
        </is>
      </c>
      <c r="E18" t="inlineStr">
        <is>
          <t>Reserve CNY 15</t>
        </is>
      </c>
      <c r="F18" s="6" t="n">
        <v>46251</v>
      </c>
      <c r="G18" s="7" t="n">
        <v>78989.075</v>
      </c>
      <c r="H18" s="7" t="n">
        <v>34813.406</v>
      </c>
      <c r="I18" s="7" t="n">
        <v>-34488.048</v>
      </c>
      <c r="J18" s="7" t="n">
        <v>79314.433</v>
      </c>
      <c r="K18" s="7" t="n">
        <v>325.358</v>
      </c>
      <c r="L18" s="8" t="n">
        <v>46251.4624537037</v>
      </c>
      <c r="M18" s="7" t="n">
        <v>79314.433</v>
      </c>
      <c r="N18" s="7" t="n">
        <v>0</v>
      </c>
      <c r="O18" t="inlineStr">
        <is>
          <t>✓</t>
        </is>
      </c>
      <c r="P18" s="7" t="n">
        <v>8609.808999999999</v>
      </c>
      <c r="Q18" s="7" t="n">
        <v>3794.661</v>
      </c>
      <c r="R18" s="7" t="n">
        <v>-3759.197</v>
      </c>
      <c r="S18" s="7" t="n">
        <v>8645.272999999999</v>
      </c>
      <c r="T18" s="7" t="n">
        <v>35.464</v>
      </c>
    </row>
    <row r="19">
      <c r="A19" t="inlineStr">
        <is>
          <t>Granite Group plc</t>
        </is>
      </c>
      <c r="B19" t="inlineStr">
        <is>
          <t>EUR</t>
        </is>
      </c>
      <c r="C19" t="inlineStr">
        <is>
          <t>265771593142</t>
        </is>
      </c>
      <c r="D19" t="inlineStr">
        <is>
          <t>226259</t>
        </is>
      </c>
      <c r="E19" t="inlineStr">
        <is>
          <t>Nostro EUR 32</t>
        </is>
      </c>
      <c r="F19" s="6" t="n">
        <v>46251</v>
      </c>
      <c r="G19" s="7" t="n">
        <v>43756931.565</v>
      </c>
      <c r="H19" s="7" t="n">
        <v>16489253.718</v>
      </c>
      <c r="I19" s="7" t="n">
        <v>-4410387.862</v>
      </c>
      <c r="J19" s="7" t="n">
        <v>55835797.421</v>
      </c>
      <c r="K19" s="7" t="n">
        <v>12078865.856</v>
      </c>
      <c r="L19" s="8" t="n">
        <v>46251.53512731481</v>
      </c>
      <c r="M19" s="7" t="n">
        <v>55835797.421</v>
      </c>
      <c r="N19" s="7" t="n">
        <v>0</v>
      </c>
      <c r="O19" t="inlineStr">
        <is>
          <t>✓</t>
        </is>
      </c>
      <c r="P19" s="7" t="n">
        <v>37543447.283</v>
      </c>
      <c r="Q19" s="7" t="n">
        <v>14147779.69</v>
      </c>
      <c r="R19" s="7" t="n">
        <v>-3784112.786</v>
      </c>
      <c r="S19" s="7" t="n">
        <v>47907114.187</v>
      </c>
      <c r="T19" s="7" t="n">
        <v>10363666.904</v>
      </c>
    </row>
    <row r="20">
      <c r="A20" t="inlineStr">
        <is>
          <t>Granite Group plc</t>
        </is>
      </c>
      <c r="B20" t="inlineStr">
        <is>
          <t>EUR</t>
        </is>
      </c>
      <c r="C20" t="inlineStr">
        <is>
          <t>359365220160</t>
        </is>
      </c>
      <c r="D20" t="inlineStr">
        <is>
          <t>943792</t>
        </is>
      </c>
      <c r="E20" t="inlineStr">
        <is>
          <t>Operating EUR 09</t>
        </is>
      </c>
      <c r="F20" s="6" t="n">
        <v>46251</v>
      </c>
      <c r="G20" s="7" t="n">
        <v>344877.42</v>
      </c>
      <c r="H20" s="7" t="n">
        <v>32408.472</v>
      </c>
      <c r="I20" s="7" t="n">
        <v>-220645.763</v>
      </c>
      <c r="J20" s="7" t="n">
        <v>156640.129</v>
      </c>
      <c r="K20" s="7" t="n">
        <v>-188237.291</v>
      </c>
      <c r="L20" s="8" t="n">
        <v>46251.44100694444</v>
      </c>
      <c r="M20" s="7" t="n">
        <v>156640.129</v>
      </c>
      <c r="N20" s="7" t="n">
        <v>0</v>
      </c>
      <c r="O20" t="inlineStr">
        <is>
          <t>✓</t>
        </is>
      </c>
      <c r="P20" s="7" t="n">
        <v>295904.826</v>
      </c>
      <c r="Q20" s="7" t="n">
        <v>27806.469</v>
      </c>
      <c r="R20" s="7" t="n">
        <v>-189314.065</v>
      </c>
      <c r="S20" s="7" t="n">
        <v>134397.231</v>
      </c>
      <c r="T20" s="7" t="n">
        <v>-161507.596</v>
      </c>
    </row>
    <row r="21">
      <c r="A21" t="inlineStr">
        <is>
          <t>Granite Group plc</t>
        </is>
      </c>
      <c r="B21" t="inlineStr">
        <is>
          <t>MXN</t>
        </is>
      </c>
      <c r="C21" t="inlineStr">
        <is>
          <t>284925023085</t>
        </is>
      </c>
      <c r="D21" t="inlineStr">
        <is>
          <t>809084</t>
        </is>
      </c>
      <c r="E21" t="inlineStr">
        <is>
          <t>Reserve MXN 03</t>
        </is>
      </c>
      <c r="F21" s="6" t="n">
        <v>46251</v>
      </c>
      <c r="G21" s="7" t="n">
        <v>221016873.029</v>
      </c>
      <c r="H21" s="7" t="n">
        <v>16334644.843</v>
      </c>
      <c r="I21" s="7" t="n">
        <v>-47771618.838</v>
      </c>
      <c r="J21" s="7" t="n">
        <v>189579899.034</v>
      </c>
      <c r="K21" s="7" t="n">
        <v>-31436973.995</v>
      </c>
      <c r="L21" s="8" t="n">
        <v>46251.39342592593</v>
      </c>
      <c r="M21" s="7" t="n">
        <v>189579899.034</v>
      </c>
      <c r="N21" s="7" t="n">
        <v>0</v>
      </c>
      <c r="O21" t="inlineStr">
        <is>
          <t>✓</t>
        </is>
      </c>
      <c r="P21" s="7" t="n">
        <v>9459522.165999999</v>
      </c>
      <c r="Q21" s="7" t="n">
        <v>699122.799</v>
      </c>
      <c r="R21" s="7" t="n">
        <v>-2044625.286</v>
      </c>
      <c r="S21" s="7" t="n">
        <v>8114019.679</v>
      </c>
      <c r="T21" s="7" t="n">
        <v>-1345502.487</v>
      </c>
    </row>
    <row r="22">
      <c r="A22" t="inlineStr">
        <is>
          <t>Thornbury Group Ltd</t>
        </is>
      </c>
      <c r="B22" t="inlineStr">
        <is>
          <t>USD</t>
        </is>
      </c>
      <c r="C22" t="inlineStr">
        <is>
          <t>120047354818</t>
        </is>
      </c>
      <c r="D22" t="inlineStr">
        <is>
          <t>429444</t>
        </is>
      </c>
      <c r="E22" t="inlineStr">
        <is>
          <t>Settlement USD 29</t>
        </is>
      </c>
      <c r="F22" s="6" t="n">
        <v>46251</v>
      </c>
      <c r="G22" s="7" t="n">
        <v>465553.972</v>
      </c>
      <c r="H22" s="7" t="n">
        <v>0</v>
      </c>
      <c r="I22" s="7" t="n">
        <v>0</v>
      </c>
      <c r="J22" s="7" t="n">
        <v>465553.972</v>
      </c>
      <c r="K22" s="7" t="n">
        <v>0</v>
      </c>
      <c r="L22" s="8" t="n"/>
      <c r="M22" s="7" t="n">
        <v>465553.972</v>
      </c>
      <c r="N22" s="7" t="n">
        <v>0</v>
      </c>
      <c r="O22" t="inlineStr">
        <is>
          <t>✓</t>
        </is>
      </c>
      <c r="P22" s="7" t="n">
        <v>364994.314</v>
      </c>
      <c r="Q22" s="7" t="n">
        <v>0</v>
      </c>
      <c r="R22" s="7" t="n">
        <v>0</v>
      </c>
      <c r="S22" s="7" t="n">
        <v>364994.314</v>
      </c>
      <c r="T22" s="7" t="n">
        <v>0</v>
      </c>
    </row>
    <row r="23">
      <c r="A23" t="inlineStr">
        <is>
          <t>Oriel Group N.A.</t>
        </is>
      </c>
      <c r="B23" t="inlineStr">
        <is>
          <t>EUR</t>
        </is>
      </c>
      <c r="C23" t="inlineStr">
        <is>
          <t>824840705580</t>
        </is>
      </c>
      <c r="D23" t="inlineStr">
        <is>
          <t>132356</t>
        </is>
      </c>
      <c r="E23" t="inlineStr">
        <is>
          <t>Nostro EUR 57</t>
        </is>
      </c>
      <c r="F23" s="6" t="n">
        <v>46251</v>
      </c>
      <c r="G23" s="7" t="n">
        <v>51276.044</v>
      </c>
      <c r="H23" s="7" t="n">
        <v>6161.356</v>
      </c>
      <c r="I23" s="7" t="n">
        <v>-29214.217</v>
      </c>
      <c r="J23" s="7" t="n">
        <v>28223.183</v>
      </c>
      <c r="K23" s="7" t="n">
        <v>-23052.861</v>
      </c>
      <c r="L23" s="8" t="n">
        <v>46251.48304398148</v>
      </c>
      <c r="M23" s="7" t="n">
        <v>28223.183</v>
      </c>
      <c r="N23" s="7" t="n">
        <v>0</v>
      </c>
      <c r="O23" t="inlineStr">
        <is>
          <t>✓</t>
        </is>
      </c>
      <c r="P23" s="7" t="n">
        <v>43994.846</v>
      </c>
      <c r="Q23" s="7" t="n">
        <v>5286.443</v>
      </c>
      <c r="R23" s="7" t="n">
        <v>-25065.798</v>
      </c>
      <c r="S23" s="7" t="n">
        <v>24215.491</v>
      </c>
      <c r="T23" s="7" t="n">
        <v>-19779.355</v>
      </c>
    </row>
    <row r="24">
      <c r="A24" t="inlineStr">
        <is>
          <t>Granite Group plc</t>
        </is>
      </c>
      <c r="B24" t="inlineStr">
        <is>
          <t>PLN</t>
        </is>
      </c>
      <c r="C24" t="inlineStr">
        <is>
          <t>621381112674</t>
        </is>
      </c>
      <c r="D24" t="inlineStr">
        <is>
          <t>945451</t>
        </is>
      </c>
      <c r="E24" t="inlineStr">
        <is>
          <t>Client Money PLN 18</t>
        </is>
      </c>
      <c r="F24" s="6" t="n">
        <v>46251</v>
      </c>
      <c r="G24" s="7" t="n">
        <v>1660666.35</v>
      </c>
      <c r="H24" s="7" t="n">
        <v>0</v>
      </c>
      <c r="I24" s="7" t="n">
        <v>0</v>
      </c>
      <c r="J24" s="7" t="n">
        <v>1660666.35</v>
      </c>
      <c r="K24" s="7" t="n">
        <v>0</v>
      </c>
      <c r="L24" s="8" t="n"/>
      <c r="M24" s="7" t="n">
        <v>1660666.35</v>
      </c>
      <c r="N24" s="7" t="n">
        <v>0</v>
      </c>
      <c r="O24" t="inlineStr">
        <is>
          <t>✓</t>
        </is>
      </c>
      <c r="P24" s="7" t="n">
        <v>328811.937</v>
      </c>
      <c r="Q24" s="7" t="n">
        <v>0</v>
      </c>
      <c r="R24" s="7" t="n">
        <v>0</v>
      </c>
      <c r="S24" s="7" t="n">
        <v>328811.937</v>
      </c>
      <c r="T24" s="7" t="n">
        <v>0</v>
      </c>
    </row>
    <row r="25">
      <c r="A25" t="inlineStr">
        <is>
          <t>Granite Group Ltd</t>
        </is>
      </c>
      <c r="B25" t="inlineStr">
        <is>
          <t>EUR</t>
        </is>
      </c>
      <c r="C25" t="inlineStr">
        <is>
          <t>726928343448</t>
        </is>
      </c>
      <c r="D25" t="inlineStr">
        <is>
          <t>898546</t>
        </is>
      </c>
      <c r="E25" t="inlineStr">
        <is>
          <t>Collateral EUR 44</t>
        </is>
      </c>
      <c r="F25" s="6" t="n">
        <v>46251</v>
      </c>
      <c r="G25" s="7" t="n">
        <v>45837.161</v>
      </c>
      <c r="H25" s="7" t="n">
        <v>0</v>
      </c>
      <c r="I25" s="7" t="n">
        <v>0</v>
      </c>
      <c r="J25" s="7" t="n">
        <v>45837.161</v>
      </c>
      <c r="K25" s="7" t="n">
        <v>0</v>
      </c>
      <c r="L25" s="8" t="n"/>
      <c r="M25" s="7" t="n">
        <v>45837.161</v>
      </c>
      <c r="N25" s="7" t="n">
        <v>0</v>
      </c>
      <c r="O25" t="inlineStr">
        <is>
          <t>✓</t>
        </is>
      </c>
      <c r="P25" s="7" t="n">
        <v>39328.284</v>
      </c>
      <c r="Q25" s="7" t="n">
        <v>0</v>
      </c>
      <c r="R25" s="7" t="n">
        <v>0</v>
      </c>
      <c r="S25" s="7" t="n">
        <v>39328.284</v>
      </c>
      <c r="T25" s="7" t="n">
        <v>0</v>
      </c>
    </row>
    <row r="26">
      <c r="A26" t="inlineStr">
        <is>
          <t>Granite Group Ltd</t>
        </is>
      </c>
      <c r="B26" t="inlineStr">
        <is>
          <t>EUR</t>
        </is>
      </c>
      <c r="C26" t="inlineStr">
        <is>
          <t>113829985108</t>
        </is>
      </c>
      <c r="D26" t="inlineStr">
        <is>
          <t>303423</t>
        </is>
      </c>
      <c r="E26" t="inlineStr">
        <is>
          <t>Reserve EUR 51</t>
        </is>
      </c>
      <c r="F26" s="6" t="n">
        <v>46251</v>
      </c>
      <c r="G26" s="7" t="n">
        <v>140429.703</v>
      </c>
      <c r="H26" s="7" t="n">
        <v>0</v>
      </c>
      <c r="I26" s="7" t="n">
        <v>0</v>
      </c>
      <c r="J26" s="7" t="n">
        <v>140429.703</v>
      </c>
      <c r="K26" s="7" t="n">
        <v>0</v>
      </c>
      <c r="L26" s="8" t="n"/>
      <c r="M26" s="7" t="n">
        <v>140429.703</v>
      </c>
      <c r="N26" s="7" t="n">
        <v>0</v>
      </c>
      <c r="O26" t="inlineStr">
        <is>
          <t>✓</t>
        </is>
      </c>
      <c r="P26" s="7" t="n">
        <v>120488.685</v>
      </c>
      <c r="Q26" s="7" t="n">
        <v>0</v>
      </c>
      <c r="R26" s="7" t="n">
        <v>0</v>
      </c>
      <c r="S26" s="7" t="n">
        <v>120488.685</v>
      </c>
      <c r="T26" s="7" t="n">
        <v>0</v>
      </c>
    </row>
    <row r="27">
      <c r="A27" t="inlineStr">
        <is>
          <t>Oriel Group N.A.</t>
        </is>
      </c>
      <c r="B27" t="inlineStr">
        <is>
          <t>GBP</t>
        </is>
      </c>
      <c r="C27" t="inlineStr">
        <is>
          <t>150316825069</t>
        </is>
      </c>
      <c r="D27" t="inlineStr">
        <is>
          <t>933672</t>
        </is>
      </c>
      <c r="E27" t="inlineStr">
        <is>
          <t>Liquidity GBP 13</t>
        </is>
      </c>
      <c r="F27" s="6" t="n">
        <v>46252</v>
      </c>
      <c r="G27" s="7" t="n">
        <v>21056673.166</v>
      </c>
      <c r="H27" s="7" t="n">
        <v>2868164.345</v>
      </c>
      <c r="I27" s="7" t="n">
        <v>-7237958.738</v>
      </c>
      <c r="J27" s="7" t="n">
        <v>16686878.773</v>
      </c>
      <c r="K27" s="7" t="n">
        <v>-4369794.393</v>
      </c>
      <c r="L27" s="8" t="n">
        <v>46252.46453703703</v>
      </c>
      <c r="M27" s="7" t="n">
        <v>16686878.773</v>
      </c>
      <c r="N27" s="7" t="n">
        <v>0</v>
      </c>
      <c r="O27" t="inlineStr">
        <is>
          <t>✓</t>
        </is>
      </c>
      <c r="P27" s="7" t="n">
        <v>21056673.166</v>
      </c>
      <c r="Q27" s="7" t="n">
        <v>2868164.345</v>
      </c>
      <c r="R27" s="7" t="n">
        <v>-7237958.738</v>
      </c>
      <c r="S27" s="7" t="n">
        <v>16686878.773</v>
      </c>
      <c r="T27" s="7" t="n">
        <v>-4369794.393</v>
      </c>
    </row>
    <row r="28">
      <c r="A28" t="inlineStr">
        <is>
          <t>Juniper Group AG</t>
        </is>
      </c>
      <c r="B28" t="inlineStr">
        <is>
          <t>AED</t>
        </is>
      </c>
      <c r="C28" t="inlineStr">
        <is>
          <t>794226063698</t>
        </is>
      </c>
      <c r="D28" t="inlineStr">
        <is>
          <t>158848</t>
        </is>
      </c>
      <c r="E28" t="inlineStr">
        <is>
          <t>Reserve AED 56</t>
        </is>
      </c>
      <c r="F28" s="6" t="n">
        <v>46252</v>
      </c>
      <c r="G28" s="7" t="n">
        <v>842264.727</v>
      </c>
      <c r="H28" s="7" t="n">
        <v>48766.814</v>
      </c>
      <c r="I28" s="7" t="n">
        <v>-426795.176</v>
      </c>
      <c r="J28" s="7" t="n">
        <v>464236.365</v>
      </c>
      <c r="K28" s="7" t="n">
        <v>-378028.362</v>
      </c>
      <c r="L28" s="8" t="n">
        <v>46252.41356481481</v>
      </c>
      <c r="M28" s="7" t="n">
        <v>464236.365</v>
      </c>
      <c r="N28" s="7" t="n">
        <v>0</v>
      </c>
      <c r="O28" t="inlineStr">
        <is>
          <t>✓</t>
        </is>
      </c>
      <c r="P28" s="7" t="n">
        <v>179402.387</v>
      </c>
      <c r="Q28" s="7" t="n">
        <v>10387.331</v>
      </c>
      <c r="R28" s="7" t="n">
        <v>-90907.372</v>
      </c>
      <c r="S28" s="7" t="n">
        <v>98882.34600000001</v>
      </c>
      <c r="T28" s="7" t="n">
        <v>-80520.041</v>
      </c>
    </row>
    <row r="29">
      <c r="A29" t="inlineStr">
        <is>
          <t>Kestrel Group N.A.</t>
        </is>
      </c>
      <c r="B29" t="inlineStr">
        <is>
          <t>EUR</t>
        </is>
      </c>
      <c r="C29" t="inlineStr">
        <is>
          <t>468341071172</t>
        </is>
      </c>
      <c r="D29" t="inlineStr">
        <is>
          <t>284533</t>
        </is>
      </c>
      <c r="E29" t="inlineStr">
        <is>
          <t>Settlement EUR 54</t>
        </is>
      </c>
      <c r="F29" s="6" t="n">
        <v>46252</v>
      </c>
      <c r="G29" s="7" t="n">
        <v>88978.579</v>
      </c>
      <c r="H29" s="7" t="n">
        <v>61725.391</v>
      </c>
      <c r="I29" s="7" t="n">
        <v>-47181.281</v>
      </c>
      <c r="J29" s="7" t="n">
        <v>103522.689</v>
      </c>
      <c r="K29" s="7" t="n">
        <v>14544.11</v>
      </c>
      <c r="L29" s="8" t="n">
        <v>46252.32297453703</v>
      </c>
      <c r="M29" s="7" t="n">
        <v>103522.689</v>
      </c>
      <c r="N29" s="7" t="n">
        <v>0</v>
      </c>
      <c r="O29" t="inlineStr">
        <is>
          <t>✓</t>
        </is>
      </c>
      <c r="P29" s="7" t="n">
        <v>76343.621</v>
      </c>
      <c r="Q29" s="7" t="n">
        <v>52960.385</v>
      </c>
      <c r="R29" s="7" t="n">
        <v>-40481.539</v>
      </c>
      <c r="S29" s="7" t="n">
        <v>88822.467</v>
      </c>
      <c r="T29" s="7" t="n">
        <v>12478.846</v>
      </c>
    </row>
    <row r="30">
      <c r="A30" t="inlineStr">
        <is>
          <t>Alder Group plc</t>
        </is>
      </c>
      <c r="B30" t="inlineStr">
        <is>
          <t>USD</t>
        </is>
      </c>
      <c r="C30" t="inlineStr">
        <is>
          <t>499062838623</t>
        </is>
      </c>
      <c r="D30" t="inlineStr">
        <is>
          <t>725094</t>
        </is>
      </c>
      <c r="E30" t="inlineStr">
        <is>
          <t>Fees USD 08</t>
        </is>
      </c>
      <c r="F30" s="6" t="n">
        <v>46252</v>
      </c>
      <c r="G30" s="7" t="n">
        <v>16703258.567</v>
      </c>
      <c r="H30" s="7" t="n">
        <v>10071030.47</v>
      </c>
      <c r="I30" s="7" t="n">
        <v>-7669934.956</v>
      </c>
      <c r="J30" s="7" t="n">
        <v>19104354.081</v>
      </c>
      <c r="K30" s="7" t="n">
        <v>2401095.514</v>
      </c>
      <c r="L30" s="8" t="n">
        <v>46252.64905092592</v>
      </c>
      <c r="M30" s="7" t="n">
        <v>19104354.081</v>
      </c>
      <c r="N30" s="7" t="n">
        <v>0</v>
      </c>
      <c r="O30" t="inlineStr">
        <is>
          <t>✓</t>
        </is>
      </c>
      <c r="P30" s="7" t="n">
        <v>13095354.717</v>
      </c>
      <c r="Q30" s="7" t="n">
        <v>7895687.888</v>
      </c>
      <c r="R30" s="7" t="n">
        <v>-6013229.006</v>
      </c>
      <c r="S30" s="7" t="n">
        <v>14977813.6</v>
      </c>
      <c r="T30" s="7" t="n">
        <v>1882458.883</v>
      </c>
    </row>
    <row r="31">
      <c r="A31" t="inlineStr">
        <is>
          <t>Granite Group plc</t>
        </is>
      </c>
      <c r="B31" t="inlineStr">
        <is>
          <t>EUR</t>
        </is>
      </c>
      <c r="C31" t="inlineStr">
        <is>
          <t>968942362772</t>
        </is>
      </c>
      <c r="D31" t="inlineStr">
        <is>
          <t>185137</t>
        </is>
      </c>
      <c r="E31" t="inlineStr">
        <is>
          <t>Fees EUR 30</t>
        </is>
      </c>
      <c r="F31" s="6" t="n">
        <v>46252</v>
      </c>
      <c r="G31" s="7" t="n">
        <v>57583.503</v>
      </c>
      <c r="H31" s="7" t="n">
        <v>36538.768</v>
      </c>
      <c r="I31" s="7" t="n">
        <v>-9455.522999999999</v>
      </c>
      <c r="J31" s="7" t="n">
        <v>84666.74800000001</v>
      </c>
      <c r="K31" s="7" t="n">
        <v>27083.245</v>
      </c>
      <c r="L31" s="8" t="n">
        <v>46252.41079861111</v>
      </c>
      <c r="M31" s="7" t="n">
        <v>84666.74800000001</v>
      </c>
      <c r="N31" s="7" t="n">
        <v>0</v>
      </c>
      <c r="O31" t="inlineStr">
        <is>
          <t>✓</t>
        </is>
      </c>
      <c r="P31" s="7" t="n">
        <v>49406.646</v>
      </c>
      <c r="Q31" s="7" t="n">
        <v>31350.263</v>
      </c>
      <c r="R31" s="7" t="n">
        <v>-8112.839</v>
      </c>
      <c r="S31" s="7" t="n">
        <v>72644.07000000001</v>
      </c>
      <c r="T31" s="7" t="n">
        <v>23237.424</v>
      </c>
    </row>
    <row r="32">
      <c r="A32" t="inlineStr">
        <is>
          <t>Juniper Group AG</t>
        </is>
      </c>
      <c r="B32" t="inlineStr">
        <is>
          <t>CHF</t>
        </is>
      </c>
      <c r="C32" t="inlineStr">
        <is>
          <t>910703979141</t>
        </is>
      </c>
      <c r="D32" t="inlineStr">
        <is>
          <t>447330</t>
        </is>
      </c>
      <c r="E32" t="inlineStr">
        <is>
          <t>Nostro CHF 37</t>
        </is>
      </c>
      <c r="F32" s="6" t="n">
        <v>46252</v>
      </c>
      <c r="G32" s="7" t="n">
        <v>127700.179</v>
      </c>
      <c r="H32" s="7" t="n">
        <v>67395.416</v>
      </c>
      <c r="I32" s="7" t="n">
        <v>-69739.961</v>
      </c>
      <c r="J32" s="7" t="n">
        <v>125355.634</v>
      </c>
      <c r="K32" s="7" t="n">
        <v>-2344.545</v>
      </c>
      <c r="L32" s="8" t="n">
        <v>46252.46042824074</v>
      </c>
      <c r="M32" s="7" t="n">
        <v>125355.634</v>
      </c>
      <c r="N32" s="7" t="n">
        <v>0</v>
      </c>
      <c r="O32" t="inlineStr">
        <is>
          <t>✓</t>
        </is>
      </c>
      <c r="P32" s="7" t="n">
        <v>114547.061</v>
      </c>
      <c r="Q32" s="7" t="n">
        <v>60453.688</v>
      </c>
      <c r="R32" s="7" t="n">
        <v>-62556.745</v>
      </c>
      <c r="S32" s="7" t="n">
        <v>112444.004</v>
      </c>
      <c r="T32" s="7" t="n">
        <v>-2103.057</v>
      </c>
    </row>
    <row r="33">
      <c r="A33" t="inlineStr">
        <is>
          <t>Juniper Group AG</t>
        </is>
      </c>
      <c r="B33" t="inlineStr">
        <is>
          <t>GBP</t>
        </is>
      </c>
      <c r="C33" t="inlineStr">
        <is>
          <t>898317028833</t>
        </is>
      </c>
      <c r="D33" t="inlineStr">
        <is>
          <t>121545</t>
        </is>
      </c>
      <c r="E33" t="inlineStr">
        <is>
          <t>Settlement GBP 01</t>
        </is>
      </c>
      <c r="F33" s="6" t="n">
        <v>46252</v>
      </c>
      <c r="G33" s="7" t="n">
        <v>11307184.088</v>
      </c>
      <c r="H33" s="7" t="n">
        <v>3182113.039</v>
      </c>
      <c r="I33" s="7" t="n">
        <v>-2239982.329</v>
      </c>
      <c r="J33" s="7" t="n">
        <v>12249314.798</v>
      </c>
      <c r="K33" s="7" t="n">
        <v>942130.71</v>
      </c>
      <c r="L33" s="8" t="n">
        <v>46252.57078703704</v>
      </c>
      <c r="M33" s="7" t="n">
        <v>12249314.798</v>
      </c>
      <c r="N33" s="7" t="n">
        <v>0</v>
      </c>
      <c r="O33" t="inlineStr">
        <is>
          <t>✓</t>
        </is>
      </c>
      <c r="P33" s="7" t="n">
        <v>11307184.088</v>
      </c>
      <c r="Q33" s="7" t="n">
        <v>3182113.039</v>
      </c>
      <c r="R33" s="7" t="n">
        <v>-2239982.329</v>
      </c>
      <c r="S33" s="7" t="n">
        <v>12249314.798</v>
      </c>
      <c r="T33" s="7" t="n">
        <v>942130.71</v>
      </c>
    </row>
    <row r="34">
      <c r="A34" t="inlineStr">
        <is>
          <t>Granite Group N.A.</t>
        </is>
      </c>
      <c r="B34" t="inlineStr">
        <is>
          <t>SAR</t>
        </is>
      </c>
      <c r="C34" t="inlineStr">
        <is>
          <t>700726936098</t>
        </is>
      </c>
      <c r="D34" t="inlineStr">
        <is>
          <t>554718</t>
        </is>
      </c>
      <c r="E34" t="inlineStr">
        <is>
          <t>Collateral SAR 53</t>
        </is>
      </c>
      <c r="F34" s="6" t="n">
        <v>46252</v>
      </c>
      <c r="G34" s="7" t="n">
        <v>197097.106</v>
      </c>
      <c r="H34" s="7" t="n">
        <v>41764.398</v>
      </c>
      <c r="I34" s="7" t="n">
        <v>-66464.933</v>
      </c>
      <c r="J34" s="7" t="n">
        <v>172396.571</v>
      </c>
      <c r="K34" s="7" t="n">
        <v>-24700.535</v>
      </c>
      <c r="L34" s="8" t="n">
        <v>46252.52194444444</v>
      </c>
      <c r="M34" s="7" t="n">
        <v>172396.571</v>
      </c>
      <c r="N34" s="7" t="n">
        <v>0</v>
      </c>
      <c r="O34" t="inlineStr">
        <is>
          <t>✓</t>
        </is>
      </c>
      <c r="P34" s="7" t="n">
        <v>41193.295</v>
      </c>
      <c r="Q34" s="7" t="n">
        <v>8728.759</v>
      </c>
      <c r="R34" s="7" t="n">
        <v>-13891.171</v>
      </c>
      <c r="S34" s="7" t="n">
        <v>36030.883</v>
      </c>
      <c r="T34" s="7" t="n">
        <v>-5162.412</v>
      </c>
    </row>
    <row r="35">
      <c r="A35" t="inlineStr">
        <is>
          <t>Juniper Group N.A.</t>
        </is>
      </c>
      <c r="B35" t="inlineStr">
        <is>
          <t>CZK</t>
        </is>
      </c>
      <c r="C35" t="inlineStr">
        <is>
          <t>132544340094</t>
        </is>
      </c>
      <c r="D35" t="inlineStr">
        <is>
          <t>802144</t>
        </is>
      </c>
      <c r="E35" t="inlineStr">
        <is>
          <t>Operating CZK 39</t>
        </is>
      </c>
      <c r="F35" s="6" t="n">
        <v>46252</v>
      </c>
      <c r="G35" s="7" t="n">
        <v>146772885.437</v>
      </c>
      <c r="H35" s="7" t="n">
        <v>0</v>
      </c>
      <c r="I35" s="7" t="n">
        <v>0</v>
      </c>
      <c r="J35" s="7" t="n">
        <v>146772885.437</v>
      </c>
      <c r="K35" s="7" t="n">
        <v>0</v>
      </c>
      <c r="L35" s="8" t="n"/>
      <c r="M35" s="7" t="n">
        <v>146772885.437</v>
      </c>
      <c r="N35" s="7" t="n">
        <v>0</v>
      </c>
      <c r="O35" t="inlineStr">
        <is>
          <t>✓</t>
        </is>
      </c>
      <c r="P35" s="7" t="n">
        <v>4975600.816</v>
      </c>
      <c r="Q35" s="7" t="n">
        <v>0</v>
      </c>
      <c r="R35" s="7" t="n">
        <v>0</v>
      </c>
      <c r="S35" s="7" t="n">
        <v>4975600.816</v>
      </c>
      <c r="T35" s="7" t="n">
        <v>0</v>
      </c>
    </row>
    <row r="36">
      <c r="A36" t="inlineStr">
        <is>
          <t>Oriel Group N.A.</t>
        </is>
      </c>
      <c r="B36" t="inlineStr">
        <is>
          <t>USD</t>
        </is>
      </c>
      <c r="C36" t="inlineStr">
        <is>
          <t>953625291146</t>
        </is>
      </c>
      <c r="D36" t="inlineStr">
        <is>
          <t>166476</t>
        </is>
      </c>
      <c r="E36" t="inlineStr">
        <is>
          <t>Reserve USD 26</t>
        </is>
      </c>
      <c r="F36" s="6" t="n">
        <v>46252</v>
      </c>
      <c r="G36" s="7" t="n">
        <v>10087914.245</v>
      </c>
      <c r="H36" s="7" t="n">
        <v>904302.639</v>
      </c>
      <c r="I36" s="7" t="n">
        <v>-5698767.732</v>
      </c>
      <c r="J36" s="7" t="n">
        <v>5293449.152</v>
      </c>
      <c r="K36" s="7" t="n">
        <v>-4794465.093</v>
      </c>
      <c r="L36" s="8" t="n">
        <v>46252.55629629629</v>
      </c>
      <c r="M36" s="7" t="n">
        <v>5293449.152</v>
      </c>
      <c r="N36" s="7" t="n">
        <v>0</v>
      </c>
      <c r="O36" t="inlineStr">
        <is>
          <t>✓</t>
        </is>
      </c>
      <c r="P36" s="7" t="n">
        <v>7908924.768</v>
      </c>
      <c r="Q36" s="7" t="n">
        <v>708973.269</v>
      </c>
      <c r="R36" s="7" t="n">
        <v>-4467833.902</v>
      </c>
      <c r="S36" s="7" t="n">
        <v>4150064.135</v>
      </c>
      <c r="T36" s="7" t="n">
        <v>-3758860.633</v>
      </c>
    </row>
    <row r="37">
      <c r="A37" t="inlineStr">
        <is>
          <t>Granite Group N.A.</t>
        </is>
      </c>
      <c r="B37" t="inlineStr">
        <is>
          <t>AUD</t>
        </is>
      </c>
      <c r="C37" t="inlineStr">
        <is>
          <t>171857983160</t>
        </is>
      </c>
      <c r="D37" t="inlineStr">
        <is>
          <t>142168</t>
        </is>
      </c>
      <c r="E37" t="inlineStr">
        <is>
          <t>Reserve AUD 24</t>
        </is>
      </c>
      <c r="F37" s="6" t="n">
        <v>46252</v>
      </c>
      <c r="G37" s="7" t="n">
        <v>185078890.545</v>
      </c>
      <c r="H37" s="7" t="n">
        <v>15237563.412</v>
      </c>
      <c r="I37" s="7" t="n">
        <v>-28651523.408</v>
      </c>
      <c r="J37" s="7" t="n">
        <v>171664930.549</v>
      </c>
      <c r="K37" s="7" t="n">
        <v>-13413959.996</v>
      </c>
      <c r="L37" s="8" t="n">
        <v>46252.60064814815</v>
      </c>
      <c r="M37" s="7" t="n">
        <v>171664930.549</v>
      </c>
      <c r="N37" s="7" t="n">
        <v>0</v>
      </c>
      <c r="O37" t="inlineStr">
        <is>
          <t>✓</t>
        </is>
      </c>
      <c r="P37" s="7" t="n">
        <v>94945470.84999999</v>
      </c>
      <c r="Q37" s="7" t="n">
        <v>7816870.03</v>
      </c>
      <c r="R37" s="7" t="n">
        <v>-14698231.508</v>
      </c>
      <c r="S37" s="7" t="n">
        <v>88064109.37199999</v>
      </c>
      <c r="T37" s="7" t="n">
        <v>-6881361.478</v>
      </c>
    </row>
    <row r="38">
      <c r="A38" t="inlineStr">
        <is>
          <t>Juniper Group N.A.</t>
        </is>
      </c>
      <c r="B38" t="inlineStr">
        <is>
          <t>CNY</t>
        </is>
      </c>
      <c r="C38" t="inlineStr">
        <is>
          <t>927538182434</t>
        </is>
      </c>
      <c r="D38" t="inlineStr">
        <is>
          <t>256479</t>
        </is>
      </c>
      <c r="E38" t="inlineStr">
        <is>
          <t>Reserve CNY 15</t>
        </is>
      </c>
      <c r="F38" s="6" t="n">
        <v>46252</v>
      </c>
      <c r="G38" s="7" t="n">
        <v>1291438.378</v>
      </c>
      <c r="H38" s="7" t="n">
        <v>0</v>
      </c>
      <c r="I38" s="7" t="n">
        <v>0</v>
      </c>
      <c r="J38" s="7" t="n">
        <v>1291438.378</v>
      </c>
      <c r="K38" s="7" t="n">
        <v>0</v>
      </c>
      <c r="L38" s="8" t="n"/>
      <c r="M38" s="7" t="n">
        <v>1291438.378</v>
      </c>
      <c r="N38" s="7" t="n">
        <v>0</v>
      </c>
      <c r="O38" t="inlineStr">
        <is>
          <t>✓</t>
        </is>
      </c>
      <c r="P38" s="7" t="n">
        <v>140766.783</v>
      </c>
      <c r="Q38" s="7" t="n">
        <v>0</v>
      </c>
      <c r="R38" s="7" t="n">
        <v>0</v>
      </c>
      <c r="S38" s="7" t="n">
        <v>140766.783</v>
      </c>
      <c r="T38" s="7" t="n">
        <v>0</v>
      </c>
    </row>
    <row r="39">
      <c r="A39" t="inlineStr">
        <is>
          <t>Granite Group plc</t>
        </is>
      </c>
      <c r="B39" t="inlineStr">
        <is>
          <t>EUR</t>
        </is>
      </c>
      <c r="C39" t="inlineStr">
        <is>
          <t>265771593142</t>
        </is>
      </c>
      <c r="D39" t="inlineStr">
        <is>
          <t>226259</t>
        </is>
      </c>
      <c r="E39" t="inlineStr">
        <is>
          <t>Nostro EUR 32</t>
        </is>
      </c>
      <c r="F39" s="6" t="n">
        <v>46252</v>
      </c>
      <c r="G39" s="7" t="n">
        <v>19160224.116</v>
      </c>
      <c r="H39" s="7" t="n">
        <v>7834377.323</v>
      </c>
      <c r="I39" s="7" t="n">
        <v>-2859943.216</v>
      </c>
      <c r="J39" s="7" t="n">
        <v>24134658.223</v>
      </c>
      <c r="K39" s="7" t="n">
        <v>4974434.107</v>
      </c>
      <c r="L39" s="8" t="n">
        <v>46252.65512731481</v>
      </c>
      <c r="M39" s="7" t="n">
        <v>24134658.223</v>
      </c>
      <c r="N39" s="7" t="n">
        <v>0</v>
      </c>
      <c r="O39" t="inlineStr">
        <is>
          <t>✓</t>
        </is>
      </c>
      <c r="P39" s="7" t="n">
        <v>16439472.292</v>
      </c>
      <c r="Q39" s="7" t="n">
        <v>6721895.743</v>
      </c>
      <c r="R39" s="7" t="n">
        <v>-2453831.279</v>
      </c>
      <c r="S39" s="7" t="n">
        <v>20707536.755</v>
      </c>
      <c r="T39" s="7" t="n">
        <v>4268064.464</v>
      </c>
    </row>
    <row r="40">
      <c r="A40" t="inlineStr">
        <is>
          <t>Granite Group plc</t>
        </is>
      </c>
      <c r="B40" t="inlineStr">
        <is>
          <t>EUR</t>
        </is>
      </c>
      <c r="C40" t="inlineStr">
        <is>
          <t>359365220160</t>
        </is>
      </c>
      <c r="D40" t="inlineStr">
        <is>
          <t>943792</t>
        </is>
      </c>
      <c r="E40" t="inlineStr">
        <is>
          <t>Operating EUR 09</t>
        </is>
      </c>
      <c r="F40" s="6" t="n">
        <v>46252</v>
      </c>
      <c r="G40" s="7" t="n">
        <v>167253.354</v>
      </c>
      <c r="H40" s="7" t="n">
        <v>35414.202</v>
      </c>
      <c r="I40" s="7" t="n">
        <v>-54834.526</v>
      </c>
      <c r="J40" s="7" t="n">
        <v>147833.03</v>
      </c>
      <c r="K40" s="7" t="n">
        <v>-19420.324</v>
      </c>
      <c r="L40" s="8" t="n">
        <v>46252.73456018518</v>
      </c>
      <c r="M40" s="7" t="n">
        <v>147833.03</v>
      </c>
      <c r="N40" s="7" t="n">
        <v>0</v>
      </c>
      <c r="O40" t="inlineStr">
        <is>
          <t>✓</t>
        </is>
      </c>
      <c r="P40" s="7" t="n">
        <v>143503.378</v>
      </c>
      <c r="Q40" s="7" t="n">
        <v>30385.385</v>
      </c>
      <c r="R40" s="7" t="n">
        <v>-47048.023</v>
      </c>
      <c r="S40" s="7" t="n">
        <v>126840.74</v>
      </c>
      <c r="T40" s="7" t="n">
        <v>-16662.638</v>
      </c>
    </row>
    <row r="41">
      <c r="A41" t="inlineStr">
        <is>
          <t>Granite Group plc</t>
        </is>
      </c>
      <c r="B41" t="inlineStr">
        <is>
          <t>MXN</t>
        </is>
      </c>
      <c r="C41" t="inlineStr">
        <is>
          <t>284925023085</t>
        </is>
      </c>
      <c r="D41" t="inlineStr">
        <is>
          <t>809084</t>
        </is>
      </c>
      <c r="E41" t="inlineStr">
        <is>
          <t>Reserve MXN 03</t>
        </is>
      </c>
      <c r="F41" s="6" t="n">
        <v>46252</v>
      </c>
      <c r="G41" s="7" t="n">
        <v>222475.594</v>
      </c>
      <c r="H41" s="7" t="n">
        <v>0</v>
      </c>
      <c r="I41" s="7" t="n">
        <v>0</v>
      </c>
      <c r="J41" s="7" t="n">
        <v>222475.594</v>
      </c>
      <c r="K41" s="7" t="n">
        <v>0</v>
      </c>
      <c r="L41" s="8" t="n"/>
      <c r="M41" s="7" t="n">
        <v>222475.594</v>
      </c>
      <c r="N41" s="7" t="n">
        <v>0</v>
      </c>
      <c r="O41" t="inlineStr">
        <is>
          <t>✓</t>
        </is>
      </c>
      <c r="P41" s="7" t="n">
        <v>9521.955</v>
      </c>
      <c r="Q41" s="7" t="n">
        <v>0</v>
      </c>
      <c r="R41" s="7" t="n">
        <v>0</v>
      </c>
      <c r="S41" s="7" t="n">
        <v>9521.955</v>
      </c>
      <c r="T41" s="7" t="n">
        <v>0</v>
      </c>
    </row>
    <row r="42">
      <c r="A42" t="inlineStr">
        <is>
          <t>Thornbury Group Ltd</t>
        </is>
      </c>
      <c r="B42" t="inlineStr">
        <is>
          <t>USD</t>
        </is>
      </c>
      <c r="C42" t="inlineStr">
        <is>
          <t>120047354818</t>
        </is>
      </c>
      <c r="D42" t="inlineStr">
        <is>
          <t>429444</t>
        </is>
      </c>
      <c r="E42" t="inlineStr">
        <is>
          <t>Settlement USD 29</t>
        </is>
      </c>
      <c r="F42" s="6" t="n">
        <v>46252</v>
      </c>
      <c r="G42" s="7" t="n">
        <v>997414.27</v>
      </c>
      <c r="H42" s="7" t="n">
        <v>0</v>
      </c>
      <c r="I42" s="7" t="n">
        <v>0</v>
      </c>
      <c r="J42" s="7" t="n">
        <v>997414.27</v>
      </c>
      <c r="K42" s="7" t="n">
        <v>0</v>
      </c>
      <c r="L42" s="8" t="n"/>
      <c r="M42" s="7" t="n">
        <v>997414.27</v>
      </c>
      <c r="N42" s="7" t="n">
        <v>0</v>
      </c>
      <c r="O42" t="inlineStr">
        <is>
          <t>✓</t>
        </is>
      </c>
      <c r="P42" s="7" t="n">
        <v>781972.7879999999</v>
      </c>
      <c r="Q42" s="7" t="n">
        <v>0</v>
      </c>
      <c r="R42" s="7" t="n">
        <v>0</v>
      </c>
      <c r="S42" s="7" t="n">
        <v>781972.7879999999</v>
      </c>
      <c r="T42" s="7" t="n">
        <v>0</v>
      </c>
    </row>
    <row r="43">
      <c r="A43" t="inlineStr">
        <is>
          <t>Oriel Group N.A.</t>
        </is>
      </c>
      <c r="B43" t="inlineStr">
        <is>
          <t>EUR</t>
        </is>
      </c>
      <c r="C43" t="inlineStr">
        <is>
          <t>824840705580</t>
        </is>
      </c>
      <c r="D43" t="inlineStr">
        <is>
          <t>132356</t>
        </is>
      </c>
      <c r="E43" t="inlineStr">
        <is>
          <t>Nostro EUR 57</t>
        </is>
      </c>
      <c r="F43" s="6" t="n">
        <v>46252</v>
      </c>
      <c r="G43" s="7" t="n">
        <v>1207735.643</v>
      </c>
      <c r="H43" s="7" t="n">
        <v>65807.13099999999</v>
      </c>
      <c r="I43" s="7" t="n">
        <v>-345065.224</v>
      </c>
      <c r="J43" s="7" t="n">
        <v>928477.55</v>
      </c>
      <c r="K43" s="7" t="n">
        <v>-279258.093</v>
      </c>
      <c r="L43" s="8" t="n">
        <v>46252.63896990741</v>
      </c>
      <c r="M43" s="7" t="n">
        <v>928477.55</v>
      </c>
      <c r="N43" s="7" t="n">
        <v>0</v>
      </c>
      <c r="O43" t="inlineStr">
        <is>
          <t>✓</t>
        </is>
      </c>
      <c r="P43" s="7" t="n">
        <v>1036237.182</v>
      </c>
      <c r="Q43" s="7" t="n">
        <v>56462.518</v>
      </c>
      <c r="R43" s="7" t="n">
        <v>-296065.962</v>
      </c>
      <c r="S43" s="7" t="n">
        <v>796633.738</v>
      </c>
      <c r="T43" s="7" t="n">
        <v>-239603.444</v>
      </c>
    </row>
    <row r="44">
      <c r="A44" t="inlineStr">
        <is>
          <t>Granite Group plc</t>
        </is>
      </c>
      <c r="B44" t="inlineStr">
        <is>
          <t>PLN</t>
        </is>
      </c>
      <c r="C44" t="inlineStr">
        <is>
          <t>621381112674</t>
        </is>
      </c>
      <c r="D44" t="inlineStr">
        <is>
          <t>945451</t>
        </is>
      </c>
      <c r="E44" t="inlineStr">
        <is>
          <t>Client Money PLN 18</t>
        </is>
      </c>
      <c r="F44" s="6" t="n">
        <v>46252</v>
      </c>
      <c r="G44" s="7" t="n">
        <v>5525013.177</v>
      </c>
      <c r="H44" s="7" t="n">
        <v>429707.919</v>
      </c>
      <c r="I44" s="7" t="n">
        <v>-2195511.925</v>
      </c>
      <c r="J44" s="7" t="n">
        <v>3759209.171</v>
      </c>
      <c r="K44" s="7" t="n">
        <v>-1765804.006</v>
      </c>
      <c r="L44" s="8" t="n">
        <v>46252.65204861111</v>
      </c>
      <c r="M44" s="7" t="n">
        <v>3759209.171</v>
      </c>
      <c r="N44" s="7" t="n">
        <v>0</v>
      </c>
      <c r="O44" t="inlineStr">
        <is>
          <t>✓</t>
        </is>
      </c>
      <c r="P44" s="7" t="n">
        <v>1093952.609</v>
      </c>
      <c r="Q44" s="7" t="n">
        <v>85082.16800000001</v>
      </c>
      <c r="R44" s="7" t="n">
        <v>-434711.361</v>
      </c>
      <c r="S44" s="7" t="n">
        <v>744323.416</v>
      </c>
      <c r="T44" s="7" t="n">
        <v>-349629.193</v>
      </c>
    </row>
    <row r="45">
      <c r="A45" t="inlineStr">
        <is>
          <t>Granite Group Ltd</t>
        </is>
      </c>
      <c r="B45" t="inlineStr">
        <is>
          <t>EUR</t>
        </is>
      </c>
      <c r="C45" t="inlineStr">
        <is>
          <t>726928343448</t>
        </is>
      </c>
      <c r="D45" t="inlineStr">
        <is>
          <t>898546</t>
        </is>
      </c>
      <c r="E45" t="inlineStr">
        <is>
          <t>Collateral EUR 44</t>
        </is>
      </c>
      <c r="F45" s="6" t="n">
        <v>46252</v>
      </c>
      <c r="G45" s="7" t="n">
        <v>96909.88</v>
      </c>
      <c r="H45" s="7" t="n">
        <v>30332.292</v>
      </c>
      <c r="I45" s="7" t="n">
        <v>-46536.099</v>
      </c>
      <c r="J45" s="7" t="n">
        <v>80706.073</v>
      </c>
      <c r="K45" s="7" t="n">
        <v>-16203.807</v>
      </c>
      <c r="L45" s="8" t="n">
        <v>46252.42024305555</v>
      </c>
      <c r="M45" s="7" t="n">
        <v>80706.073</v>
      </c>
      <c r="N45" s="7" t="n">
        <v>0</v>
      </c>
      <c r="O45" t="inlineStr">
        <is>
          <t>✓</t>
        </is>
      </c>
      <c r="P45" s="7" t="n">
        <v>83148.677</v>
      </c>
      <c r="Q45" s="7" t="n">
        <v>26025.107</v>
      </c>
      <c r="R45" s="7" t="n">
        <v>-39927.973</v>
      </c>
      <c r="S45" s="7" t="n">
        <v>69245.811</v>
      </c>
      <c r="T45" s="7" t="n">
        <v>-13902.866</v>
      </c>
    </row>
    <row r="46">
      <c r="A46" t="inlineStr">
        <is>
          <t>Granite Group Ltd</t>
        </is>
      </c>
      <c r="B46" t="inlineStr">
        <is>
          <t>EUR</t>
        </is>
      </c>
      <c r="C46" t="inlineStr">
        <is>
          <t>113829985108</t>
        </is>
      </c>
      <c r="D46" t="inlineStr">
        <is>
          <t>303423</t>
        </is>
      </c>
      <c r="E46" t="inlineStr">
        <is>
          <t>Reserve EUR 51</t>
        </is>
      </c>
      <c r="F46" s="6" t="n">
        <v>46252</v>
      </c>
      <c r="G46" s="7" t="n">
        <v>907287.137</v>
      </c>
      <c r="H46" s="7" t="n">
        <v>281031.667</v>
      </c>
      <c r="I46" s="7" t="n">
        <v>-471730.534</v>
      </c>
      <c r="J46" s="7" t="n">
        <v>716588.27</v>
      </c>
      <c r="K46" s="7" t="n">
        <v>-190698.867</v>
      </c>
      <c r="L46" s="8" t="n">
        <v>46252.76005787037</v>
      </c>
      <c r="M46" s="7" t="n">
        <v>716588.27</v>
      </c>
      <c r="N46" s="7" t="n">
        <v>0</v>
      </c>
      <c r="O46" t="inlineStr">
        <is>
          <t>✓</t>
        </is>
      </c>
      <c r="P46" s="7" t="n">
        <v>778452.3639999999</v>
      </c>
      <c r="Q46" s="7" t="n">
        <v>241125.17</v>
      </c>
      <c r="R46" s="7" t="n">
        <v>-404744.798</v>
      </c>
      <c r="S46" s="7" t="n">
        <v>614832.736</v>
      </c>
      <c r="T46" s="7" t="n">
        <v>-163619.628</v>
      </c>
    </row>
    <row r="47">
      <c r="A47" t="inlineStr">
        <is>
          <t>Oriel Group N.A.</t>
        </is>
      </c>
      <c r="B47" t="inlineStr">
        <is>
          <t>GBP</t>
        </is>
      </c>
      <c r="C47" t="inlineStr">
        <is>
          <t>150316825069</t>
        </is>
      </c>
      <c r="D47" t="inlineStr">
        <is>
          <t>933672</t>
        </is>
      </c>
      <c r="E47" t="inlineStr">
        <is>
          <t>Liquidity GBP 13</t>
        </is>
      </c>
      <c r="F47" s="6" t="n">
        <v>46253</v>
      </c>
      <c r="G47" s="7" t="n">
        <v>71244425.433</v>
      </c>
      <c r="H47" s="7" t="n">
        <v>50915911.701</v>
      </c>
      <c r="I47" s="7" t="n">
        <v>-12677453.142</v>
      </c>
      <c r="J47" s="7" t="n">
        <v>109482883.992</v>
      </c>
      <c r="K47" s="7" t="n">
        <v>38238458.559</v>
      </c>
      <c r="L47" s="8" t="n">
        <v>46253.4409375</v>
      </c>
      <c r="M47" s="7" t="n">
        <v>108928372.258</v>
      </c>
      <c r="N47" s="7" t="n">
        <v>554511.7340000001</v>
      </c>
      <c r="O47" t="inlineStr">
        <is>
          <t>✕</t>
        </is>
      </c>
      <c r="P47" s="7" t="n">
        <v>71244425.433</v>
      </c>
      <c r="Q47" s="7" t="n">
        <v>50915911.701</v>
      </c>
      <c r="R47" s="7" t="n">
        <v>-12677453.142</v>
      </c>
      <c r="S47" s="7" t="n">
        <v>109482883.992</v>
      </c>
      <c r="T47" s="7" t="n">
        <v>38238458.559</v>
      </c>
    </row>
    <row r="48">
      <c r="A48" t="inlineStr">
        <is>
          <t>Juniper Group AG</t>
        </is>
      </c>
      <c r="B48" t="inlineStr">
        <is>
          <t>AED</t>
        </is>
      </c>
      <c r="C48" t="inlineStr">
        <is>
          <t>794226063698</t>
        </is>
      </c>
      <c r="D48" t="inlineStr">
        <is>
          <t>158848</t>
        </is>
      </c>
      <c r="E48" t="inlineStr">
        <is>
          <t>Reserve AED 56</t>
        </is>
      </c>
      <c r="F48" s="6" t="n">
        <v>46253</v>
      </c>
      <c r="G48" s="7" t="n">
        <v>363080093.144</v>
      </c>
      <c r="H48" s="7" t="n">
        <v>0</v>
      </c>
      <c r="I48" s="7" t="n">
        <v>0</v>
      </c>
      <c r="J48" s="7" t="n">
        <v>363080093.144</v>
      </c>
      <c r="K48" s="7" t="n">
        <v>0</v>
      </c>
      <c r="L48" s="8" t="n"/>
      <c r="M48" s="7" t="n">
        <v>363080093.144</v>
      </c>
      <c r="N48" s="7" t="n">
        <v>0</v>
      </c>
      <c r="O48" t="inlineStr">
        <is>
          <t>✓</t>
        </is>
      </c>
      <c r="P48" s="7" t="n">
        <v>77336059.84</v>
      </c>
      <c r="Q48" s="7" t="n">
        <v>0</v>
      </c>
      <c r="R48" s="7" t="n">
        <v>0</v>
      </c>
      <c r="S48" s="7" t="n">
        <v>77336059.84</v>
      </c>
      <c r="T48" s="7" t="n">
        <v>0</v>
      </c>
    </row>
    <row r="49">
      <c r="A49" t="inlineStr">
        <is>
          <t>Kestrel Group N.A.</t>
        </is>
      </c>
      <c r="B49" t="inlineStr">
        <is>
          <t>EUR</t>
        </is>
      </c>
      <c r="C49" t="inlineStr">
        <is>
          <t>468341071172</t>
        </is>
      </c>
      <c r="D49" t="inlineStr">
        <is>
          <t>284533</t>
        </is>
      </c>
      <c r="E49" t="inlineStr">
        <is>
          <t>Settlement EUR 54</t>
        </is>
      </c>
      <c r="F49" s="6" t="n">
        <v>46253</v>
      </c>
      <c r="G49" s="7" t="n">
        <v>58308013.721</v>
      </c>
      <c r="H49" s="7" t="n">
        <v>0</v>
      </c>
      <c r="I49" s="7" t="n">
        <v>0</v>
      </c>
      <c r="J49" s="7" t="n">
        <v>58308013.721</v>
      </c>
      <c r="K49" s="7" t="n">
        <v>0</v>
      </c>
      <c r="L49" s="8" t="n"/>
      <c r="M49" s="7" t="n">
        <v>58308013.721</v>
      </c>
      <c r="N49" s="7" t="n">
        <v>0</v>
      </c>
      <c r="O49" t="inlineStr">
        <is>
          <t>✓</t>
        </is>
      </c>
      <c r="P49" s="7" t="n">
        <v>50028275.773</v>
      </c>
      <c r="Q49" s="7" t="n">
        <v>0</v>
      </c>
      <c r="R49" s="7" t="n">
        <v>0</v>
      </c>
      <c r="S49" s="7" t="n">
        <v>50028275.773</v>
      </c>
      <c r="T49" s="7" t="n">
        <v>0</v>
      </c>
    </row>
    <row r="50">
      <c r="A50" t="inlineStr">
        <is>
          <t>Alder Group plc</t>
        </is>
      </c>
      <c r="B50" t="inlineStr">
        <is>
          <t>USD</t>
        </is>
      </c>
      <c r="C50" t="inlineStr">
        <is>
          <t>499062838623</t>
        </is>
      </c>
      <c r="D50" t="inlineStr">
        <is>
          <t>725094</t>
        </is>
      </c>
      <c r="E50" t="inlineStr">
        <is>
          <t>Fees USD 08</t>
        </is>
      </c>
      <c r="F50" s="6" t="n">
        <v>46253</v>
      </c>
      <c r="G50" s="7" t="n">
        <v>393634.174</v>
      </c>
      <c r="H50" s="7" t="n">
        <v>0</v>
      </c>
      <c r="I50" s="7" t="n">
        <v>0</v>
      </c>
      <c r="J50" s="7" t="n">
        <v>393634.174</v>
      </c>
      <c r="K50" s="7" t="n">
        <v>0</v>
      </c>
      <c r="L50" s="8" t="n"/>
      <c r="M50" s="7" t="n">
        <v>393634.174</v>
      </c>
      <c r="N50" s="7" t="n">
        <v>0</v>
      </c>
      <c r="O50" t="inlineStr">
        <is>
          <t>✓</t>
        </is>
      </c>
      <c r="P50" s="7" t="n">
        <v>308609.192</v>
      </c>
      <c r="Q50" s="7" t="n">
        <v>0</v>
      </c>
      <c r="R50" s="7" t="n">
        <v>0</v>
      </c>
      <c r="S50" s="7" t="n">
        <v>308609.192</v>
      </c>
      <c r="T50" s="7" t="n">
        <v>0</v>
      </c>
    </row>
    <row r="51">
      <c r="A51" t="inlineStr">
        <is>
          <t>Granite Group plc</t>
        </is>
      </c>
      <c r="B51" t="inlineStr">
        <is>
          <t>EUR</t>
        </is>
      </c>
      <c r="C51" t="inlineStr">
        <is>
          <t>968942362772</t>
        </is>
      </c>
      <c r="D51" t="inlineStr">
        <is>
          <t>185137</t>
        </is>
      </c>
      <c r="E51" t="inlineStr">
        <is>
          <t>Fees EUR 30</t>
        </is>
      </c>
      <c r="F51" s="6" t="n">
        <v>46253</v>
      </c>
      <c r="G51" s="7" t="n">
        <v>29484947.009</v>
      </c>
      <c r="H51" s="7" t="n">
        <v>2984496.862</v>
      </c>
      <c r="I51" s="7" t="n">
        <v>-3636906.603</v>
      </c>
      <c r="J51" s="7" t="n">
        <v>28832537.268</v>
      </c>
      <c r="K51" s="7" t="n">
        <v>-652409.741</v>
      </c>
      <c r="L51" s="8" t="n">
        <v>46253.75108796296</v>
      </c>
      <c r="M51" s="7" t="n">
        <v>28832537.268</v>
      </c>
      <c r="N51" s="7" t="n">
        <v>0</v>
      </c>
      <c r="O51" t="inlineStr">
        <is>
          <t>✓</t>
        </is>
      </c>
      <c r="P51" s="7" t="n">
        <v>25298084.534</v>
      </c>
      <c r="Q51" s="7" t="n">
        <v>2560698.308</v>
      </c>
      <c r="R51" s="7" t="n">
        <v>-3120465.865</v>
      </c>
      <c r="S51" s="7" t="n">
        <v>24738316.976</v>
      </c>
      <c r="T51" s="7" t="n">
        <v>-559767.558</v>
      </c>
    </row>
    <row r="52">
      <c r="A52" t="inlineStr">
        <is>
          <t>Juniper Group AG</t>
        </is>
      </c>
      <c r="B52" t="inlineStr">
        <is>
          <t>CHF</t>
        </is>
      </c>
      <c r="C52" t="inlineStr">
        <is>
          <t>910703979141</t>
        </is>
      </c>
      <c r="D52" t="inlineStr">
        <is>
          <t>447330</t>
        </is>
      </c>
      <c r="E52" t="inlineStr">
        <is>
          <t>Nostro CHF 37</t>
        </is>
      </c>
      <c r="F52" s="6" t="n">
        <v>46253</v>
      </c>
      <c r="G52" s="7" t="n">
        <v>54098215.705</v>
      </c>
      <c r="H52" s="7" t="n">
        <v>24094549.071</v>
      </c>
      <c r="I52" s="7" t="n">
        <v>-2032068.87</v>
      </c>
      <c r="J52" s="7" t="n">
        <v>76160695.906</v>
      </c>
      <c r="K52" s="7" t="n">
        <v>22062480.201</v>
      </c>
      <c r="L52" s="8" t="n">
        <v>46253.09122685185</v>
      </c>
      <c r="M52" s="7" t="n">
        <v>76160695.906</v>
      </c>
      <c r="N52" s="7" t="n">
        <v>0</v>
      </c>
      <c r="O52" t="inlineStr">
        <is>
          <t>✓</t>
        </is>
      </c>
      <c r="P52" s="7" t="n">
        <v>48526099.487</v>
      </c>
      <c r="Q52" s="7" t="n">
        <v>21612810.517</v>
      </c>
      <c r="R52" s="7" t="n">
        <v>-1822765.776</v>
      </c>
      <c r="S52" s="7" t="n">
        <v>68316144.228</v>
      </c>
      <c r="T52" s="7" t="n">
        <v>19790044.74</v>
      </c>
    </row>
    <row r="53">
      <c r="A53" t="inlineStr">
        <is>
          <t>Juniper Group AG</t>
        </is>
      </c>
      <c r="B53" t="inlineStr">
        <is>
          <t>GBP</t>
        </is>
      </c>
      <c r="C53" t="inlineStr">
        <is>
          <t>898317028833</t>
        </is>
      </c>
      <c r="D53" t="inlineStr">
        <is>
          <t>121545</t>
        </is>
      </c>
      <c r="E53" t="inlineStr">
        <is>
          <t>Settlement GBP 01</t>
        </is>
      </c>
      <c r="F53" s="6" t="n">
        <v>46253</v>
      </c>
      <c r="G53" s="7" t="n">
        <v>10147005.982</v>
      </c>
      <c r="H53" s="7" t="n">
        <v>0</v>
      </c>
      <c r="I53" s="7" t="n">
        <v>0</v>
      </c>
      <c r="J53" s="7" t="n">
        <v>10147005.982</v>
      </c>
      <c r="K53" s="7" t="n">
        <v>0</v>
      </c>
      <c r="L53" s="8" t="n"/>
      <c r="M53" s="7" t="n">
        <v>10147005.982</v>
      </c>
      <c r="N53" s="7" t="n">
        <v>0</v>
      </c>
      <c r="O53" t="inlineStr">
        <is>
          <t>✓</t>
        </is>
      </c>
      <c r="P53" s="7" t="n">
        <v>10147005.982</v>
      </c>
      <c r="Q53" s="7" t="n">
        <v>0</v>
      </c>
      <c r="R53" s="7" t="n">
        <v>0</v>
      </c>
      <c r="S53" s="7" t="n">
        <v>10147005.982</v>
      </c>
      <c r="T53" s="7" t="n">
        <v>0</v>
      </c>
    </row>
    <row r="54">
      <c r="A54" t="inlineStr">
        <is>
          <t>Granite Group N.A.</t>
        </is>
      </c>
      <c r="B54" t="inlineStr">
        <is>
          <t>SAR</t>
        </is>
      </c>
      <c r="C54" t="inlineStr">
        <is>
          <t>700726936098</t>
        </is>
      </c>
      <c r="D54" t="inlineStr">
        <is>
          <t>554718</t>
        </is>
      </c>
      <c r="E54" t="inlineStr">
        <is>
          <t>Collateral SAR 53</t>
        </is>
      </c>
      <c r="F54" s="6" t="n">
        <v>46253</v>
      </c>
      <c r="G54" s="7" t="n">
        <v>1163946.071</v>
      </c>
      <c r="H54" s="7" t="n">
        <v>260825.598</v>
      </c>
      <c r="I54" s="7" t="n">
        <v>-296312.014</v>
      </c>
      <c r="J54" s="7" t="n">
        <v>1128459.655</v>
      </c>
      <c r="K54" s="7" t="n">
        <v>-35486.416</v>
      </c>
      <c r="L54" s="8" t="n">
        <v>46253.54489583334</v>
      </c>
      <c r="M54" s="7" t="n">
        <v>1128459.655</v>
      </c>
      <c r="N54" s="7" t="n">
        <v>0</v>
      </c>
      <c r="O54" t="inlineStr">
        <is>
          <t>✓</t>
        </is>
      </c>
      <c r="P54" s="7" t="n">
        <v>243264.729</v>
      </c>
      <c r="Q54" s="7" t="n">
        <v>54512.55</v>
      </c>
      <c r="R54" s="7" t="n">
        <v>-61929.211</v>
      </c>
      <c r="S54" s="7" t="n">
        <v>235848.068</v>
      </c>
      <c r="T54" s="7" t="n">
        <v>-7416.661</v>
      </c>
    </row>
    <row r="55">
      <c r="A55" t="inlineStr">
        <is>
          <t>Juniper Group N.A.</t>
        </is>
      </c>
      <c r="B55" t="inlineStr">
        <is>
          <t>CZK</t>
        </is>
      </c>
      <c r="C55" t="inlineStr">
        <is>
          <t>132544340094</t>
        </is>
      </c>
      <c r="D55" t="inlineStr">
        <is>
          <t>802144</t>
        </is>
      </c>
      <c r="E55" t="inlineStr">
        <is>
          <t>Operating CZK 39</t>
        </is>
      </c>
      <c r="F55" s="6" t="n">
        <v>46253</v>
      </c>
      <c r="G55" s="7" t="n">
        <v>243675084.231</v>
      </c>
      <c r="H55" s="7" t="n">
        <v>91754621.086</v>
      </c>
      <c r="I55" s="7" t="n">
        <v>-46250549.612</v>
      </c>
      <c r="J55" s="7" t="n">
        <v>289179155.705</v>
      </c>
      <c r="K55" s="7" t="n">
        <v>45504071.474</v>
      </c>
      <c r="L55" s="8" t="n">
        <v>46253.65605324074</v>
      </c>
      <c r="M55" s="7" t="n">
        <v>289179155.705</v>
      </c>
      <c r="N55" s="7" t="n">
        <v>0</v>
      </c>
      <c r="O55" t="inlineStr">
        <is>
          <t>✓</t>
        </is>
      </c>
      <c r="P55" s="7" t="n">
        <v>8260585.355</v>
      </c>
      <c r="Q55" s="7" t="n">
        <v>3110481.655</v>
      </c>
      <c r="R55" s="7" t="n">
        <v>-1567893.632</v>
      </c>
      <c r="S55" s="7" t="n">
        <v>9803173.378</v>
      </c>
      <c r="T55" s="7" t="n">
        <v>1542588.023</v>
      </c>
    </row>
    <row r="56">
      <c r="A56" t="inlineStr">
        <is>
          <t>Oriel Group N.A.</t>
        </is>
      </c>
      <c r="B56" t="inlineStr">
        <is>
          <t>USD</t>
        </is>
      </c>
      <c r="C56" t="inlineStr">
        <is>
          <t>953625291146</t>
        </is>
      </c>
      <c r="D56" t="inlineStr">
        <is>
          <t>166476</t>
        </is>
      </c>
      <c r="E56" t="inlineStr">
        <is>
          <t>Reserve USD 26</t>
        </is>
      </c>
      <c r="F56" s="6" t="n">
        <v>46253</v>
      </c>
      <c r="G56" s="7" t="n">
        <v>64602266.875</v>
      </c>
      <c r="H56" s="7" t="n">
        <v>35774657.175</v>
      </c>
      <c r="I56" s="7" t="n">
        <v>-7009806.127</v>
      </c>
      <c r="J56" s="7" t="n">
        <v>93367117.92299999</v>
      </c>
      <c r="K56" s="7" t="n">
        <v>28764851.048</v>
      </c>
      <c r="L56" s="8" t="n">
        <v>46253.73054398148</v>
      </c>
      <c r="M56" s="7" t="n">
        <v>93367117.92299999</v>
      </c>
      <c r="N56" s="7" t="n">
        <v>0</v>
      </c>
      <c r="O56" t="inlineStr">
        <is>
          <t>✓</t>
        </is>
      </c>
      <c r="P56" s="7" t="n">
        <v>50648177.23</v>
      </c>
      <c r="Q56" s="7" t="n">
        <v>28047331.225</v>
      </c>
      <c r="R56" s="7" t="n">
        <v>-5495688.004</v>
      </c>
      <c r="S56" s="7" t="n">
        <v>73199820.45200001</v>
      </c>
      <c r="T56" s="7" t="n">
        <v>22551643.222</v>
      </c>
    </row>
    <row r="57">
      <c r="A57" t="inlineStr">
        <is>
          <t>Granite Group N.A.</t>
        </is>
      </c>
      <c r="B57" t="inlineStr">
        <is>
          <t>AUD</t>
        </is>
      </c>
      <c r="C57" t="inlineStr">
        <is>
          <t>171857983160</t>
        </is>
      </c>
      <c r="D57" t="inlineStr">
        <is>
          <t>142168</t>
        </is>
      </c>
      <c r="E57" t="inlineStr">
        <is>
          <t>Reserve AUD 24</t>
        </is>
      </c>
      <c r="F57" s="6" t="n">
        <v>46253</v>
      </c>
      <c r="G57" s="7" t="n">
        <v>666782.478</v>
      </c>
      <c r="H57" s="7" t="n">
        <v>0</v>
      </c>
      <c r="I57" s="7" t="n">
        <v>0</v>
      </c>
      <c r="J57" s="7" t="n">
        <v>666782.478</v>
      </c>
      <c r="K57" s="7" t="n">
        <v>0</v>
      </c>
      <c r="L57" s="8" t="n"/>
      <c r="M57" s="7" t="n">
        <v>666782.478</v>
      </c>
      <c r="N57" s="7" t="n">
        <v>0</v>
      </c>
      <c r="O57" t="inlineStr">
        <is>
          <t>✓</t>
        </is>
      </c>
      <c r="P57" s="7" t="n">
        <v>342059.411</v>
      </c>
      <c r="Q57" s="7" t="n">
        <v>0</v>
      </c>
      <c r="R57" s="7" t="n">
        <v>0</v>
      </c>
      <c r="S57" s="7" t="n">
        <v>342059.411</v>
      </c>
      <c r="T57" s="7" t="n">
        <v>0</v>
      </c>
    </row>
    <row r="58">
      <c r="A58" t="inlineStr">
        <is>
          <t>Juniper Group N.A.</t>
        </is>
      </c>
      <c r="B58" t="inlineStr">
        <is>
          <t>CNY</t>
        </is>
      </c>
      <c r="C58" t="inlineStr">
        <is>
          <t>927538182434</t>
        </is>
      </c>
      <c r="D58" t="inlineStr">
        <is>
          <t>256479</t>
        </is>
      </c>
      <c r="E58" t="inlineStr">
        <is>
          <t>Reserve CNY 15</t>
        </is>
      </c>
      <c r="F58" s="6" t="n">
        <v>46253</v>
      </c>
      <c r="G58" s="7" t="n">
        <v>4859398.799</v>
      </c>
      <c r="H58" s="7" t="n">
        <v>948049.178</v>
      </c>
      <c r="I58" s="7" t="n">
        <v>-1621613.796</v>
      </c>
      <c r="J58" s="7" t="n">
        <v>4185834.181</v>
      </c>
      <c r="K58" s="7" t="n">
        <v>-673564.618</v>
      </c>
      <c r="L58" s="8" t="n">
        <v>46253.6346875</v>
      </c>
      <c r="M58" s="7" t="n">
        <v>4185834.181</v>
      </c>
      <c r="N58" s="7" t="n">
        <v>0</v>
      </c>
      <c r="O58" t="inlineStr">
        <is>
          <t>✓</t>
        </is>
      </c>
      <c r="P58" s="7" t="n">
        <v>529674.469</v>
      </c>
      <c r="Q58" s="7" t="n">
        <v>103337.36</v>
      </c>
      <c r="R58" s="7" t="n">
        <v>-176755.904</v>
      </c>
      <c r="S58" s="7" t="n">
        <v>456255.926</v>
      </c>
      <c r="T58" s="7" t="n">
        <v>-73418.54300000001</v>
      </c>
    </row>
    <row r="59">
      <c r="A59" t="inlineStr">
        <is>
          <t>Granite Group plc</t>
        </is>
      </c>
      <c r="B59" t="inlineStr">
        <is>
          <t>EUR</t>
        </is>
      </c>
      <c r="C59" t="inlineStr">
        <is>
          <t>265771593142</t>
        </is>
      </c>
      <c r="D59" t="inlineStr">
        <is>
          <t>226259</t>
        </is>
      </c>
      <c r="E59" t="inlineStr">
        <is>
          <t>Nostro EUR 32</t>
        </is>
      </c>
      <c r="F59" s="6" t="n">
        <v>46253</v>
      </c>
      <c r="G59" s="7" t="n">
        <v>17601338.259</v>
      </c>
      <c r="H59" s="7" t="n">
        <v>4899119.522</v>
      </c>
      <c r="I59" s="7" t="n">
        <v>-6264334.358</v>
      </c>
      <c r="J59" s="7" t="n">
        <v>16236123.423</v>
      </c>
      <c r="K59" s="7" t="n">
        <v>-1365214.836</v>
      </c>
      <c r="L59" s="8" t="n">
        <v>46253.66233796296</v>
      </c>
      <c r="M59" s="7" t="n">
        <v>16236123.423</v>
      </c>
      <c r="N59" s="7" t="n">
        <v>0</v>
      </c>
      <c r="O59" t="inlineStr">
        <is>
          <t>✓</t>
        </is>
      </c>
      <c r="P59" s="7" t="n">
        <v>15101948.226</v>
      </c>
      <c r="Q59" s="7" t="n">
        <v>4203444.55</v>
      </c>
      <c r="R59" s="7" t="n">
        <v>-5374798.879</v>
      </c>
      <c r="S59" s="7" t="n">
        <v>13930593.897</v>
      </c>
      <c r="T59" s="7" t="n">
        <v>-1171354.329</v>
      </c>
    </row>
    <row r="60">
      <c r="A60" t="inlineStr">
        <is>
          <t>Granite Group plc</t>
        </is>
      </c>
      <c r="B60" t="inlineStr">
        <is>
          <t>EUR</t>
        </is>
      </c>
      <c r="C60" t="inlineStr">
        <is>
          <t>359365220160</t>
        </is>
      </c>
      <c r="D60" t="inlineStr">
        <is>
          <t>943792</t>
        </is>
      </c>
      <c r="E60" t="inlineStr">
        <is>
          <t>Operating EUR 09</t>
        </is>
      </c>
      <c r="F60" s="6" t="n">
        <v>46253</v>
      </c>
      <c r="G60" s="7" t="n">
        <v>244597910.051</v>
      </c>
      <c r="H60" s="7" t="n">
        <v>0</v>
      </c>
      <c r="I60" s="7" t="n">
        <v>0</v>
      </c>
      <c r="J60" s="7" t="n">
        <v>244597910.051</v>
      </c>
      <c r="K60" s="7" t="n">
        <v>0</v>
      </c>
      <c r="L60" s="8" t="n"/>
      <c r="M60" s="7" t="n">
        <v>244597910.051</v>
      </c>
      <c r="N60" s="7" t="n">
        <v>0</v>
      </c>
      <c r="O60" t="inlineStr">
        <is>
          <t>✓</t>
        </is>
      </c>
      <c r="P60" s="7" t="n">
        <v>209865006.824</v>
      </c>
      <c r="Q60" s="7" t="n">
        <v>0</v>
      </c>
      <c r="R60" s="7" t="n">
        <v>0</v>
      </c>
      <c r="S60" s="7" t="n">
        <v>209865006.824</v>
      </c>
      <c r="T60" s="7" t="n">
        <v>0</v>
      </c>
    </row>
    <row r="61">
      <c r="A61" t="inlineStr">
        <is>
          <t>Granite Group plc</t>
        </is>
      </c>
      <c r="B61" t="inlineStr">
        <is>
          <t>MXN</t>
        </is>
      </c>
      <c r="C61" t="inlineStr">
        <is>
          <t>284925023085</t>
        </is>
      </c>
      <c r="D61" t="inlineStr">
        <is>
          <t>809084</t>
        </is>
      </c>
      <c r="E61" t="inlineStr">
        <is>
          <t>Reserve MXN 03</t>
        </is>
      </c>
      <c r="F61" s="6" t="n">
        <v>46253</v>
      </c>
      <c r="G61" s="7" t="n">
        <v>312910.592</v>
      </c>
      <c r="H61" s="7" t="n">
        <v>32341.92</v>
      </c>
      <c r="I61" s="7" t="n">
        <v>-44827.231</v>
      </c>
      <c r="J61" s="7" t="n">
        <v>300425.281</v>
      </c>
      <c r="K61" s="7" t="n">
        <v>-12485.311</v>
      </c>
      <c r="L61" s="8" t="n">
        <v>46253.3830787037</v>
      </c>
      <c r="M61" s="7" t="n">
        <v>300425.281</v>
      </c>
      <c r="N61" s="7" t="n">
        <v>0</v>
      </c>
      <c r="O61" t="inlineStr">
        <is>
          <t>✓</t>
        </is>
      </c>
      <c r="P61" s="7" t="n">
        <v>13392.573</v>
      </c>
      <c r="Q61" s="7" t="n">
        <v>1384.234</v>
      </c>
      <c r="R61" s="7" t="n">
        <v>-1918.605</v>
      </c>
      <c r="S61" s="7" t="n">
        <v>12858.202</v>
      </c>
      <c r="T61" s="7" t="n">
        <v>-534.371</v>
      </c>
    </row>
    <row r="62">
      <c r="A62" t="inlineStr">
        <is>
          <t>Thornbury Group Ltd</t>
        </is>
      </c>
      <c r="B62" t="inlineStr">
        <is>
          <t>USD</t>
        </is>
      </c>
      <c r="C62" t="inlineStr">
        <is>
          <t>120047354818</t>
        </is>
      </c>
      <c r="D62" t="inlineStr">
        <is>
          <t>429444</t>
        </is>
      </c>
      <c r="E62" t="inlineStr">
        <is>
          <t>Settlement USD 29</t>
        </is>
      </c>
      <c r="F62" s="6" t="n">
        <v>46253</v>
      </c>
      <c r="G62" s="7" t="n">
        <v>2540307.224</v>
      </c>
      <c r="H62" s="7" t="n">
        <v>0</v>
      </c>
      <c r="I62" s="7" t="n">
        <v>0</v>
      </c>
      <c r="J62" s="7" t="n">
        <v>2540307.224</v>
      </c>
      <c r="K62" s="7" t="n">
        <v>0</v>
      </c>
      <c r="L62" s="8" t="n"/>
      <c r="M62" s="7" t="n">
        <v>2540307.224</v>
      </c>
      <c r="N62" s="7" t="n">
        <v>0</v>
      </c>
      <c r="O62" t="inlineStr">
        <is>
          <t>✓</t>
        </is>
      </c>
      <c r="P62" s="7" t="n">
        <v>1991600.864</v>
      </c>
      <c r="Q62" s="7" t="n">
        <v>0</v>
      </c>
      <c r="R62" s="7" t="n">
        <v>0</v>
      </c>
      <c r="S62" s="7" t="n">
        <v>1991600.864</v>
      </c>
      <c r="T62" s="7" t="n">
        <v>0</v>
      </c>
    </row>
    <row r="63">
      <c r="A63" t="inlineStr">
        <is>
          <t>Oriel Group N.A.</t>
        </is>
      </c>
      <c r="B63" t="inlineStr">
        <is>
          <t>EUR</t>
        </is>
      </c>
      <c r="C63" t="inlineStr">
        <is>
          <t>824840705580</t>
        </is>
      </c>
      <c r="D63" t="inlineStr">
        <is>
          <t>132356</t>
        </is>
      </c>
      <c r="E63" t="inlineStr">
        <is>
          <t>Nostro EUR 57</t>
        </is>
      </c>
      <c r="F63" s="6" t="n">
        <v>46253</v>
      </c>
      <c r="G63" s="7" t="n">
        <v>966467.095</v>
      </c>
      <c r="H63" s="7" t="n">
        <v>0</v>
      </c>
      <c r="I63" s="7" t="n">
        <v>0</v>
      </c>
      <c r="J63" s="7" t="n">
        <v>966467.095</v>
      </c>
      <c r="K63" s="7" t="n">
        <v>0</v>
      </c>
      <c r="L63" s="8" t="n"/>
      <c r="M63" s="7" t="n">
        <v>966467.095</v>
      </c>
      <c r="N63" s="7" t="n">
        <v>0</v>
      </c>
      <c r="O63" t="inlineStr">
        <is>
          <t>✓</t>
        </is>
      </c>
      <c r="P63" s="7" t="n">
        <v>829228.768</v>
      </c>
      <c r="Q63" s="7" t="n">
        <v>0</v>
      </c>
      <c r="R63" s="7" t="n">
        <v>0</v>
      </c>
      <c r="S63" s="7" t="n">
        <v>829228.768</v>
      </c>
      <c r="T63" s="7" t="n">
        <v>0</v>
      </c>
    </row>
    <row r="64">
      <c r="A64" t="inlineStr">
        <is>
          <t>Granite Group plc</t>
        </is>
      </c>
      <c r="B64" t="inlineStr">
        <is>
          <t>PLN</t>
        </is>
      </c>
      <c r="C64" t="inlineStr">
        <is>
          <t>621381112674</t>
        </is>
      </c>
      <c r="D64" t="inlineStr">
        <is>
          <t>945451</t>
        </is>
      </c>
      <c r="E64" t="inlineStr">
        <is>
          <t>Client Money PLN 18</t>
        </is>
      </c>
      <c r="F64" s="6" t="n">
        <v>46253</v>
      </c>
      <c r="G64" s="7" t="n">
        <v>1834024.091</v>
      </c>
      <c r="H64" s="7" t="n">
        <v>249369.296</v>
      </c>
      <c r="I64" s="7" t="n">
        <v>-669172.927</v>
      </c>
      <c r="J64" s="7" t="n">
        <v>1414220.46</v>
      </c>
      <c r="K64" s="7" t="n">
        <v>-419803.631</v>
      </c>
      <c r="L64" s="8" t="n">
        <v>46253.4499537037</v>
      </c>
      <c r="M64" s="7" t="n">
        <v>1414220.46</v>
      </c>
      <c r="N64" s="7" t="n">
        <v>0</v>
      </c>
      <c r="O64" t="inlineStr">
        <is>
          <t>✓</t>
        </is>
      </c>
      <c r="P64" s="7" t="n">
        <v>363136.77</v>
      </c>
      <c r="Q64" s="7" t="n">
        <v>49375.121</v>
      </c>
      <c r="R64" s="7" t="n">
        <v>-132496.24</v>
      </c>
      <c r="S64" s="7" t="n">
        <v>280015.651</v>
      </c>
      <c r="T64" s="7" t="n">
        <v>-83121.11900000001</v>
      </c>
    </row>
    <row r="65">
      <c r="A65" t="inlineStr">
        <is>
          <t>Granite Group Ltd</t>
        </is>
      </c>
      <c r="B65" t="inlineStr">
        <is>
          <t>EUR</t>
        </is>
      </c>
      <c r="C65" t="inlineStr">
        <is>
          <t>726928343448</t>
        </is>
      </c>
      <c r="D65" t="inlineStr">
        <is>
          <t>898546</t>
        </is>
      </c>
      <c r="E65" t="inlineStr">
        <is>
          <t>Collateral EUR 44</t>
        </is>
      </c>
      <c r="F65" s="6" t="n">
        <v>46253</v>
      </c>
      <c r="G65" s="7" t="n">
        <v>164857.134</v>
      </c>
      <c r="H65" s="7" t="n">
        <v>0</v>
      </c>
      <c r="I65" s="7" t="n">
        <v>0</v>
      </c>
      <c r="J65" s="7" t="n">
        <v>164857.134</v>
      </c>
      <c r="K65" s="7" t="n">
        <v>0</v>
      </c>
      <c r="L65" s="8" t="n"/>
      <c r="M65" s="7" t="n">
        <v>164857.134</v>
      </c>
      <c r="N65" s="7" t="n">
        <v>0</v>
      </c>
      <c r="O65" t="inlineStr">
        <is>
          <t>✓</t>
        </is>
      </c>
      <c r="P65" s="7" t="n">
        <v>141447.421</v>
      </c>
      <c r="Q65" s="7" t="n">
        <v>0</v>
      </c>
      <c r="R65" s="7" t="n">
        <v>0</v>
      </c>
      <c r="S65" s="7" t="n">
        <v>141447.421</v>
      </c>
      <c r="T65" s="7" t="n">
        <v>0</v>
      </c>
    </row>
    <row r="66">
      <c r="A66" t="inlineStr">
        <is>
          <t>Granite Group Ltd</t>
        </is>
      </c>
      <c r="B66" t="inlineStr">
        <is>
          <t>EUR</t>
        </is>
      </c>
      <c r="C66" t="inlineStr">
        <is>
          <t>113829985108</t>
        </is>
      </c>
      <c r="D66" t="inlineStr">
        <is>
          <t>303423</t>
        </is>
      </c>
      <c r="E66" t="inlineStr">
        <is>
          <t>Reserve EUR 51</t>
        </is>
      </c>
      <c r="F66" s="6" t="n">
        <v>46253</v>
      </c>
      <c r="G66" s="7" t="n">
        <v>16471936.611</v>
      </c>
      <c r="H66" s="7" t="n">
        <v>2159906.115</v>
      </c>
      <c r="I66" s="7" t="n">
        <v>-4372744.336</v>
      </c>
      <c r="J66" s="7" t="n">
        <v>14259098.39</v>
      </c>
      <c r="K66" s="7" t="n">
        <v>-2212838.221</v>
      </c>
      <c r="L66" s="8" t="n">
        <v>46253.39589120371</v>
      </c>
      <c r="M66" s="7" t="n">
        <v>14259098.39</v>
      </c>
      <c r="N66" s="7" t="n">
        <v>0</v>
      </c>
      <c r="O66" t="inlineStr">
        <is>
          <t>✓</t>
        </is>
      </c>
      <c r="P66" s="7" t="n">
        <v>14132921.612</v>
      </c>
      <c r="Q66" s="7" t="n">
        <v>1853199.447</v>
      </c>
      <c r="R66" s="7" t="n">
        <v>-3751814.64</v>
      </c>
      <c r="S66" s="7" t="n">
        <v>12234306.419</v>
      </c>
      <c r="T66" s="7" t="n">
        <v>-1898615.194</v>
      </c>
    </row>
    <row r="67">
      <c r="A67" t="inlineStr">
        <is>
          <t>Oriel Group N.A.</t>
        </is>
      </c>
      <c r="B67" t="inlineStr">
        <is>
          <t>GBP</t>
        </is>
      </c>
      <c r="C67" t="inlineStr">
        <is>
          <t>150316825069</t>
        </is>
      </c>
      <c r="D67" t="inlineStr">
        <is>
          <t>933672</t>
        </is>
      </c>
      <c r="E67" t="inlineStr">
        <is>
          <t>Liquidity GBP 13</t>
        </is>
      </c>
      <c r="F67" s="6" t="n">
        <v>46254</v>
      </c>
      <c r="G67" s="7" t="n">
        <v>117329.226</v>
      </c>
      <c r="H67" s="7" t="n">
        <v>0</v>
      </c>
      <c r="I67" s="7" t="n">
        <v>0</v>
      </c>
      <c r="J67" s="7" t="n">
        <v>117329.226</v>
      </c>
      <c r="K67" s="7" t="n">
        <v>0</v>
      </c>
      <c r="L67" s="8" t="n"/>
      <c r="M67" s="7" t="n">
        <v>117329.226</v>
      </c>
      <c r="N67" s="7" t="n">
        <v>0</v>
      </c>
      <c r="O67" t="inlineStr">
        <is>
          <t>✓</t>
        </is>
      </c>
      <c r="P67" s="7" t="n">
        <v>117329.226</v>
      </c>
      <c r="Q67" s="7" t="n">
        <v>0</v>
      </c>
      <c r="R67" s="7" t="n">
        <v>0</v>
      </c>
      <c r="S67" s="7" t="n">
        <v>117329.226</v>
      </c>
      <c r="T67" s="7" t="n">
        <v>0</v>
      </c>
    </row>
    <row r="68">
      <c r="A68" t="inlineStr">
        <is>
          <t>Juniper Group AG</t>
        </is>
      </c>
      <c r="B68" t="inlineStr">
        <is>
          <t>AED</t>
        </is>
      </c>
      <c r="C68" t="inlineStr">
        <is>
          <t>794226063698</t>
        </is>
      </c>
      <c r="D68" t="inlineStr">
        <is>
          <t>158848</t>
        </is>
      </c>
      <c r="E68" t="inlineStr">
        <is>
          <t>Reserve AED 56</t>
        </is>
      </c>
      <c r="F68" s="6" t="n">
        <v>46254</v>
      </c>
      <c r="G68" s="7" t="n">
        <v>510439.3</v>
      </c>
      <c r="H68" s="7" t="n">
        <v>116370.977</v>
      </c>
      <c r="I68" s="7" t="n">
        <v>-50349.473</v>
      </c>
      <c r="J68" s="7" t="n">
        <v>576460.804</v>
      </c>
      <c r="K68" s="7" t="n">
        <v>66021.504</v>
      </c>
      <c r="L68" s="8" t="n">
        <v>46254.29509259259</v>
      </c>
      <c r="M68" s="7" t="n">
        <v>576460.804</v>
      </c>
      <c r="N68" s="7" t="n">
        <v>0</v>
      </c>
      <c r="O68" t="inlineStr">
        <is>
          <t>✓</t>
        </is>
      </c>
      <c r="P68" s="7" t="n">
        <v>108723.571</v>
      </c>
      <c r="Q68" s="7" t="n">
        <v>24787.018</v>
      </c>
      <c r="R68" s="7" t="n">
        <v>-10724.438</v>
      </c>
      <c r="S68" s="7" t="n">
        <v>122786.151</v>
      </c>
      <c r="T68" s="7" t="n">
        <v>14062.58</v>
      </c>
    </row>
    <row r="69">
      <c r="A69" t="inlineStr">
        <is>
          <t>Kestrel Group N.A.</t>
        </is>
      </c>
      <c r="B69" t="inlineStr">
        <is>
          <t>EUR</t>
        </is>
      </c>
      <c r="C69" t="inlineStr">
        <is>
          <t>468341071172</t>
        </is>
      </c>
      <c r="D69" t="inlineStr">
        <is>
          <t>284533</t>
        </is>
      </c>
      <c r="E69" t="inlineStr">
        <is>
          <t>Settlement EUR 54</t>
        </is>
      </c>
      <c r="F69" s="6" t="n">
        <v>46254</v>
      </c>
      <c r="G69" s="7" t="n">
        <v>79928.39200000001</v>
      </c>
      <c r="H69" s="7" t="n">
        <v>19511.158</v>
      </c>
      <c r="I69" s="7" t="n">
        <v>-31962.895</v>
      </c>
      <c r="J69" s="7" t="n">
        <v>67476.655</v>
      </c>
      <c r="K69" s="7" t="n">
        <v>-12451.737</v>
      </c>
      <c r="L69" s="8" t="n">
        <v>46254.61912037037</v>
      </c>
      <c r="M69" s="7" t="n">
        <v>67476.655</v>
      </c>
      <c r="N69" s="7" t="n">
        <v>0</v>
      </c>
      <c r="O69" t="inlineStr">
        <is>
          <t>✓</t>
        </is>
      </c>
      <c r="P69" s="7" t="n">
        <v>68578.56</v>
      </c>
      <c r="Q69" s="7" t="n">
        <v>16740.574</v>
      </c>
      <c r="R69" s="7" t="n">
        <v>-27424.164</v>
      </c>
      <c r="S69" s="7" t="n">
        <v>57894.97</v>
      </c>
      <c r="T69" s="7" t="n">
        <v>-10683.59</v>
      </c>
    </row>
    <row r="70">
      <c r="A70" t="inlineStr">
        <is>
          <t>Alder Group plc</t>
        </is>
      </c>
      <c r="B70" t="inlineStr">
        <is>
          <t>USD</t>
        </is>
      </c>
      <c r="C70" t="inlineStr">
        <is>
          <t>499062838623</t>
        </is>
      </c>
      <c r="D70" t="inlineStr">
        <is>
          <t>725094</t>
        </is>
      </c>
      <c r="E70" t="inlineStr">
        <is>
          <t>Fees USD 08</t>
        </is>
      </c>
      <c r="F70" s="6" t="n">
        <v>46254</v>
      </c>
      <c r="G70" s="7" t="n">
        <v>73474.53200000001</v>
      </c>
      <c r="H70" s="7" t="n">
        <v>0</v>
      </c>
      <c r="I70" s="7" t="n">
        <v>0</v>
      </c>
      <c r="J70" s="7" t="n">
        <v>73474.53200000001</v>
      </c>
      <c r="K70" s="7" t="n">
        <v>0</v>
      </c>
      <c r="L70" s="8" t="n"/>
      <c r="M70" s="7" t="n">
        <v>73474.53200000001</v>
      </c>
      <c r="N70" s="7" t="n">
        <v>0</v>
      </c>
      <c r="O70" t="inlineStr">
        <is>
          <t>✓</t>
        </is>
      </c>
      <c r="P70" s="7" t="n">
        <v>57604.033</v>
      </c>
      <c r="Q70" s="7" t="n">
        <v>0</v>
      </c>
      <c r="R70" s="7" t="n">
        <v>0</v>
      </c>
      <c r="S70" s="7" t="n">
        <v>57604.033</v>
      </c>
      <c r="T70" s="7" t="n">
        <v>0</v>
      </c>
    </row>
    <row r="71">
      <c r="A71" t="inlineStr">
        <is>
          <t>Granite Group plc</t>
        </is>
      </c>
      <c r="B71" t="inlineStr">
        <is>
          <t>EUR</t>
        </is>
      </c>
      <c r="C71" t="inlineStr">
        <is>
          <t>968942362772</t>
        </is>
      </c>
      <c r="D71" t="inlineStr">
        <is>
          <t>185137</t>
        </is>
      </c>
      <c r="E71" t="inlineStr">
        <is>
          <t>Fees EUR 30</t>
        </is>
      </c>
      <c r="F71" s="6" t="n">
        <v>46254</v>
      </c>
      <c r="G71" s="7" t="n">
        <v>516872.852</v>
      </c>
      <c r="H71" s="7" t="n">
        <v>0</v>
      </c>
      <c r="I71" s="7" t="n">
        <v>0</v>
      </c>
      <c r="J71" s="7" t="n">
        <v>516872.852</v>
      </c>
      <c r="K71" s="7" t="n">
        <v>0</v>
      </c>
      <c r="L71" s="8" t="n"/>
      <c r="M71" s="7" t="n">
        <v>516872.852</v>
      </c>
      <c r="N71" s="7" t="n">
        <v>0</v>
      </c>
      <c r="O71" t="inlineStr">
        <is>
          <t>✓</t>
        </is>
      </c>
      <c r="P71" s="7" t="n">
        <v>443476.907</v>
      </c>
      <c r="Q71" s="7" t="n">
        <v>0</v>
      </c>
      <c r="R71" s="7" t="n">
        <v>0</v>
      </c>
      <c r="S71" s="7" t="n">
        <v>443476.907</v>
      </c>
      <c r="T71" s="7" t="n">
        <v>0</v>
      </c>
    </row>
    <row r="72">
      <c r="A72" t="inlineStr">
        <is>
          <t>Juniper Group AG</t>
        </is>
      </c>
      <c r="B72" t="inlineStr">
        <is>
          <t>CHF</t>
        </is>
      </c>
      <c r="C72" t="inlineStr">
        <is>
          <t>910703979141</t>
        </is>
      </c>
      <c r="D72" t="inlineStr">
        <is>
          <t>447330</t>
        </is>
      </c>
      <c r="E72" t="inlineStr">
        <is>
          <t>Nostro CHF 37</t>
        </is>
      </c>
      <c r="F72" s="6" t="n">
        <v>46254</v>
      </c>
      <c r="G72" s="7" t="n">
        <v>17088582.263</v>
      </c>
      <c r="H72" s="7" t="n">
        <v>8493638.541999999</v>
      </c>
      <c r="I72" s="7" t="n">
        <v>-3590939.101</v>
      </c>
      <c r="J72" s="7" t="n">
        <v>21991281.704</v>
      </c>
      <c r="K72" s="7" t="n">
        <v>4902699.441</v>
      </c>
      <c r="L72" s="8" t="n">
        <v>46254.60211805555</v>
      </c>
      <c r="M72" s="7" t="n">
        <v>21991281.704</v>
      </c>
      <c r="N72" s="7" t="n">
        <v>0</v>
      </c>
      <c r="O72" t="inlineStr">
        <is>
          <t>✓</t>
        </is>
      </c>
      <c r="P72" s="7" t="n">
        <v>15328458.29</v>
      </c>
      <c r="Q72" s="7" t="n">
        <v>7618793.772</v>
      </c>
      <c r="R72" s="7" t="n">
        <v>-3221072.374</v>
      </c>
      <c r="S72" s="7" t="n">
        <v>19726179.688</v>
      </c>
      <c r="T72" s="7" t="n">
        <v>4397721.399</v>
      </c>
    </row>
    <row r="73">
      <c r="A73" t="inlineStr">
        <is>
          <t>Juniper Group AG</t>
        </is>
      </c>
      <c r="B73" t="inlineStr">
        <is>
          <t>GBP</t>
        </is>
      </c>
      <c r="C73" t="inlineStr">
        <is>
          <t>898317028833</t>
        </is>
      </c>
      <c r="D73" t="inlineStr">
        <is>
          <t>121545</t>
        </is>
      </c>
      <c r="E73" t="inlineStr">
        <is>
          <t>Settlement GBP 01</t>
        </is>
      </c>
      <c r="F73" s="6" t="n">
        <v>46254</v>
      </c>
      <c r="G73" s="7" t="n">
        <v>29755222.793</v>
      </c>
      <c r="H73" s="7" t="n">
        <v>0</v>
      </c>
      <c r="I73" s="7" t="n">
        <v>0</v>
      </c>
      <c r="J73" s="7" t="n">
        <v>29755222.793</v>
      </c>
      <c r="K73" s="7" t="n">
        <v>0</v>
      </c>
      <c r="L73" s="8" t="n"/>
      <c r="M73" s="7" t="n">
        <v>29755222.793</v>
      </c>
      <c r="N73" s="7" t="n">
        <v>0</v>
      </c>
      <c r="O73" t="inlineStr">
        <is>
          <t>✓</t>
        </is>
      </c>
      <c r="P73" s="7" t="n">
        <v>29755222.793</v>
      </c>
      <c r="Q73" s="7" t="n">
        <v>0</v>
      </c>
      <c r="R73" s="7" t="n">
        <v>0</v>
      </c>
      <c r="S73" s="7" t="n">
        <v>29755222.793</v>
      </c>
      <c r="T73" s="7" t="n">
        <v>0</v>
      </c>
    </row>
    <row r="74">
      <c r="A74" t="inlineStr">
        <is>
          <t>Granite Group N.A.</t>
        </is>
      </c>
      <c r="B74" t="inlineStr">
        <is>
          <t>SAR</t>
        </is>
      </c>
      <c r="C74" t="inlineStr">
        <is>
          <t>700726936098</t>
        </is>
      </c>
      <c r="D74" t="inlineStr">
        <is>
          <t>554718</t>
        </is>
      </c>
      <c r="E74" t="inlineStr">
        <is>
          <t>Collateral SAR 53</t>
        </is>
      </c>
      <c r="F74" s="6" t="n">
        <v>46254</v>
      </c>
      <c r="G74" s="7" t="n">
        <v>249644884.98</v>
      </c>
      <c r="H74" s="7" t="n">
        <v>165759759.389</v>
      </c>
      <c r="I74" s="7" t="n">
        <v>-11205528.544</v>
      </c>
      <c r="J74" s="7" t="n">
        <v>404199115.825</v>
      </c>
      <c r="K74" s="7" t="n">
        <v>154554230.845</v>
      </c>
      <c r="L74" s="8" t="n">
        <v>46254.5040625</v>
      </c>
      <c r="M74" s="7" t="n">
        <v>404199115.825</v>
      </c>
      <c r="N74" s="7" t="n">
        <v>0</v>
      </c>
      <c r="O74" t="inlineStr">
        <is>
          <t>✓</t>
        </is>
      </c>
      <c r="P74" s="7" t="n">
        <v>52175780.961</v>
      </c>
      <c r="Q74" s="7" t="n">
        <v>34643789.712</v>
      </c>
      <c r="R74" s="7" t="n">
        <v>-2341955.466</v>
      </c>
      <c r="S74" s="7" t="n">
        <v>84477615.207</v>
      </c>
      <c r="T74" s="7" t="n">
        <v>32301834.247</v>
      </c>
    </row>
    <row r="75">
      <c r="A75" t="inlineStr">
        <is>
          <t>Juniper Group N.A.</t>
        </is>
      </c>
      <c r="B75" t="inlineStr">
        <is>
          <t>CZK</t>
        </is>
      </c>
      <c r="C75" t="inlineStr">
        <is>
          <t>132544340094</t>
        </is>
      </c>
      <c r="D75" t="inlineStr">
        <is>
          <t>802144</t>
        </is>
      </c>
      <c r="E75" t="inlineStr">
        <is>
          <t>Operating CZK 39</t>
        </is>
      </c>
      <c r="F75" s="6" t="n">
        <v>46254</v>
      </c>
      <c r="G75" s="7" t="n">
        <v>2350483.113</v>
      </c>
      <c r="H75" s="7" t="n">
        <v>0</v>
      </c>
      <c r="I75" s="7" t="n">
        <v>0</v>
      </c>
      <c r="J75" s="7" t="n">
        <v>2350483.113</v>
      </c>
      <c r="K75" s="7" t="n">
        <v>0</v>
      </c>
      <c r="L75" s="8" t="n"/>
      <c r="M75" s="7" t="n">
        <v>2350483.113</v>
      </c>
      <c r="N75" s="7" t="n">
        <v>0</v>
      </c>
      <c r="O75" t="inlineStr">
        <is>
          <t>✓</t>
        </is>
      </c>
      <c r="P75" s="7" t="n">
        <v>79681.378</v>
      </c>
      <c r="Q75" s="7" t="n">
        <v>0</v>
      </c>
      <c r="R75" s="7" t="n">
        <v>0</v>
      </c>
      <c r="S75" s="7" t="n">
        <v>79681.378</v>
      </c>
      <c r="T75" s="7" t="n">
        <v>0</v>
      </c>
    </row>
    <row r="76">
      <c r="A76" t="inlineStr">
        <is>
          <t>Oriel Group N.A.</t>
        </is>
      </c>
      <c r="B76" t="inlineStr">
        <is>
          <t>USD</t>
        </is>
      </c>
      <c r="C76" t="inlineStr">
        <is>
          <t>953625291146</t>
        </is>
      </c>
      <c r="D76" t="inlineStr">
        <is>
          <t>166476</t>
        </is>
      </c>
      <c r="E76" t="inlineStr">
        <is>
          <t>Reserve USD 26</t>
        </is>
      </c>
      <c r="F76" s="6" t="n">
        <v>46254</v>
      </c>
      <c r="G76" s="7" t="n">
        <v>47406.192</v>
      </c>
      <c r="H76" s="7" t="n">
        <v>12630.285</v>
      </c>
      <c r="I76" s="7" t="n">
        <v>-18448.873</v>
      </c>
      <c r="J76" s="7" t="n">
        <v>41587.604</v>
      </c>
      <c r="K76" s="7" t="n">
        <v>-5818.588</v>
      </c>
      <c r="L76" s="8" t="n">
        <v>46254.0902662037</v>
      </c>
      <c r="M76" s="7" t="n">
        <v>41587.604</v>
      </c>
      <c r="N76" s="7" t="n">
        <v>0</v>
      </c>
      <c r="O76" t="inlineStr">
        <is>
          <t>✓</t>
        </is>
      </c>
      <c r="P76" s="7" t="n">
        <v>37166.455</v>
      </c>
      <c r="Q76" s="7" t="n">
        <v>9902.143</v>
      </c>
      <c r="R76" s="7" t="n">
        <v>-14463.916</v>
      </c>
      <c r="S76" s="7" t="n">
        <v>32604.682</v>
      </c>
      <c r="T76" s="7" t="n">
        <v>-4561.773</v>
      </c>
    </row>
    <row r="77">
      <c r="A77" t="inlineStr">
        <is>
          <t>Granite Group N.A.</t>
        </is>
      </c>
      <c r="B77" t="inlineStr">
        <is>
          <t>AUD</t>
        </is>
      </c>
      <c r="C77" t="inlineStr">
        <is>
          <t>171857983160</t>
        </is>
      </c>
      <c r="D77" t="inlineStr">
        <is>
          <t>142168</t>
        </is>
      </c>
      <c r="E77" t="inlineStr">
        <is>
          <t>Reserve AUD 24</t>
        </is>
      </c>
      <c r="F77" s="6" t="n">
        <v>46254</v>
      </c>
      <c r="G77" s="7" t="n">
        <v>2225415.393</v>
      </c>
      <c r="H77" s="7" t="n">
        <v>1043382.703</v>
      </c>
      <c r="I77" s="7" t="n">
        <v>-52925.108</v>
      </c>
      <c r="J77" s="7" t="n">
        <v>3215872.988</v>
      </c>
      <c r="K77" s="7" t="n">
        <v>990457.595</v>
      </c>
      <c r="L77" s="8" t="n">
        <v>46254.65965277778</v>
      </c>
      <c r="M77" s="7" t="n">
        <v>3215872.988</v>
      </c>
      <c r="N77" s="7" t="n">
        <v>0</v>
      </c>
      <c r="O77" t="inlineStr">
        <is>
          <t>✓</t>
        </is>
      </c>
      <c r="P77" s="7" t="n">
        <v>1141638.097</v>
      </c>
      <c r="Q77" s="7" t="n">
        <v>535255.327</v>
      </c>
      <c r="R77" s="7" t="n">
        <v>-27150.58</v>
      </c>
      <c r="S77" s="7" t="n">
        <v>1649742.843</v>
      </c>
      <c r="T77" s="7" t="n">
        <v>508104.746</v>
      </c>
    </row>
    <row r="78">
      <c r="A78" t="inlineStr">
        <is>
          <t>Juniper Group N.A.</t>
        </is>
      </c>
      <c r="B78" t="inlineStr">
        <is>
          <t>CNY</t>
        </is>
      </c>
      <c r="C78" t="inlineStr">
        <is>
          <t>927538182434</t>
        </is>
      </c>
      <c r="D78" t="inlineStr">
        <is>
          <t>256479</t>
        </is>
      </c>
      <c r="E78" t="inlineStr">
        <is>
          <t>Reserve CNY 15</t>
        </is>
      </c>
      <c r="F78" s="6" t="n">
        <v>46254</v>
      </c>
      <c r="G78" s="7" t="n">
        <v>48290721.914</v>
      </c>
      <c r="H78" s="7" t="n">
        <v>0</v>
      </c>
      <c r="I78" s="7" t="n">
        <v>0</v>
      </c>
      <c r="J78" s="7" t="n">
        <v>48290721.914</v>
      </c>
      <c r="K78" s="7" t="n">
        <v>0</v>
      </c>
      <c r="L78" s="8" t="n"/>
      <c r="M78" s="7" t="n">
        <v>48290721.914</v>
      </c>
      <c r="N78" s="7" t="n">
        <v>0</v>
      </c>
      <c r="O78" t="inlineStr">
        <is>
          <t>✓</t>
        </is>
      </c>
      <c r="P78" s="7" t="n">
        <v>5263688.689</v>
      </c>
      <c r="Q78" s="7" t="n">
        <v>0</v>
      </c>
      <c r="R78" s="7" t="n">
        <v>0</v>
      </c>
      <c r="S78" s="7" t="n">
        <v>5263688.689</v>
      </c>
      <c r="T78" s="7" t="n">
        <v>0</v>
      </c>
    </row>
    <row r="79">
      <c r="A79" t="inlineStr">
        <is>
          <t>Granite Group plc</t>
        </is>
      </c>
      <c r="B79" t="inlineStr">
        <is>
          <t>EUR</t>
        </is>
      </c>
      <c r="C79" t="inlineStr">
        <is>
          <t>265771593142</t>
        </is>
      </c>
      <c r="D79" t="inlineStr">
        <is>
          <t>226259</t>
        </is>
      </c>
      <c r="E79" t="inlineStr">
        <is>
          <t>Nostro EUR 32</t>
        </is>
      </c>
      <c r="F79" s="6" t="n">
        <v>46254</v>
      </c>
      <c r="G79" s="7" t="n">
        <v>2586969.012</v>
      </c>
      <c r="H79" s="7" t="n">
        <v>386446.545</v>
      </c>
      <c r="I79" s="7" t="n">
        <v>-1000194.178</v>
      </c>
      <c r="J79" s="7" t="n">
        <v>1973221.379</v>
      </c>
      <c r="K79" s="7" t="n">
        <v>-613747.633</v>
      </c>
      <c r="L79" s="8" t="n">
        <v>46254.60711805556</v>
      </c>
      <c r="M79" s="7" t="n">
        <v>1973221.379</v>
      </c>
      <c r="N79" s="7" t="n">
        <v>0</v>
      </c>
      <c r="O79" t="inlineStr">
        <is>
          <t>✓</t>
        </is>
      </c>
      <c r="P79" s="7" t="n">
        <v>2219619.412</v>
      </c>
      <c r="Q79" s="7" t="n">
        <v>331571.136</v>
      </c>
      <c r="R79" s="7" t="n">
        <v>-858166.605</v>
      </c>
      <c r="S79" s="7" t="n">
        <v>1693023.943</v>
      </c>
      <c r="T79" s="7" t="n">
        <v>-526595.469</v>
      </c>
    </row>
    <row r="80">
      <c r="A80" t="inlineStr">
        <is>
          <t>Granite Group plc</t>
        </is>
      </c>
      <c r="B80" t="inlineStr">
        <is>
          <t>EUR</t>
        </is>
      </c>
      <c r="C80" t="inlineStr">
        <is>
          <t>359365220160</t>
        </is>
      </c>
      <c r="D80" t="inlineStr">
        <is>
          <t>943792</t>
        </is>
      </c>
      <c r="E80" t="inlineStr">
        <is>
          <t>Operating EUR 09</t>
        </is>
      </c>
      <c r="F80" s="6" t="n">
        <v>46254</v>
      </c>
      <c r="G80" s="7" t="n">
        <v>1599522.545</v>
      </c>
      <c r="H80" s="7" t="n">
        <v>437124.031</v>
      </c>
      <c r="I80" s="7" t="n">
        <v>-714669.178</v>
      </c>
      <c r="J80" s="7" t="n">
        <v>1321977.398</v>
      </c>
      <c r="K80" s="7" t="n">
        <v>-277545.147</v>
      </c>
      <c r="L80" s="8" t="n">
        <v>46254.67679398148</v>
      </c>
      <c r="M80" s="7" t="n">
        <v>1321977.398</v>
      </c>
      <c r="N80" s="7" t="n">
        <v>0</v>
      </c>
      <c r="O80" t="inlineStr">
        <is>
          <t>✓</t>
        </is>
      </c>
      <c r="P80" s="7" t="n">
        <v>1372390.344</v>
      </c>
      <c r="Q80" s="7" t="n">
        <v>375052.419</v>
      </c>
      <c r="R80" s="7" t="n">
        <v>-613186.155</v>
      </c>
      <c r="S80" s="7" t="n">
        <v>1134256.607</v>
      </c>
      <c r="T80" s="7" t="n">
        <v>-238133.736</v>
      </c>
    </row>
    <row r="81">
      <c r="A81" t="inlineStr">
        <is>
          <t>Granite Group plc</t>
        </is>
      </c>
      <c r="B81" t="inlineStr">
        <is>
          <t>MXN</t>
        </is>
      </c>
      <c r="C81" t="inlineStr">
        <is>
          <t>284925023085</t>
        </is>
      </c>
      <c r="D81" t="inlineStr">
        <is>
          <t>809084</t>
        </is>
      </c>
      <c r="E81" t="inlineStr">
        <is>
          <t>Reserve MXN 03</t>
        </is>
      </c>
      <c r="F81" s="6" t="n">
        <v>46254</v>
      </c>
      <c r="G81" s="7" t="n">
        <v>275507549.502</v>
      </c>
      <c r="H81" s="7" t="n">
        <v>96410616.426</v>
      </c>
      <c r="I81" s="7" t="n">
        <v>-89473657.322</v>
      </c>
      <c r="J81" s="7" t="n">
        <v>282444508.606</v>
      </c>
      <c r="K81" s="7" t="n">
        <v>6936959.104</v>
      </c>
      <c r="L81" s="8" t="n">
        <v>46254.43990740741</v>
      </c>
      <c r="M81" s="7" t="n">
        <v>282444508.606</v>
      </c>
      <c r="N81" s="7" t="n">
        <v>0</v>
      </c>
      <c r="O81" t="inlineStr">
        <is>
          <t>✓</t>
        </is>
      </c>
      <c r="P81" s="7" t="n">
        <v>11791723.119</v>
      </c>
      <c r="Q81" s="7" t="n">
        <v>4126374.383</v>
      </c>
      <c r="R81" s="7" t="n">
        <v>-3829472.533</v>
      </c>
      <c r="S81" s="7" t="n">
        <v>12088624.968</v>
      </c>
      <c r="T81" s="7" t="n">
        <v>296901.85</v>
      </c>
    </row>
    <row r="82">
      <c r="A82" t="inlineStr">
        <is>
          <t>Thornbury Group Ltd</t>
        </is>
      </c>
      <c r="B82" t="inlineStr">
        <is>
          <t>USD</t>
        </is>
      </c>
      <c r="C82" t="inlineStr">
        <is>
          <t>120047354818</t>
        </is>
      </c>
      <c r="D82" t="inlineStr">
        <is>
          <t>429444</t>
        </is>
      </c>
      <c r="E82" t="inlineStr">
        <is>
          <t>Settlement USD 29</t>
        </is>
      </c>
      <c r="F82" s="6" t="n">
        <v>46254</v>
      </c>
      <c r="G82" s="7" t="n">
        <v>158269.058</v>
      </c>
      <c r="H82" s="7" t="n">
        <v>0</v>
      </c>
      <c r="I82" s="7" t="n">
        <v>0</v>
      </c>
      <c r="J82" s="7" t="n">
        <v>158269.058</v>
      </c>
      <c r="K82" s="7" t="n">
        <v>0</v>
      </c>
      <c r="L82" s="8" t="n"/>
      <c r="M82" s="7" t="n">
        <v>158269.058</v>
      </c>
      <c r="N82" s="7" t="n">
        <v>0</v>
      </c>
      <c r="O82" t="inlineStr">
        <is>
          <t>✓</t>
        </is>
      </c>
      <c r="P82" s="7" t="n">
        <v>124082.941</v>
      </c>
      <c r="Q82" s="7" t="n">
        <v>0</v>
      </c>
      <c r="R82" s="7" t="n">
        <v>0</v>
      </c>
      <c r="S82" s="7" t="n">
        <v>124082.941</v>
      </c>
      <c r="T82" s="7" t="n">
        <v>0</v>
      </c>
    </row>
    <row r="83">
      <c r="A83" t="inlineStr">
        <is>
          <t>Oriel Group N.A.</t>
        </is>
      </c>
      <c r="B83" t="inlineStr">
        <is>
          <t>EUR</t>
        </is>
      </c>
      <c r="C83" t="inlineStr">
        <is>
          <t>824840705580</t>
        </is>
      </c>
      <c r="D83" t="inlineStr">
        <is>
          <t>132356</t>
        </is>
      </c>
      <c r="E83" t="inlineStr">
        <is>
          <t>Nostro EUR 57</t>
        </is>
      </c>
      <c r="F83" s="6" t="n">
        <v>46254</v>
      </c>
      <c r="G83" s="7" t="n">
        <v>75410.602</v>
      </c>
      <c r="H83" s="7" t="n">
        <v>20744.946</v>
      </c>
      <c r="I83" s="7" t="n">
        <v>-26731.744</v>
      </c>
      <c r="J83" s="7" t="n">
        <v>69423.804</v>
      </c>
      <c r="K83" s="7" t="n">
        <v>-5986.798</v>
      </c>
      <c r="L83" s="8" t="n">
        <v>46254.56375</v>
      </c>
      <c r="M83" s="7" t="n">
        <v>69423.804</v>
      </c>
      <c r="N83" s="7" t="n">
        <v>0</v>
      </c>
      <c r="O83" t="inlineStr">
        <is>
          <t>✓</t>
        </is>
      </c>
      <c r="P83" s="7" t="n">
        <v>64702.297</v>
      </c>
      <c r="Q83" s="7" t="n">
        <v>17799.164</v>
      </c>
      <c r="R83" s="7" t="n">
        <v>-22935.836</v>
      </c>
      <c r="S83" s="7" t="n">
        <v>59565.624</v>
      </c>
      <c r="T83" s="7" t="n">
        <v>-5136.673</v>
      </c>
    </row>
    <row r="84">
      <c r="A84" t="inlineStr">
        <is>
          <t>Granite Group plc</t>
        </is>
      </c>
      <c r="B84" t="inlineStr">
        <is>
          <t>PLN</t>
        </is>
      </c>
      <c r="C84" t="inlineStr">
        <is>
          <t>621381112674</t>
        </is>
      </c>
      <c r="D84" t="inlineStr">
        <is>
          <t>945451</t>
        </is>
      </c>
      <c r="E84" t="inlineStr">
        <is>
          <t>Client Money PLN 18</t>
        </is>
      </c>
      <c r="F84" s="6" t="n">
        <v>46254</v>
      </c>
      <c r="G84" s="7" t="n">
        <v>1594741.889</v>
      </c>
      <c r="H84" s="7" t="n">
        <v>0</v>
      </c>
      <c r="I84" s="7" t="n">
        <v>0</v>
      </c>
      <c r="J84" s="7" t="n">
        <v>1594741.889</v>
      </c>
      <c r="K84" s="7" t="n">
        <v>0</v>
      </c>
      <c r="L84" s="8" t="n"/>
      <c r="M84" s="7" t="n">
        <v>1594741.889</v>
      </c>
      <c r="N84" s="7" t="n">
        <v>0</v>
      </c>
      <c r="O84" t="inlineStr">
        <is>
          <t>✓</t>
        </is>
      </c>
      <c r="P84" s="7" t="n">
        <v>315758.894</v>
      </c>
      <c r="Q84" s="7" t="n">
        <v>0</v>
      </c>
      <c r="R84" s="7" t="n">
        <v>0</v>
      </c>
      <c r="S84" s="7" t="n">
        <v>315758.894</v>
      </c>
      <c r="T84" s="7" t="n">
        <v>0</v>
      </c>
    </row>
    <row r="85">
      <c r="A85" t="inlineStr">
        <is>
          <t>Granite Group Ltd</t>
        </is>
      </c>
      <c r="B85" t="inlineStr">
        <is>
          <t>EUR</t>
        </is>
      </c>
      <c r="C85" t="inlineStr">
        <is>
          <t>726928343448</t>
        </is>
      </c>
      <c r="D85" t="inlineStr">
        <is>
          <t>898546</t>
        </is>
      </c>
      <c r="E85" t="inlineStr">
        <is>
          <t>Collateral EUR 44</t>
        </is>
      </c>
      <c r="F85" s="6" t="n">
        <v>46254</v>
      </c>
      <c r="G85" s="7" t="n">
        <v>27437374.071</v>
      </c>
      <c r="H85" s="7" t="n">
        <v>0</v>
      </c>
      <c r="I85" s="7" t="n">
        <v>0</v>
      </c>
      <c r="J85" s="7" t="n">
        <v>27437374.071</v>
      </c>
      <c r="K85" s="7" t="n">
        <v>0</v>
      </c>
      <c r="L85" s="8" t="n"/>
      <c r="M85" s="7" t="n">
        <v>27437374.071</v>
      </c>
      <c r="N85" s="7" t="n">
        <v>0</v>
      </c>
      <c r="O85" t="inlineStr">
        <is>
          <t>✓</t>
        </is>
      </c>
      <c r="P85" s="7" t="n">
        <v>23541266.953</v>
      </c>
      <c r="Q85" s="7" t="n">
        <v>0</v>
      </c>
      <c r="R85" s="7" t="n">
        <v>0</v>
      </c>
      <c r="S85" s="7" t="n">
        <v>23541266.953</v>
      </c>
      <c r="T85" s="7" t="n">
        <v>0</v>
      </c>
    </row>
    <row r="86">
      <c r="A86" t="inlineStr">
        <is>
          <t>Granite Group Ltd</t>
        </is>
      </c>
      <c r="B86" t="inlineStr">
        <is>
          <t>EUR</t>
        </is>
      </c>
      <c r="C86" t="inlineStr">
        <is>
          <t>113829985108</t>
        </is>
      </c>
      <c r="D86" t="inlineStr">
        <is>
          <t>303423</t>
        </is>
      </c>
      <c r="E86" t="inlineStr">
        <is>
          <t>Reserve EUR 51</t>
        </is>
      </c>
      <c r="F86" s="6" t="n">
        <v>46254</v>
      </c>
      <c r="G86" s="7" t="n">
        <v>66681.997</v>
      </c>
      <c r="H86" s="7" t="n">
        <v>11833.636</v>
      </c>
      <c r="I86" s="7" t="n">
        <v>-17247.058</v>
      </c>
      <c r="J86" s="7" t="n">
        <v>61268.575</v>
      </c>
      <c r="K86" s="7" t="n">
        <v>-5413.422</v>
      </c>
      <c r="L86" s="8" t="n">
        <v>46254.31267361111</v>
      </c>
      <c r="M86" s="7" t="n">
        <v>61268.575</v>
      </c>
      <c r="N86" s="7" t="n">
        <v>0</v>
      </c>
      <c r="O86" t="inlineStr">
        <is>
          <t>✓</t>
        </is>
      </c>
      <c r="P86" s="7" t="n">
        <v>57213.153</v>
      </c>
      <c r="Q86" s="7" t="n">
        <v>10153.26</v>
      </c>
      <c r="R86" s="7" t="n">
        <v>-14797.976</v>
      </c>
      <c r="S86" s="7" t="n">
        <v>52568.437</v>
      </c>
      <c r="T86" s="7" t="n">
        <v>-4644.716</v>
      </c>
    </row>
    <row r="87">
      <c r="A87" s="9" t="inlineStr">
        <is>
          <t>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8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4" customWidth="1" min="3" max="3"/>
    <col width="14" customWidth="1" min="4" max="4"/>
    <col width="21" customWidth="1" min="5" max="5"/>
    <col width="15" customWidth="1" min="6" max="6"/>
    <col width="18" customWidth="1" min="7" max="7"/>
    <col width="17" customWidth="1" min="8" max="8"/>
    <col width="20" customWidth="1" min="9" max="9"/>
    <col width="25" customWidth="1" min="10" max="10"/>
    <col width="25" customWidth="1" min="11" max="11"/>
    <col width="18" customWidth="1" min="12" max="12"/>
    <col width="16" customWidth="1" min="13" max="13"/>
    <col width="13" customWidth="1" min="14" max="14"/>
    <col width="16" customWidth="1" min="15" max="15"/>
    <col width="27" customWidth="1" min="16" max="16"/>
    <col width="13" customWidth="1" min="17" max="17"/>
  </cols>
  <sheetData>
    <row r="1">
      <c r="A1" s="2" t="inlineStr">
        <is>
          <t>Business Ledger Transaction View</t>
        </is>
      </c>
    </row>
    <row r="2">
      <c r="A2" s="3" t="inlineStr">
        <is>
          <t>Business Group</t>
        </is>
      </c>
      <c r="B2" s="3" t="inlineStr">
        <is>
          <t>SYNTHETIC CASH MANAGEMENT</t>
        </is>
      </c>
      <c r="D2" s="3" t="inlineStr">
        <is>
          <t>Value Date From</t>
        </is>
      </c>
      <c r="E2" s="4" t="n">
        <v>46251</v>
      </c>
      <c r="G2" s="3" t="inlineStr">
        <is>
          <t>Value Date To</t>
        </is>
      </c>
      <c r="H2" s="4" t="n">
        <v>46254</v>
      </c>
      <c r="J2" s="3" t="inlineStr">
        <is>
          <t>Display CCY</t>
        </is>
      </c>
      <c r="K2" s="3" t="inlineStr">
        <is>
          <t>GBP</t>
        </is>
      </c>
    </row>
    <row r="3">
      <c r="A3" s="3" t="inlineStr">
        <is>
          <t>Dr/Cr Mark</t>
        </is>
      </c>
      <c r="B3" s="3" t="inlineStr">
        <is>
          <t>Both</t>
        </is>
      </c>
      <c r="D3" s="3" t="inlineStr">
        <is>
          <t>Include Cancelled</t>
        </is>
      </c>
      <c r="E3" s="3" t="inlineStr">
        <is>
          <t>Include</t>
        </is>
      </c>
      <c r="G3" s="3" t="inlineStr">
        <is>
          <t>Rows</t>
        </is>
      </c>
      <c r="H3" s="3" t="n">
        <v>2274</v>
      </c>
      <c r="J3" s="3" t="inlineStr">
        <is>
          <t>Data Classification</t>
        </is>
      </c>
      <c r="K3" s="3" t="inlineStr">
        <is>
          <t>Synthetic / non-production</t>
        </is>
      </c>
    </row>
    <row r="6">
      <c r="A6" s="5" t="inlineStr">
        <is>
          <t>Account</t>
        </is>
      </c>
      <c r="B6" s="5" t="inlineStr">
        <is>
          <t>Cashflow Type</t>
        </is>
      </c>
      <c r="C6" s="5" t="inlineStr">
        <is>
          <t>Sub Branch</t>
        </is>
      </c>
      <c r="D6" s="5" t="inlineStr">
        <is>
          <t>Value Date</t>
        </is>
      </c>
      <c r="E6" s="5" t="inlineStr">
        <is>
          <t>Debit/Credit Mark</t>
        </is>
      </c>
      <c r="F6" s="5" t="inlineStr">
        <is>
          <t>CCY (Local)</t>
        </is>
      </c>
      <c r="G6" s="5" t="inlineStr">
        <is>
          <t>Amount (Local)</t>
        </is>
      </c>
      <c r="H6" s="5" t="inlineStr">
        <is>
          <t>CCY (Display)</t>
        </is>
      </c>
      <c r="I6" s="5" t="inlineStr">
        <is>
          <t>Amount (Display)</t>
        </is>
      </c>
      <c r="J6" s="5" t="inlineStr">
        <is>
          <t>Transaction Timestamp</t>
        </is>
      </c>
      <c r="K6" s="5" t="inlineStr">
        <is>
          <t>Transaction Reference</t>
        </is>
      </c>
      <c r="L6" s="5" t="inlineStr">
        <is>
          <t>Ledger Account</t>
        </is>
      </c>
      <c r="M6" s="5" t="inlineStr">
        <is>
          <t>Counterparty</t>
        </is>
      </c>
      <c r="N6" s="5" t="inlineStr">
        <is>
          <t>Book Id</t>
        </is>
      </c>
      <c r="O6" s="5" t="inlineStr">
        <is>
          <t>Trade Status</t>
        </is>
      </c>
      <c r="P6" s="5" t="inlineStr">
        <is>
          <t>Upstream Transaction ID</t>
        </is>
      </c>
      <c r="Q6" s="5" t="inlineStr">
        <is>
          <t>Net Type</t>
        </is>
      </c>
    </row>
    <row r="7">
      <c r="A7" t="inlineStr">
        <is>
          <t>968942362772</t>
        </is>
      </c>
      <c r="B7" t="inlineStr">
        <is>
          <t>TCX</t>
        </is>
      </c>
      <c r="C7" t="inlineStr">
        <is>
          <t>BRYG</t>
        </is>
      </c>
      <c r="D7" s="6" t="n">
        <v>46251</v>
      </c>
      <c r="E7" t="inlineStr">
        <is>
          <t>CR</t>
        </is>
      </c>
      <c r="F7" t="inlineStr">
        <is>
          <t>EUR</t>
        </is>
      </c>
      <c r="G7" s="7" t="n">
        <v>1.453</v>
      </c>
      <c r="H7" t="inlineStr">
        <is>
          <t>GBP</t>
        </is>
      </c>
      <c r="I7" s="7" t="n">
        <v>1.247</v>
      </c>
      <c r="J7" s="8" t="n">
        <v>46251.61625</v>
      </c>
      <c r="K7" t="inlineStr">
        <is>
          <t>CF260817 00001</t>
        </is>
      </c>
      <c r="L7" t="inlineStr">
        <is>
          <t>GL.NOSTRO.EUR.BRYG.009</t>
        </is>
      </c>
      <c r="M7" t="inlineStr">
        <is>
          <t>Dunlin Bank</t>
        </is>
      </c>
      <c r="N7" t="inlineStr">
        <is>
          <t>BRYGMM</t>
        </is>
      </c>
      <c r="O7" t="inlineStr">
        <is>
          <t>AMEND</t>
        </is>
      </c>
      <c r="Q7" t="inlineStr">
        <is>
          <t>NETTER</t>
        </is>
      </c>
    </row>
    <row r="8">
      <c r="A8" t="inlineStr">
        <is>
          <t>265771593142</t>
        </is>
      </c>
      <c r="B8" t="inlineStr">
        <is>
          <t>TCC</t>
        </is>
      </c>
      <c r="C8" t="inlineStr">
        <is>
          <t>BRYG</t>
        </is>
      </c>
      <c r="D8" s="6" t="n">
        <v>46251</v>
      </c>
      <c r="E8" t="inlineStr">
        <is>
          <t>CR</t>
        </is>
      </c>
      <c r="F8" t="inlineStr">
        <is>
          <t>EUR</t>
        </is>
      </c>
      <c r="G8" s="7" t="n">
        <v>6036312.517</v>
      </c>
      <c r="H8" t="inlineStr">
        <is>
          <t>GBP</t>
        </is>
      </c>
      <c r="I8" s="7" t="n">
        <v>5179156.14</v>
      </c>
      <c r="J8" s="8" t="n">
        <v>46251.36590277778</v>
      </c>
      <c r="K8" t="inlineStr">
        <is>
          <t>CF260817 00002</t>
        </is>
      </c>
      <c r="L8" t="inlineStr">
        <is>
          <t>GL.NOSTRO.EUR.BRYG.008</t>
        </is>
      </c>
      <c r="M8" t="inlineStr">
        <is>
          <t>Juniper Settlement Bank</t>
        </is>
      </c>
      <c r="N8" t="inlineStr">
        <is>
          <t>BRYGTRSY</t>
        </is>
      </c>
      <c r="O8" t="inlineStr">
        <is>
          <t>NEW</t>
        </is>
      </c>
      <c r="Q8" t="inlineStr">
        <is>
          <t>NETTER</t>
        </is>
      </c>
    </row>
    <row r="9">
      <c r="A9" t="inlineStr">
        <is>
          <t>284925023085</t>
        </is>
      </c>
      <c r="B9" t="inlineStr">
        <is>
          <t>TCQ</t>
        </is>
      </c>
      <c r="C9" t="inlineStr">
        <is>
          <t>BRMD</t>
        </is>
      </c>
      <c r="D9" s="6" t="n">
        <v>46251</v>
      </c>
      <c r="E9" t="inlineStr">
        <is>
          <t>CR</t>
        </is>
      </c>
      <c r="F9" t="inlineStr">
        <is>
          <t>MXN</t>
        </is>
      </c>
      <c r="G9" s="7" t="n">
        <v>674755461.249</v>
      </c>
      <c r="H9" t="inlineStr">
        <is>
          <t>GBP</t>
        </is>
      </c>
      <c r="I9" s="7" t="n">
        <v>28879533.741</v>
      </c>
      <c r="J9" s="8" t="n">
        <v>46251.45789351852</v>
      </c>
      <c r="K9" t="inlineStr">
        <is>
          <t>CF260817 00003</t>
        </is>
      </c>
      <c r="L9" t="inlineStr">
        <is>
          <t>GL.NOSTRO.MXN.BRMD.002</t>
        </is>
      </c>
      <c r="M9" t="inlineStr">
        <is>
          <t>Dunlin Trust</t>
        </is>
      </c>
      <c r="N9" t="inlineStr">
        <is>
          <t>BRMDTRSY</t>
        </is>
      </c>
      <c r="O9" t="inlineStr">
        <is>
          <t>NEW</t>
        </is>
      </c>
      <c r="P9" t="inlineStr">
        <is>
          <t>NT26081700095</t>
        </is>
      </c>
      <c r="Q9" t="inlineStr">
        <is>
          <t>NETTER</t>
        </is>
      </c>
    </row>
    <row r="10">
      <c r="A10" t="inlineStr">
        <is>
          <t>150316825069</t>
        </is>
      </c>
      <c r="B10" t="inlineStr">
        <is>
          <t>TCP</t>
        </is>
      </c>
      <c r="C10" t="inlineStr">
        <is>
          <t>BRGX</t>
        </is>
      </c>
      <c r="D10" s="6" t="n">
        <v>46251</v>
      </c>
      <c r="E10" t="inlineStr">
        <is>
          <t>CR</t>
        </is>
      </c>
      <c r="F10" t="inlineStr">
        <is>
          <t>GBP</t>
        </is>
      </c>
      <c r="G10" s="7" t="n">
        <v>62165583.744</v>
      </c>
      <c r="H10" t="inlineStr">
        <is>
          <t>GBP</t>
        </is>
      </c>
      <c r="I10" s="7" t="n">
        <v>62165583.744</v>
      </c>
      <c r="J10" s="8" t="n">
        <v>46251.63945601852</v>
      </c>
      <c r="K10" t="inlineStr">
        <is>
          <t>CF260817 00004</t>
        </is>
      </c>
      <c r="L10" t="inlineStr">
        <is>
          <t>GL.NOSTRO.GBP.BRGX.005</t>
        </is>
      </c>
      <c r="M10" t="inlineStr">
        <is>
          <t>Pinehurst Bank</t>
        </is>
      </c>
      <c r="N10" t="inlineStr">
        <is>
          <t>BRGXCASH</t>
        </is>
      </c>
      <c r="O10" t="inlineStr">
        <is>
          <t>NEW</t>
        </is>
      </c>
      <c r="Q10" t="inlineStr">
        <is>
          <t>GROSS</t>
        </is>
      </c>
    </row>
    <row r="11">
      <c r="A11" t="inlineStr">
        <is>
          <t>968942362772</t>
        </is>
      </c>
      <c r="B11" t="inlineStr">
        <is>
          <t>TCG</t>
        </is>
      </c>
      <c r="C11" t="inlineStr">
        <is>
          <t>BRYG</t>
        </is>
      </c>
      <c r="D11" s="6" t="n">
        <v>46251</v>
      </c>
      <c r="E11" t="inlineStr">
        <is>
          <t>DR</t>
        </is>
      </c>
      <c r="F11" t="inlineStr">
        <is>
          <t>EUR</t>
        </is>
      </c>
      <c r="G11" s="7" t="n">
        <v>-77256804.72400001</v>
      </c>
      <c r="H11" t="inlineStr">
        <is>
          <t>GBP</t>
        </is>
      </c>
      <c r="I11" s="7" t="n">
        <v>-66286338.453</v>
      </c>
      <c r="J11" s="8" t="n">
        <v>46251.59251157408</v>
      </c>
      <c r="K11" t="inlineStr">
        <is>
          <t>CF260817 00005</t>
        </is>
      </c>
      <c r="L11" t="inlineStr">
        <is>
          <t>GL.NOSTRO.EUR.BRYG.007</t>
        </is>
      </c>
      <c r="M11" t="inlineStr">
        <is>
          <t>Umberton Commercial Bank</t>
        </is>
      </c>
      <c r="N11" t="inlineStr">
        <is>
          <t>BRYGCASH</t>
        </is>
      </c>
      <c r="O11" t="inlineStr">
        <is>
          <t>CANCEL</t>
        </is>
      </c>
      <c r="P11" t="inlineStr">
        <is>
          <t>NT26081700098</t>
        </is>
      </c>
      <c r="Q11" t="inlineStr">
        <is>
          <t>GROSS</t>
        </is>
      </c>
    </row>
    <row r="12">
      <c r="A12" t="inlineStr">
        <is>
          <t>150316825069</t>
        </is>
      </c>
      <c r="B12" t="inlineStr">
        <is>
          <t>TCX</t>
        </is>
      </c>
      <c r="C12" t="inlineStr">
        <is>
          <t>BRGX</t>
        </is>
      </c>
      <c r="D12" s="6" t="n">
        <v>46251</v>
      </c>
      <c r="E12" t="inlineStr">
        <is>
          <t>CR</t>
        </is>
      </c>
      <c r="F12" t="inlineStr">
        <is>
          <t>GBP</t>
        </is>
      </c>
      <c r="G12" s="7" t="n">
        <v>833205184.3839999</v>
      </c>
      <c r="H12" t="inlineStr">
        <is>
          <t>GBP</t>
        </is>
      </c>
      <c r="I12" s="7" t="n">
        <v>833205184.3839999</v>
      </c>
      <c r="J12" s="8" t="n">
        <v>46251.70167824074</v>
      </c>
      <c r="K12" t="inlineStr">
        <is>
          <t>CF260817 00006</t>
        </is>
      </c>
      <c r="L12" t="inlineStr">
        <is>
          <t>GL.NOSTRO.GBP.BRGX.007</t>
        </is>
      </c>
      <c r="M12" t="inlineStr">
        <is>
          <t>Pinehurst Bank</t>
        </is>
      </c>
      <c r="N12" t="inlineStr">
        <is>
          <t>BRGXTRSY</t>
        </is>
      </c>
      <c r="O12" t="inlineStr">
        <is>
          <t>AMEND</t>
        </is>
      </c>
      <c r="P12" t="inlineStr">
        <is>
          <t>NT26081700097</t>
        </is>
      </c>
      <c r="Q12" t="inlineStr">
        <is>
          <t>NETTER</t>
        </is>
      </c>
    </row>
    <row r="13">
      <c r="A13" t="inlineStr">
        <is>
          <t>468341071172</t>
        </is>
      </c>
      <c r="B13" t="inlineStr">
        <is>
          <t>TCC</t>
        </is>
      </c>
      <c r="C13" t="inlineStr">
        <is>
          <t>BRCC</t>
        </is>
      </c>
      <c r="D13" s="6" t="n">
        <v>46251</v>
      </c>
      <c r="E13" t="inlineStr">
        <is>
          <t>CR</t>
        </is>
      </c>
      <c r="F13" t="inlineStr">
        <is>
          <t>EUR</t>
        </is>
      </c>
      <c r="G13" s="7" t="n">
        <v>87962.481</v>
      </c>
      <c r="H13" t="inlineStr">
        <is>
          <t>GBP</t>
        </is>
      </c>
      <c r="I13" s="7" t="n">
        <v>75471.80899999999</v>
      </c>
      <c r="J13" s="8" t="n">
        <v>46251.36902777778</v>
      </c>
      <c r="K13" t="inlineStr">
        <is>
          <t>CF260817 00007</t>
        </is>
      </c>
      <c r="L13" t="inlineStr">
        <is>
          <t>GL.NOSTRO.EUR.BRCC.007</t>
        </is>
      </c>
      <c r="M13" t="inlineStr">
        <is>
          <t>Sablewood Commercial Bank</t>
        </is>
      </c>
      <c r="N13" t="inlineStr">
        <is>
          <t>BRCCTRSY</t>
        </is>
      </c>
      <c r="O13" t="inlineStr">
        <is>
          <t>NEW</t>
        </is>
      </c>
      <c r="Q13" t="inlineStr">
        <is>
          <t>GROSS</t>
        </is>
      </c>
    </row>
    <row r="14">
      <c r="A14" t="inlineStr">
        <is>
          <t>359365220160</t>
        </is>
      </c>
      <c r="B14" t="inlineStr">
        <is>
          <t>TCG</t>
        </is>
      </c>
      <c r="C14" t="inlineStr">
        <is>
          <t>BRGX</t>
        </is>
      </c>
      <c r="D14" s="6" t="n">
        <v>46251</v>
      </c>
      <c r="E14" t="inlineStr">
        <is>
          <t>DR</t>
        </is>
      </c>
      <c r="F14" t="inlineStr">
        <is>
          <t>EUR</t>
        </is>
      </c>
      <c r="G14" s="7" t="n">
        <v>-26838861.822</v>
      </c>
      <c r="H14" t="inlineStr">
        <is>
          <t>GBP</t>
        </is>
      </c>
      <c r="I14" s="7" t="n">
        <v>-23027743.443</v>
      </c>
      <c r="J14" s="8" t="n">
        <v>46251.93646990741</v>
      </c>
      <c r="K14" t="inlineStr">
        <is>
          <t>CF260817 00008</t>
        </is>
      </c>
      <c r="L14" t="inlineStr">
        <is>
          <t>GL.NOSTRO.EUR.BRGX.007</t>
        </is>
      </c>
      <c r="M14" t="inlineStr">
        <is>
          <t>Juniper Settlement Bank</t>
        </is>
      </c>
      <c r="N14" t="inlineStr">
        <is>
          <t>BRGXMM</t>
        </is>
      </c>
      <c r="O14" t="inlineStr">
        <is>
          <t>NEW</t>
        </is>
      </c>
      <c r="P14" t="inlineStr">
        <is>
          <t>NT26081700078</t>
        </is>
      </c>
      <c r="Q14" t="inlineStr">
        <is>
          <t>GROSS</t>
        </is>
      </c>
    </row>
    <row r="15">
      <c r="A15" t="inlineStr">
        <is>
          <t>150316825069</t>
        </is>
      </c>
      <c r="B15" t="inlineStr">
        <is>
          <t>TCC</t>
        </is>
      </c>
      <c r="C15" t="inlineStr">
        <is>
          <t>BRGX</t>
        </is>
      </c>
      <c r="D15" s="6" t="n">
        <v>46251</v>
      </c>
      <c r="E15" t="inlineStr">
        <is>
          <t>CR</t>
        </is>
      </c>
      <c r="F15" t="inlineStr">
        <is>
          <t>GBP</t>
        </is>
      </c>
      <c r="G15" s="7" t="n">
        <v>16575.245</v>
      </c>
      <c r="H15" t="inlineStr">
        <is>
          <t>GBP</t>
        </is>
      </c>
      <c r="I15" s="7" t="n">
        <v>16575.245</v>
      </c>
      <c r="J15" s="8" t="n">
        <v>46251.77019675926</v>
      </c>
      <c r="K15" t="inlineStr">
        <is>
          <t>CF260817 00009</t>
        </is>
      </c>
      <c r="L15" t="inlineStr">
        <is>
          <t>GL.NOSTRO.GBP.BRGX.008</t>
        </is>
      </c>
      <c r="M15" t="inlineStr">
        <is>
          <t>Zephyr Commercial Bank</t>
        </is>
      </c>
      <c r="N15" t="inlineStr">
        <is>
          <t>BRGXCASH</t>
        </is>
      </c>
      <c r="O15" t="inlineStr">
        <is>
          <t>AMEND</t>
        </is>
      </c>
      <c r="Q15" t="inlineStr">
        <is>
          <t>NETTER</t>
        </is>
      </c>
    </row>
    <row r="16">
      <c r="A16" t="inlineStr">
        <is>
          <t>468341071172</t>
        </is>
      </c>
      <c r="B16" t="inlineStr">
        <is>
          <t>TCX</t>
        </is>
      </c>
      <c r="C16" t="inlineStr">
        <is>
          <t>BRCC</t>
        </is>
      </c>
      <c r="D16" s="6" t="n">
        <v>46251</v>
      </c>
      <c r="E16" t="inlineStr">
        <is>
          <t>CR</t>
        </is>
      </c>
      <c r="F16" t="inlineStr">
        <is>
          <t>EUR</t>
        </is>
      </c>
      <c r="G16" s="7" t="n">
        <v>5352.144</v>
      </c>
      <c r="H16" t="inlineStr">
        <is>
          <t>GBP</t>
        </is>
      </c>
      <c r="I16" s="7" t="n">
        <v>4592.14</v>
      </c>
      <c r="J16" s="8" t="n">
        <v>46251.56476851852</v>
      </c>
      <c r="K16" t="inlineStr">
        <is>
          <t>CF260817 00010</t>
        </is>
      </c>
      <c r="L16" t="inlineStr">
        <is>
          <t>GL.NOSTRO.EUR.BRCC.007</t>
        </is>
      </c>
      <c r="M16" t="inlineStr">
        <is>
          <t>Elmwood Clearing</t>
        </is>
      </c>
      <c r="N16" t="inlineStr">
        <is>
          <t>BRCCTRSY</t>
        </is>
      </c>
      <c r="O16" t="inlineStr">
        <is>
          <t>NEW</t>
        </is>
      </c>
      <c r="Q16" t="inlineStr">
        <is>
          <t>NETTER</t>
        </is>
      </c>
    </row>
    <row r="17">
      <c r="A17" t="inlineStr">
        <is>
          <t>499062838623</t>
        </is>
      </c>
      <c r="B17" t="inlineStr">
        <is>
          <t>TCQ</t>
        </is>
      </c>
      <c r="C17" t="inlineStr">
        <is>
          <t>BRBX</t>
        </is>
      </c>
      <c r="D17" s="6" t="n">
        <v>46251</v>
      </c>
      <c r="E17" t="inlineStr">
        <is>
          <t>DR</t>
        </is>
      </c>
      <c r="F17" t="inlineStr">
        <is>
          <t>USD</t>
        </is>
      </c>
      <c r="G17" s="7" t="n">
        <v>-57012959.274</v>
      </c>
      <c r="H17" t="inlineStr">
        <is>
          <t>GBP</t>
        </is>
      </c>
      <c r="I17" s="7" t="n">
        <v>-44698160.071</v>
      </c>
      <c r="J17" s="8" t="n">
        <v>46251.35354166666</v>
      </c>
      <c r="K17" t="inlineStr">
        <is>
          <t>CF260817 00011</t>
        </is>
      </c>
      <c r="L17" t="inlineStr">
        <is>
          <t>GL.NOSTRO.USD.BRBX.006</t>
        </is>
      </c>
      <c r="M17" t="inlineStr">
        <is>
          <t>Oriel Trust</t>
        </is>
      </c>
      <c r="N17" t="inlineStr">
        <is>
          <t>BRBXCASH</t>
        </is>
      </c>
      <c r="O17" t="inlineStr">
        <is>
          <t>NEW</t>
        </is>
      </c>
      <c r="Q17" t="inlineStr">
        <is>
          <t>NETTER</t>
        </is>
      </c>
    </row>
    <row r="18">
      <c r="A18" t="inlineStr">
        <is>
          <t>284925023085</t>
        </is>
      </c>
      <c r="B18" t="inlineStr">
        <is>
          <t>TCG</t>
        </is>
      </c>
      <c r="C18" t="inlineStr">
        <is>
          <t>BRMD</t>
        </is>
      </c>
      <c r="D18" s="6" t="n">
        <v>46251</v>
      </c>
      <c r="E18" t="inlineStr">
        <is>
          <t>DR</t>
        </is>
      </c>
      <c r="F18" t="inlineStr">
        <is>
          <t>MXN</t>
        </is>
      </c>
      <c r="G18" s="7" t="n">
        <v>-15811762.519</v>
      </c>
      <c r="H18" t="inlineStr">
        <is>
          <t>GBP</t>
        </is>
      </c>
      <c r="I18" s="7" t="n">
        <v>-676743.436</v>
      </c>
      <c r="J18" s="8" t="n">
        <v>46251.64211805556</v>
      </c>
      <c r="K18" t="inlineStr">
        <is>
          <t>CF260817 00012</t>
        </is>
      </c>
      <c r="L18" t="inlineStr">
        <is>
          <t>GL.NOSTRO.MXN.BRMD.001</t>
        </is>
      </c>
      <c r="M18" t="inlineStr">
        <is>
          <t>Granite Clearing</t>
        </is>
      </c>
      <c r="N18" t="inlineStr">
        <is>
          <t>BRMD</t>
        </is>
      </c>
      <c r="O18" t="inlineStr">
        <is>
          <t>NEW</t>
        </is>
      </c>
      <c r="P18" t="inlineStr">
        <is>
          <t>NT26081700093</t>
        </is>
      </c>
      <c r="Q18" t="inlineStr">
        <is>
          <t>NETTER</t>
        </is>
      </c>
    </row>
    <row r="19">
      <c r="A19" t="inlineStr">
        <is>
          <t>700726936098</t>
        </is>
      </c>
      <c r="B19" t="inlineStr">
        <is>
          <t>TCX</t>
        </is>
      </c>
      <c r="C19" t="inlineStr">
        <is>
          <t>BRMD</t>
        </is>
      </c>
      <c r="D19" s="6" t="n">
        <v>46251</v>
      </c>
      <c r="E19" t="inlineStr">
        <is>
          <t>CR</t>
        </is>
      </c>
      <c r="F19" t="inlineStr">
        <is>
          <t>SAR</t>
        </is>
      </c>
      <c r="G19" s="7" t="n">
        <v>2226903.866</v>
      </c>
      <c r="H19" t="inlineStr">
        <is>
          <t>GBP</t>
        </is>
      </c>
      <c r="I19" s="7" t="n">
        <v>465422.908</v>
      </c>
      <c r="J19" s="8" t="n">
        <v>46251.67114583333</v>
      </c>
      <c r="K19" t="inlineStr">
        <is>
          <t>CF260817 00013</t>
        </is>
      </c>
      <c r="L19" t="inlineStr">
        <is>
          <t>GL.NOSTRO.SAR.BRMD.007</t>
        </is>
      </c>
      <c r="M19" t="inlineStr">
        <is>
          <t>Bramble Bank</t>
        </is>
      </c>
      <c r="N19" t="inlineStr">
        <is>
          <t>BRMDTRSY</t>
        </is>
      </c>
      <c r="O19" t="inlineStr">
        <is>
          <t>NEW</t>
        </is>
      </c>
      <c r="Q19" t="inlineStr">
        <is>
          <t>NETTER</t>
        </is>
      </c>
    </row>
    <row r="20">
      <c r="A20" t="inlineStr">
        <is>
          <t>824840705580</t>
        </is>
      </c>
      <c r="B20" t="inlineStr">
        <is>
          <t>TCP</t>
        </is>
      </c>
      <c r="C20" t="inlineStr">
        <is>
          <t>BRGL</t>
        </is>
      </c>
      <c r="D20" s="6" t="n">
        <v>46251</v>
      </c>
      <c r="E20" t="inlineStr">
        <is>
          <t>DR</t>
        </is>
      </c>
      <c r="F20" t="inlineStr">
        <is>
          <t>EUR</t>
        </is>
      </c>
      <c r="G20" s="7" t="n">
        <v>-13728319.894</v>
      </c>
      <c r="H20" t="inlineStr">
        <is>
          <t>GBP</t>
        </is>
      </c>
      <c r="I20" s="7" t="n">
        <v>-11778898.469</v>
      </c>
      <c r="J20" s="8" t="n">
        <v>46251.35596064815</v>
      </c>
      <c r="K20" t="inlineStr">
        <is>
          <t>CF260817 00014</t>
        </is>
      </c>
      <c r="L20" t="inlineStr">
        <is>
          <t>GL.NOSTRO.EUR.BRGL.004</t>
        </is>
      </c>
      <c r="M20" t="inlineStr">
        <is>
          <t>Wrenfield Settlement Bank</t>
        </is>
      </c>
      <c r="N20" t="inlineStr">
        <is>
          <t>BRGLMM</t>
        </is>
      </c>
      <c r="O20" t="inlineStr">
        <is>
          <t>NEW</t>
        </is>
      </c>
      <c r="P20" t="inlineStr">
        <is>
          <t>NT26081700088</t>
        </is>
      </c>
      <c r="Q20" t="inlineStr">
        <is>
          <t>GROSS</t>
        </is>
      </c>
    </row>
    <row r="21">
      <c r="A21" t="inlineStr">
        <is>
          <t>150316825069</t>
        </is>
      </c>
      <c r="B21" t="inlineStr">
        <is>
          <t>TCG</t>
        </is>
      </c>
      <c r="C21" t="inlineStr">
        <is>
          <t>BRGX</t>
        </is>
      </c>
      <c r="D21" s="6" t="n">
        <v>46251</v>
      </c>
      <c r="E21" t="inlineStr">
        <is>
          <t>DR</t>
        </is>
      </c>
      <c r="F21" t="inlineStr">
        <is>
          <t>GBP</t>
        </is>
      </c>
      <c r="G21" s="7" t="n">
        <v>-43420111.85</v>
      </c>
      <c r="H21" t="inlineStr">
        <is>
          <t>GBP</t>
        </is>
      </c>
      <c r="I21" s="7" t="n">
        <v>-43420111.85</v>
      </c>
      <c r="J21" s="8" t="n">
        <v>46251.89228009259</v>
      </c>
      <c r="K21" t="inlineStr">
        <is>
          <t>CF260817 00015</t>
        </is>
      </c>
      <c r="L21" t="inlineStr">
        <is>
          <t>GL.NOSTRO.GBP.BRGX.004</t>
        </is>
      </c>
      <c r="M21" t="inlineStr">
        <is>
          <t>Granite Clearing</t>
        </is>
      </c>
      <c r="N21" t="inlineStr">
        <is>
          <t>BRGXTRSY</t>
        </is>
      </c>
      <c r="O21" t="inlineStr">
        <is>
          <t>NEW</t>
        </is>
      </c>
      <c r="P21" t="inlineStr">
        <is>
          <t>NT26081700081</t>
        </is>
      </c>
      <c r="Q21" t="inlineStr">
        <is>
          <t>NETTER</t>
        </is>
      </c>
    </row>
    <row r="22">
      <c r="A22" t="inlineStr">
        <is>
          <t>794226063698</t>
        </is>
      </c>
      <c r="B22" t="inlineStr">
        <is>
          <t>TCC</t>
        </is>
      </c>
      <c r="C22" t="inlineStr">
        <is>
          <t>BRMD</t>
        </is>
      </c>
      <c r="D22" s="6" t="n">
        <v>46251</v>
      </c>
      <c r="E22" t="inlineStr">
        <is>
          <t>DR</t>
        </is>
      </c>
      <c r="F22" t="inlineStr">
        <is>
          <t>AED</t>
        </is>
      </c>
      <c r="G22" s="7" t="n">
        <v>-759276836.901</v>
      </c>
      <c r="H22" t="inlineStr">
        <is>
          <t>GBP</t>
        </is>
      </c>
      <c r="I22" s="7" t="n">
        <v>-161725966.26</v>
      </c>
      <c r="J22" s="8" t="n">
        <v>46251.30293981481</v>
      </c>
      <c r="K22" t="inlineStr">
        <is>
          <t>CF260817 00016</t>
        </is>
      </c>
      <c r="L22" t="inlineStr">
        <is>
          <t>GL.NOSTRO.AED.BRMD.005</t>
        </is>
      </c>
      <c r="M22" t="inlineStr">
        <is>
          <t>Zephyr Bank</t>
        </is>
      </c>
      <c r="N22" t="inlineStr">
        <is>
          <t>BRMDMM</t>
        </is>
      </c>
      <c r="O22" t="inlineStr">
        <is>
          <t>NEW</t>
        </is>
      </c>
      <c r="P22" t="inlineStr">
        <is>
          <t>NT26081700112</t>
        </is>
      </c>
      <c r="Q22" t="inlineStr">
        <is>
          <t>NETTER</t>
        </is>
      </c>
    </row>
    <row r="23">
      <c r="A23" t="inlineStr">
        <is>
          <t>150316825069</t>
        </is>
      </c>
      <c r="B23" t="inlineStr">
        <is>
          <t>TCQ</t>
        </is>
      </c>
      <c r="C23" t="inlineStr">
        <is>
          <t>BRGX</t>
        </is>
      </c>
      <c r="D23" s="6" t="n">
        <v>46251</v>
      </c>
      <c r="E23" t="inlineStr">
        <is>
          <t>CR</t>
        </is>
      </c>
      <c r="F23" t="inlineStr">
        <is>
          <t>GBP</t>
        </is>
      </c>
      <c r="G23" s="7" t="n">
        <v>4476330.455</v>
      </c>
      <c r="H23" t="inlineStr">
        <is>
          <t>GBP</t>
        </is>
      </c>
      <c r="I23" s="7" t="n">
        <v>4476330.455</v>
      </c>
      <c r="J23" s="8" t="n">
        <v>46251.60172453704</v>
      </c>
      <c r="K23" t="inlineStr">
        <is>
          <t>CF260817 00017</t>
        </is>
      </c>
      <c r="L23" t="inlineStr">
        <is>
          <t>GL.NOSTRO.GBP.BRGX.005</t>
        </is>
      </c>
      <c r="M23" t="inlineStr">
        <is>
          <t>Yarrow Clearing</t>
        </is>
      </c>
      <c r="N23" t="inlineStr">
        <is>
          <t>BRGXTRSY</t>
        </is>
      </c>
      <c r="O23" t="inlineStr">
        <is>
          <t>NEW</t>
        </is>
      </c>
      <c r="Q23" t="inlineStr">
        <is>
          <t>NETTER</t>
        </is>
      </c>
    </row>
    <row r="24">
      <c r="A24" t="inlineStr">
        <is>
          <t>621381112674</t>
        </is>
      </c>
      <c r="B24" t="inlineStr">
        <is>
          <t>TCC</t>
        </is>
      </c>
      <c r="C24" t="inlineStr">
        <is>
          <t>BRAA</t>
        </is>
      </c>
      <c r="D24" s="6" t="n">
        <v>46251</v>
      </c>
      <c r="E24" t="inlineStr">
        <is>
          <t>DR</t>
        </is>
      </c>
      <c r="F24" t="inlineStr">
        <is>
          <t>PLN</t>
        </is>
      </c>
      <c r="G24" s="7" t="n">
        <v>-1259818.943</v>
      </c>
      <c r="H24" t="inlineStr">
        <is>
          <t>GBP</t>
        </is>
      </c>
      <c r="I24" s="7" t="n">
        <v>-249444.151</v>
      </c>
      <c r="J24" s="8" t="n">
        <v>46251.6061574074</v>
      </c>
      <c r="K24" t="inlineStr">
        <is>
          <t>CF260817 00018</t>
        </is>
      </c>
      <c r="L24" t="inlineStr">
        <is>
          <t>GL.NOSTRO.PLN.BRAA.008</t>
        </is>
      </c>
      <c r="M24" t="inlineStr">
        <is>
          <t>Harrow Clearing</t>
        </is>
      </c>
      <c r="N24" t="inlineStr">
        <is>
          <t>BRAACASH</t>
        </is>
      </c>
      <c r="O24" t="inlineStr">
        <is>
          <t>NEW</t>
        </is>
      </c>
      <c r="Q24" t="inlineStr">
        <is>
          <t>INTERNAL</t>
        </is>
      </c>
    </row>
    <row r="25">
      <c r="A25" t="inlineStr">
        <is>
          <t>621381112674</t>
        </is>
      </c>
      <c r="B25" t="inlineStr">
        <is>
          <t>TCX</t>
        </is>
      </c>
      <c r="C25" t="inlineStr">
        <is>
          <t>BRAA</t>
        </is>
      </c>
      <c r="D25" s="6" t="n">
        <v>46251</v>
      </c>
      <c r="E25" t="inlineStr">
        <is>
          <t>DR</t>
        </is>
      </c>
      <c r="F25" t="inlineStr">
        <is>
          <t>PLN</t>
        </is>
      </c>
      <c r="G25" s="7" t="n">
        <v>-72939562.303</v>
      </c>
      <c r="H25" t="inlineStr">
        <is>
          <t>GBP</t>
        </is>
      </c>
      <c r="I25" s="7" t="n">
        <v>-14442033.336</v>
      </c>
      <c r="J25" s="8" t="n">
        <v>46251.70053240741</v>
      </c>
      <c r="K25" t="inlineStr">
        <is>
          <t>CF260817 00019</t>
        </is>
      </c>
      <c r="L25" t="inlineStr">
        <is>
          <t>GL.NOSTRO.PLN.BRAA.009</t>
        </is>
      </c>
      <c r="M25" t="inlineStr">
        <is>
          <t>Juniper Bank</t>
        </is>
      </c>
      <c r="N25" t="inlineStr">
        <is>
          <t>BRAATRSY</t>
        </is>
      </c>
      <c r="O25" t="inlineStr">
        <is>
          <t>AMEND</t>
        </is>
      </c>
      <c r="Q25" t="inlineStr">
        <is>
          <t>GROSS</t>
        </is>
      </c>
    </row>
    <row r="26">
      <c r="A26" t="inlineStr">
        <is>
          <t>150316825069</t>
        </is>
      </c>
      <c r="B26" t="inlineStr">
        <is>
          <t>TCG</t>
        </is>
      </c>
      <c r="C26" t="inlineStr">
        <is>
          <t>BRGX</t>
        </is>
      </c>
      <c r="D26" s="6" t="n">
        <v>46251</v>
      </c>
      <c r="E26" t="inlineStr">
        <is>
          <t>DR</t>
        </is>
      </c>
      <c r="F26" t="inlineStr">
        <is>
          <t>GBP</t>
        </is>
      </c>
      <c r="G26" s="7" t="n">
        <v>-24277820.344</v>
      </c>
      <c r="H26" t="inlineStr">
        <is>
          <t>GBP</t>
        </is>
      </c>
      <c r="I26" s="7" t="n">
        <v>-24277820.344</v>
      </c>
      <c r="J26" s="8" t="n">
        <v>46251.58869212963</v>
      </c>
      <c r="K26" t="inlineStr">
        <is>
          <t>CF260817 00020</t>
        </is>
      </c>
      <c r="L26" t="inlineStr">
        <is>
          <t>GL.NOSTRO.GBP.BRGX.001</t>
        </is>
      </c>
      <c r="M26" t="inlineStr">
        <is>
          <t>Dunlin Bank</t>
        </is>
      </c>
      <c r="N26" t="inlineStr">
        <is>
          <t>BRGX</t>
        </is>
      </c>
      <c r="O26" t="inlineStr">
        <is>
          <t>AMEND</t>
        </is>
      </c>
      <c r="Q26" t="inlineStr">
        <is>
          <t>GROSS</t>
        </is>
      </c>
    </row>
    <row r="27">
      <c r="A27" t="inlineStr">
        <is>
          <t>794226063698</t>
        </is>
      </c>
      <c r="B27" t="inlineStr">
        <is>
          <t>TCX</t>
        </is>
      </c>
      <c r="C27" t="inlineStr">
        <is>
          <t>BRMD</t>
        </is>
      </c>
      <c r="D27" s="6" t="n">
        <v>46251</v>
      </c>
      <c r="E27" t="inlineStr">
        <is>
          <t>CR</t>
        </is>
      </c>
      <c r="F27" t="inlineStr">
        <is>
          <t>AED</t>
        </is>
      </c>
      <c r="G27" s="7" t="n">
        <v>26040725.485</v>
      </c>
      <c r="H27" t="inlineStr">
        <is>
          <t>GBP</t>
        </is>
      </c>
      <c r="I27" s="7" t="n">
        <v>5546674.528</v>
      </c>
      <c r="J27" s="8" t="n">
        <v>46251.50168981482</v>
      </c>
      <c r="K27" t="inlineStr">
        <is>
          <t>CF260817 00021</t>
        </is>
      </c>
      <c r="L27" t="inlineStr">
        <is>
          <t>GL.NOSTRO.AED.BRMD.004</t>
        </is>
      </c>
      <c r="M27" t="inlineStr">
        <is>
          <t>Yarrow Bank</t>
        </is>
      </c>
      <c r="N27" t="inlineStr">
        <is>
          <t>BRMD</t>
        </is>
      </c>
      <c r="O27" t="inlineStr">
        <is>
          <t>NEW</t>
        </is>
      </c>
      <c r="Q27" t="inlineStr">
        <is>
          <t>INTERNAL</t>
        </is>
      </c>
    </row>
    <row r="28">
      <c r="A28" t="inlineStr">
        <is>
          <t>794226063698</t>
        </is>
      </c>
      <c r="B28" t="inlineStr">
        <is>
          <t>TCX</t>
        </is>
      </c>
      <c r="C28" t="inlineStr">
        <is>
          <t>BRMD</t>
        </is>
      </c>
      <c r="D28" s="6" t="n">
        <v>46251</v>
      </c>
      <c r="E28" t="inlineStr">
        <is>
          <t>CR</t>
        </is>
      </c>
      <c r="F28" t="inlineStr">
        <is>
          <t>AED</t>
        </is>
      </c>
      <c r="G28" s="7" t="n">
        <v>1.721</v>
      </c>
      <c r="H28" t="inlineStr">
        <is>
          <t>GBP</t>
        </is>
      </c>
      <c r="I28" s="7" t="n">
        <v>0.367</v>
      </c>
      <c r="J28" s="8" t="n">
        <v>46251.37350694444</v>
      </c>
      <c r="K28" t="inlineStr">
        <is>
          <t>CF260817 00022</t>
        </is>
      </c>
      <c r="L28" t="inlineStr">
        <is>
          <t>GL.NOSTRO.AED.BRMD.007</t>
        </is>
      </c>
      <c r="M28" t="inlineStr">
        <is>
          <t>Wrenfield Settlement Bank</t>
        </is>
      </c>
      <c r="N28" t="inlineStr">
        <is>
          <t>BRMDTRSY</t>
        </is>
      </c>
      <c r="O28" t="inlineStr">
        <is>
          <t>NEW</t>
        </is>
      </c>
      <c r="Q28" t="inlineStr">
        <is>
          <t>NETTER</t>
        </is>
      </c>
    </row>
    <row r="29">
      <c r="A29" t="inlineStr">
        <is>
          <t>794226063698</t>
        </is>
      </c>
      <c r="B29" t="inlineStr">
        <is>
          <t>TCX</t>
        </is>
      </c>
      <c r="C29" t="inlineStr">
        <is>
          <t>BRMD</t>
        </is>
      </c>
      <c r="D29" s="6" t="n">
        <v>46251</v>
      </c>
      <c r="E29" t="inlineStr">
        <is>
          <t>CR</t>
        </is>
      </c>
      <c r="F29" t="inlineStr">
        <is>
          <t>AED</t>
        </is>
      </c>
      <c r="G29" s="7" t="n">
        <v>679076.558</v>
      </c>
      <c r="H29" t="inlineStr">
        <is>
          <t>GBP</t>
        </is>
      </c>
      <c r="I29" s="7" t="n">
        <v>144643.307</v>
      </c>
      <c r="J29" s="8" t="n">
        <v>46251.37854166667</v>
      </c>
      <c r="K29" t="inlineStr">
        <is>
          <t>CF260817 00023</t>
        </is>
      </c>
      <c r="L29" t="inlineStr">
        <is>
          <t>GL.NOSTRO.AED.BRMD.009</t>
        </is>
      </c>
      <c r="M29" t="inlineStr">
        <is>
          <t>Pinehurst Settlement Bank</t>
        </is>
      </c>
      <c r="N29" t="inlineStr">
        <is>
          <t>BRMDCASH</t>
        </is>
      </c>
      <c r="O29" t="inlineStr">
        <is>
          <t>NEW</t>
        </is>
      </c>
      <c r="P29" t="inlineStr">
        <is>
          <t>NT26081700096</t>
        </is>
      </c>
      <c r="Q29" t="inlineStr">
        <is>
          <t>NETTER</t>
        </is>
      </c>
    </row>
    <row r="30">
      <c r="A30" t="inlineStr">
        <is>
          <t>794226063698</t>
        </is>
      </c>
      <c r="B30" t="inlineStr">
        <is>
          <t>TCQ</t>
        </is>
      </c>
      <c r="C30" t="inlineStr">
        <is>
          <t>BRMD</t>
        </is>
      </c>
      <c r="D30" s="6" t="n">
        <v>46251</v>
      </c>
      <c r="E30" t="inlineStr">
        <is>
          <t>CR</t>
        </is>
      </c>
      <c r="F30" t="inlineStr">
        <is>
          <t>AED</t>
        </is>
      </c>
      <c r="G30" s="7" t="n">
        <v>957177.919</v>
      </c>
      <c r="H30" t="inlineStr">
        <is>
          <t>GBP</t>
        </is>
      </c>
      <c r="I30" s="7" t="n">
        <v>203878.897</v>
      </c>
      <c r="J30" s="8" t="n">
        <v>46251.40767361111</v>
      </c>
      <c r="K30" t="inlineStr">
        <is>
          <t>CF260817 00024</t>
        </is>
      </c>
      <c r="L30" t="inlineStr">
        <is>
          <t>GL.NOSTRO.AED.BRMD.004</t>
        </is>
      </c>
      <c r="M30" t="inlineStr">
        <is>
          <t>Harrow Clearing</t>
        </is>
      </c>
      <c r="N30" t="inlineStr">
        <is>
          <t>BRMDTRSY</t>
        </is>
      </c>
      <c r="O30" t="inlineStr">
        <is>
          <t>NEW</t>
        </is>
      </c>
      <c r="P30" t="inlineStr">
        <is>
          <t>NT26081700105</t>
        </is>
      </c>
      <c r="Q30" t="inlineStr">
        <is>
          <t>INTERNAL</t>
        </is>
      </c>
    </row>
    <row r="31">
      <c r="A31" t="inlineStr">
        <is>
          <t>120047354818</t>
        </is>
      </c>
      <c r="B31" t="inlineStr">
        <is>
          <t>TCC</t>
        </is>
      </c>
      <c r="C31" t="inlineStr">
        <is>
          <t>BRNK</t>
        </is>
      </c>
      <c r="D31" s="6" t="n">
        <v>46251</v>
      </c>
      <c r="E31" t="inlineStr">
        <is>
          <t>DR</t>
        </is>
      </c>
      <c r="F31" t="inlineStr">
        <is>
          <t>USD</t>
        </is>
      </c>
      <c r="G31" s="7" t="n">
        <v>-79498933.42399999</v>
      </c>
      <c r="H31" t="inlineStr">
        <is>
          <t>GBP</t>
        </is>
      </c>
      <c r="I31" s="7" t="n">
        <v>-62327163.804</v>
      </c>
      <c r="J31" s="8" t="n">
        <v>46251.48069444444</v>
      </c>
      <c r="K31" t="inlineStr">
        <is>
          <t>CF260817 00025</t>
        </is>
      </c>
      <c r="L31" t="inlineStr">
        <is>
          <t>GL.NOSTRO.USD.BRNK.003</t>
        </is>
      </c>
      <c r="M31" t="inlineStr">
        <is>
          <t>Fernway Settlement Bank</t>
        </is>
      </c>
      <c r="N31" t="inlineStr">
        <is>
          <t>BRNKMM</t>
        </is>
      </c>
      <c r="O31" t="inlineStr">
        <is>
          <t>NEW</t>
        </is>
      </c>
      <c r="Q31" t="inlineStr">
        <is>
          <t>NETTER</t>
        </is>
      </c>
    </row>
    <row r="32">
      <c r="A32" t="inlineStr">
        <is>
          <t>968942362772</t>
        </is>
      </c>
      <c r="B32" t="inlineStr">
        <is>
          <t>TCC</t>
        </is>
      </c>
      <c r="C32" t="inlineStr">
        <is>
          <t>BRYG</t>
        </is>
      </c>
      <c r="D32" s="6" t="n">
        <v>46251</v>
      </c>
      <c r="E32" t="inlineStr">
        <is>
          <t>CR</t>
        </is>
      </c>
      <c r="F32" t="inlineStr">
        <is>
          <t>EUR</t>
        </is>
      </c>
      <c r="G32" s="7" t="n">
        <v>388813814.442</v>
      </c>
      <c r="H32" t="inlineStr">
        <is>
          <t>GBP</t>
        </is>
      </c>
      <c r="I32" s="7" t="n">
        <v>333602252.791</v>
      </c>
      <c r="J32" s="8" t="n">
        <v>46251.304375</v>
      </c>
      <c r="K32" t="inlineStr">
        <is>
          <t>CF260817 00026</t>
        </is>
      </c>
      <c r="L32" t="inlineStr">
        <is>
          <t>GL.NOSTRO.EUR.BRYG.004</t>
        </is>
      </c>
      <c r="M32" t="inlineStr">
        <is>
          <t>Bramble Bank</t>
        </is>
      </c>
      <c r="N32" t="inlineStr">
        <is>
          <t>BRYGMM</t>
        </is>
      </c>
      <c r="O32" t="inlineStr">
        <is>
          <t>NEW</t>
        </is>
      </c>
      <c r="P32" t="inlineStr">
        <is>
          <t>NT26081700099</t>
        </is>
      </c>
      <c r="Q32" t="inlineStr">
        <is>
          <t>GROSS</t>
        </is>
      </c>
    </row>
    <row r="33">
      <c r="A33" t="inlineStr">
        <is>
          <t>621381112674</t>
        </is>
      </c>
      <c r="B33" t="inlineStr">
        <is>
          <t>TCG</t>
        </is>
      </c>
      <c r="C33" t="inlineStr">
        <is>
          <t>BRAA</t>
        </is>
      </c>
      <c r="D33" s="6" t="n">
        <v>46251</v>
      </c>
      <c r="E33" t="inlineStr">
        <is>
          <t>DR</t>
        </is>
      </c>
      <c r="F33" t="inlineStr">
        <is>
          <t>PLN</t>
        </is>
      </c>
      <c r="G33" s="7" t="n">
        <v>-77123015.242</v>
      </c>
      <c r="H33" t="inlineStr">
        <is>
          <t>GBP</t>
        </is>
      </c>
      <c r="I33" s="7" t="n">
        <v>-15270357.018</v>
      </c>
      <c r="J33" s="8" t="n">
        <v>46251.3812962963</v>
      </c>
      <c r="K33" t="inlineStr">
        <is>
          <t>CF260817 00027</t>
        </is>
      </c>
      <c r="L33" t="inlineStr">
        <is>
          <t>GL.NOSTRO.PLN.BRAA.002</t>
        </is>
      </c>
      <c r="M33" t="inlineStr">
        <is>
          <t>Mallow Clearing</t>
        </is>
      </c>
      <c r="N33" t="inlineStr">
        <is>
          <t>BRAAMM</t>
        </is>
      </c>
      <c r="O33" t="inlineStr">
        <is>
          <t>NEW</t>
        </is>
      </c>
      <c r="P33" t="inlineStr">
        <is>
          <t>NT26081700096</t>
        </is>
      </c>
      <c r="Q33" t="inlineStr">
        <is>
          <t>INTERNAL</t>
        </is>
      </c>
    </row>
    <row r="34">
      <c r="A34" t="inlineStr">
        <is>
          <t>468341071172</t>
        </is>
      </c>
      <c r="B34" t="inlineStr">
        <is>
          <t>TCX</t>
        </is>
      </c>
      <c r="C34" t="inlineStr">
        <is>
          <t>BRCC</t>
        </is>
      </c>
      <c r="D34" s="6" t="n">
        <v>46251</v>
      </c>
      <c r="E34" t="inlineStr">
        <is>
          <t>CR</t>
        </is>
      </c>
      <c r="F34" t="inlineStr">
        <is>
          <t>EUR</t>
        </is>
      </c>
      <c r="G34" s="7" t="n">
        <v>91632156.56999999</v>
      </c>
      <c r="H34" t="inlineStr">
        <is>
          <t>GBP</t>
        </is>
      </c>
      <c r="I34" s="7" t="n">
        <v>78620390.337</v>
      </c>
      <c r="J34" s="8" t="n">
        <v>46251.89909722222</v>
      </c>
      <c r="K34" t="inlineStr">
        <is>
          <t>CF260817 00028</t>
        </is>
      </c>
      <c r="L34" t="inlineStr">
        <is>
          <t>GL.NOSTRO.EUR.BRCC.001</t>
        </is>
      </c>
      <c r="M34" t="inlineStr">
        <is>
          <t>Zephyr Bank</t>
        </is>
      </c>
      <c r="N34" t="inlineStr">
        <is>
          <t>BRCC</t>
        </is>
      </c>
      <c r="O34" t="inlineStr">
        <is>
          <t>NEW</t>
        </is>
      </c>
      <c r="Q34" t="inlineStr">
        <is>
          <t>NETTER</t>
        </is>
      </c>
    </row>
    <row r="35">
      <c r="A35" t="inlineStr">
        <is>
          <t>910703979141</t>
        </is>
      </c>
      <c r="B35" t="inlineStr">
        <is>
          <t>TCC</t>
        </is>
      </c>
      <c r="C35" t="inlineStr">
        <is>
          <t>BRCC</t>
        </is>
      </c>
      <c r="D35" s="6" t="n">
        <v>46251</v>
      </c>
      <c r="E35" t="inlineStr">
        <is>
          <t>CR</t>
        </is>
      </c>
      <c r="F35" t="inlineStr">
        <is>
          <t>CHF</t>
        </is>
      </c>
      <c r="G35" s="7" t="n">
        <v>4867421.685</v>
      </c>
      <c r="H35" t="inlineStr">
        <is>
          <t>GBP</t>
        </is>
      </c>
      <c r="I35" s="7" t="n">
        <v>4366077.251</v>
      </c>
      <c r="J35" s="8" t="n">
        <v>46251.25282407407</v>
      </c>
      <c r="K35" t="inlineStr">
        <is>
          <t>CF260817 00029</t>
        </is>
      </c>
      <c r="L35" t="inlineStr">
        <is>
          <t>GL.NOSTRO.CHF.BRCC.007</t>
        </is>
      </c>
      <c r="M35" t="inlineStr">
        <is>
          <t>Granite Clearing</t>
        </is>
      </c>
      <c r="N35" t="inlineStr">
        <is>
          <t>BRCCTRSY</t>
        </is>
      </c>
      <c r="O35" t="inlineStr">
        <is>
          <t>CANCEL</t>
        </is>
      </c>
      <c r="P35" t="inlineStr">
        <is>
          <t>NT26081700079</t>
        </is>
      </c>
      <c r="Q35" t="inlineStr">
        <is>
          <t>NETTER</t>
        </is>
      </c>
    </row>
    <row r="36">
      <c r="A36" t="inlineStr">
        <is>
          <t>499062838623</t>
        </is>
      </c>
      <c r="B36" t="inlineStr">
        <is>
          <t>TCG</t>
        </is>
      </c>
      <c r="C36" t="inlineStr">
        <is>
          <t>BRBX</t>
        </is>
      </c>
      <c r="D36" s="6" t="n">
        <v>46251</v>
      </c>
      <c r="E36" t="inlineStr">
        <is>
          <t>DR</t>
        </is>
      </c>
      <c r="F36" t="inlineStr">
        <is>
          <t>USD</t>
        </is>
      </c>
      <c r="G36" s="7" t="n">
        <v>-640720361.274</v>
      </c>
      <c r="H36" t="inlineStr">
        <is>
          <t>GBP</t>
        </is>
      </c>
      <c r="I36" s="7" t="n">
        <v>-502324763.239</v>
      </c>
      <c r="J36" s="8" t="n">
        <v>46251.39825231482</v>
      </c>
      <c r="K36" t="inlineStr">
        <is>
          <t>CF260817 00030</t>
        </is>
      </c>
      <c r="L36" t="inlineStr">
        <is>
          <t>GL.NOSTRO.USD.BRBX.005</t>
        </is>
      </c>
      <c r="M36" t="inlineStr">
        <is>
          <t>Vetchling Commercial Bank</t>
        </is>
      </c>
      <c r="N36" t="inlineStr">
        <is>
          <t>BRBXTRSY</t>
        </is>
      </c>
      <c r="O36" t="inlineStr">
        <is>
          <t>NEW</t>
        </is>
      </c>
      <c r="P36" t="inlineStr">
        <is>
          <t>NT26081700109</t>
        </is>
      </c>
      <c r="Q36" t="inlineStr">
        <is>
          <t>NETTER</t>
        </is>
      </c>
    </row>
    <row r="37">
      <c r="A37" t="inlineStr">
        <is>
          <t>898317028833</t>
        </is>
      </c>
      <c r="B37" t="inlineStr">
        <is>
          <t>TCX</t>
        </is>
      </c>
      <c r="C37" t="inlineStr">
        <is>
          <t>BRAA</t>
        </is>
      </c>
      <c r="D37" s="6" t="n">
        <v>46251</v>
      </c>
      <c r="E37" t="inlineStr">
        <is>
          <t>DR</t>
        </is>
      </c>
      <c r="F37" t="inlineStr">
        <is>
          <t>GBP</t>
        </is>
      </c>
      <c r="G37" s="7" t="n">
        <v>-26483729.355</v>
      </c>
      <c r="H37" t="inlineStr">
        <is>
          <t>GBP</t>
        </is>
      </c>
      <c r="I37" s="7" t="n">
        <v>-26483729.355</v>
      </c>
      <c r="J37" s="8" t="n">
        <v>46251.01453703704</v>
      </c>
      <c r="K37" t="inlineStr">
        <is>
          <t>CF260817 00031</t>
        </is>
      </c>
      <c r="L37" t="inlineStr">
        <is>
          <t>GL.NOSTRO.GBP.BRAA.002</t>
        </is>
      </c>
      <c r="M37" t="inlineStr">
        <is>
          <t>Granite Bank</t>
        </is>
      </c>
      <c r="N37" t="inlineStr">
        <is>
          <t>BRAATRSY</t>
        </is>
      </c>
      <c r="O37" t="inlineStr">
        <is>
          <t>AMEND</t>
        </is>
      </c>
      <c r="Q37" t="inlineStr">
        <is>
          <t>NETTER</t>
        </is>
      </c>
    </row>
    <row r="38">
      <c r="A38" t="inlineStr">
        <is>
          <t>468341071172</t>
        </is>
      </c>
      <c r="B38" t="inlineStr">
        <is>
          <t>TCQ</t>
        </is>
      </c>
      <c r="C38" t="inlineStr">
        <is>
          <t>BRCC</t>
        </is>
      </c>
      <c r="D38" s="6" t="n">
        <v>46251</v>
      </c>
      <c r="E38" t="inlineStr">
        <is>
          <t>CR</t>
        </is>
      </c>
      <c r="F38" t="inlineStr">
        <is>
          <t>EUR</t>
        </is>
      </c>
      <c r="G38" s="7" t="n">
        <v>4284774.046</v>
      </c>
      <c r="H38" t="inlineStr">
        <is>
          <t>GBP</t>
        </is>
      </c>
      <c r="I38" s="7" t="n">
        <v>3676336.131</v>
      </c>
      <c r="J38" s="8" t="n">
        <v>46251.7837037037</v>
      </c>
      <c r="K38" t="inlineStr">
        <is>
          <t>CF260817 00032</t>
        </is>
      </c>
      <c r="L38" t="inlineStr">
        <is>
          <t>GL.NOSTRO.EUR.BRCC.007</t>
        </is>
      </c>
      <c r="M38" t="inlineStr">
        <is>
          <t>Pinehurst Bank</t>
        </is>
      </c>
      <c r="N38" t="inlineStr">
        <is>
          <t>BRCCCASH</t>
        </is>
      </c>
      <c r="O38" t="inlineStr">
        <is>
          <t>NEW</t>
        </is>
      </c>
      <c r="Q38" t="inlineStr">
        <is>
          <t>NETTER</t>
        </is>
      </c>
    </row>
    <row r="39">
      <c r="A39" t="inlineStr">
        <is>
          <t>968942362772</t>
        </is>
      </c>
      <c r="B39" t="inlineStr">
        <is>
          <t>TCG</t>
        </is>
      </c>
      <c r="C39" t="inlineStr">
        <is>
          <t>BRYG</t>
        </is>
      </c>
      <c r="D39" s="6" t="n">
        <v>46251</v>
      </c>
      <c r="E39" t="inlineStr">
        <is>
          <t>CR</t>
        </is>
      </c>
      <c r="F39" t="inlineStr">
        <is>
          <t>EUR</t>
        </is>
      </c>
      <c r="G39" s="7" t="n">
        <v>2085160.783</v>
      </c>
      <c r="H39" t="inlineStr">
        <is>
          <t>GBP</t>
        </is>
      </c>
      <c r="I39" s="7" t="n">
        <v>1789067.952</v>
      </c>
      <c r="J39" s="8" t="n">
        <v>46251.50127314815</v>
      </c>
      <c r="K39" t="inlineStr">
        <is>
          <t>CF260817 00033</t>
        </is>
      </c>
      <c r="L39" t="inlineStr">
        <is>
          <t>GL.NOSTRO.EUR.BRYG.007</t>
        </is>
      </c>
      <c r="M39" t="inlineStr">
        <is>
          <t>Elmwood Bank</t>
        </is>
      </c>
      <c r="N39" t="inlineStr">
        <is>
          <t>BRYG</t>
        </is>
      </c>
      <c r="O39" t="inlineStr">
        <is>
          <t>NEW</t>
        </is>
      </c>
      <c r="P39" t="inlineStr">
        <is>
          <t>NT26081700100</t>
        </is>
      </c>
      <c r="Q39" t="inlineStr">
        <is>
          <t>NETTER</t>
        </is>
      </c>
    </row>
    <row r="40">
      <c r="A40" t="inlineStr">
        <is>
          <t>150316825069</t>
        </is>
      </c>
      <c r="B40" t="inlineStr">
        <is>
          <t>TCP</t>
        </is>
      </c>
      <c r="C40" t="inlineStr">
        <is>
          <t>BRGX</t>
        </is>
      </c>
      <c r="D40" s="6" t="n">
        <v>46251</v>
      </c>
      <c r="E40" t="inlineStr">
        <is>
          <t>CR</t>
        </is>
      </c>
      <c r="F40" t="inlineStr">
        <is>
          <t>GBP</t>
        </is>
      </c>
      <c r="G40" s="7" t="n">
        <v>9309329.992000001</v>
      </c>
      <c r="H40" t="inlineStr">
        <is>
          <t>GBP</t>
        </is>
      </c>
      <c r="I40" s="7" t="n">
        <v>9309329.992000001</v>
      </c>
      <c r="J40" s="8" t="n">
        <v>46251.63738425926</v>
      </c>
      <c r="K40" t="inlineStr">
        <is>
          <t>CF260817 00034</t>
        </is>
      </c>
      <c r="L40" t="inlineStr">
        <is>
          <t>GL.NOSTRO.GBP.BRGX.002</t>
        </is>
      </c>
      <c r="M40" t="inlineStr">
        <is>
          <t>Mallow Trust</t>
        </is>
      </c>
      <c r="N40" t="inlineStr">
        <is>
          <t>BRGXMM</t>
        </is>
      </c>
      <c r="O40" t="inlineStr">
        <is>
          <t>NEW</t>
        </is>
      </c>
      <c r="Q40" t="inlineStr">
        <is>
          <t>GROSS</t>
        </is>
      </c>
    </row>
    <row r="41">
      <c r="A41" t="inlineStr">
        <is>
          <t>794226063698</t>
        </is>
      </c>
      <c r="B41" t="inlineStr">
        <is>
          <t>TCG</t>
        </is>
      </c>
      <c r="C41" t="inlineStr">
        <is>
          <t>BRMD</t>
        </is>
      </c>
      <c r="D41" s="6" t="n">
        <v>46251</v>
      </c>
      <c r="E41" t="inlineStr">
        <is>
          <t>DR</t>
        </is>
      </c>
      <c r="F41" t="inlineStr">
        <is>
          <t>AED</t>
        </is>
      </c>
      <c r="G41" s="7" t="n">
        <v>-7849559.402</v>
      </c>
      <c r="H41" t="inlineStr">
        <is>
          <t>GBP</t>
        </is>
      </c>
      <c r="I41" s="7" t="n">
        <v>-1671956.153</v>
      </c>
      <c r="J41" s="8" t="n">
        <v>46251.53053240741</v>
      </c>
      <c r="K41" t="inlineStr">
        <is>
          <t>CF260817 00035</t>
        </is>
      </c>
      <c r="L41" t="inlineStr">
        <is>
          <t>GL.NOSTRO.AED.BRMD.008</t>
        </is>
      </c>
      <c r="M41" t="inlineStr">
        <is>
          <t>Sablewood Bank</t>
        </is>
      </c>
      <c r="N41" t="inlineStr">
        <is>
          <t>BRMDCASH</t>
        </is>
      </c>
      <c r="O41" t="inlineStr">
        <is>
          <t>NEW</t>
        </is>
      </c>
      <c r="Q41" t="inlineStr">
        <is>
          <t>GROSS</t>
        </is>
      </c>
    </row>
    <row r="42">
      <c r="A42" t="inlineStr">
        <is>
          <t>150316825069</t>
        </is>
      </c>
      <c r="B42" t="inlineStr">
        <is>
          <t>TCG</t>
        </is>
      </c>
      <c r="C42" t="inlineStr">
        <is>
          <t>BRGX</t>
        </is>
      </c>
      <c r="D42" s="6" t="n">
        <v>46251</v>
      </c>
      <c r="E42" t="inlineStr">
        <is>
          <t>CR</t>
        </is>
      </c>
      <c r="F42" t="inlineStr">
        <is>
          <t>GBP</t>
        </is>
      </c>
      <c r="G42" s="7" t="n">
        <v>5906457.688</v>
      </c>
      <c r="H42" t="inlineStr">
        <is>
          <t>GBP</t>
        </is>
      </c>
      <c r="I42" s="7" t="n">
        <v>5906457.688</v>
      </c>
      <c r="J42" s="8" t="n">
        <v>46251.5106712963</v>
      </c>
      <c r="K42" t="inlineStr">
        <is>
          <t>CF260817 00036</t>
        </is>
      </c>
      <c r="L42" t="inlineStr">
        <is>
          <t>GL.NOSTRO.GBP.BRGX.005</t>
        </is>
      </c>
      <c r="M42" t="inlineStr">
        <is>
          <t>Fernway Settlement Bank</t>
        </is>
      </c>
      <c r="N42" t="inlineStr">
        <is>
          <t>BRGXTRSY</t>
        </is>
      </c>
      <c r="O42" t="inlineStr">
        <is>
          <t>NEW</t>
        </is>
      </c>
      <c r="P42" t="inlineStr">
        <is>
          <t>NT26081700086</t>
        </is>
      </c>
      <c r="Q42" t="inlineStr">
        <is>
          <t>NETTER</t>
        </is>
      </c>
    </row>
    <row r="43">
      <c r="A43" t="inlineStr">
        <is>
          <t>120047354818</t>
        </is>
      </c>
      <c r="B43" t="inlineStr">
        <is>
          <t>TCP</t>
        </is>
      </c>
      <c r="C43" t="inlineStr">
        <is>
          <t>BRNK</t>
        </is>
      </c>
      <c r="D43" s="6" t="n">
        <v>46251</v>
      </c>
      <c r="E43" t="inlineStr">
        <is>
          <t>CR</t>
        </is>
      </c>
      <c r="F43" t="inlineStr">
        <is>
          <t>USD</t>
        </is>
      </c>
      <c r="G43" s="7" t="n">
        <v>2502310.017</v>
      </c>
      <c r="H43" t="inlineStr">
        <is>
          <t>GBP</t>
        </is>
      </c>
      <c r="I43" s="7" t="n">
        <v>1961811.053</v>
      </c>
      <c r="J43" s="8" t="n">
        <v>46251.62787037037</v>
      </c>
      <c r="K43" t="inlineStr">
        <is>
          <t>CF260817 00037</t>
        </is>
      </c>
      <c r="L43" t="inlineStr">
        <is>
          <t>GL.NOSTRO.USD.BRNK.003</t>
        </is>
      </c>
      <c r="M43" t="inlineStr">
        <is>
          <t>Elmwood Bank</t>
        </is>
      </c>
      <c r="N43" t="inlineStr">
        <is>
          <t>BRNKTRSY</t>
        </is>
      </c>
      <c r="O43" t="inlineStr">
        <is>
          <t>NEW</t>
        </is>
      </c>
      <c r="Q43" t="inlineStr">
        <is>
          <t>NETTER</t>
        </is>
      </c>
    </row>
    <row r="44">
      <c r="A44" t="inlineStr">
        <is>
          <t>150316825069</t>
        </is>
      </c>
      <c r="B44" t="inlineStr">
        <is>
          <t>TCQ</t>
        </is>
      </c>
      <c r="C44" t="inlineStr">
        <is>
          <t>BRGX</t>
        </is>
      </c>
      <c r="D44" s="6" t="n">
        <v>46251</v>
      </c>
      <c r="E44" t="inlineStr">
        <is>
          <t>DR</t>
        </is>
      </c>
      <c r="F44" t="inlineStr">
        <is>
          <t>GBP</t>
        </is>
      </c>
      <c r="G44" s="7" t="n">
        <v>-63908207.831</v>
      </c>
      <c r="H44" t="inlineStr">
        <is>
          <t>GBP</t>
        </is>
      </c>
      <c r="I44" s="7" t="n">
        <v>-63908207.831</v>
      </c>
      <c r="J44" s="8" t="n">
        <v>46251.57763888889</v>
      </c>
      <c r="K44" t="inlineStr">
        <is>
          <t>CF260817 00038</t>
        </is>
      </c>
      <c r="L44" t="inlineStr">
        <is>
          <t>GL.NOSTRO.GBP.BRGX.008</t>
        </is>
      </c>
      <c r="M44" t="inlineStr">
        <is>
          <t>Harrow Clearing</t>
        </is>
      </c>
      <c r="N44" t="inlineStr">
        <is>
          <t>BRGXTRSY</t>
        </is>
      </c>
      <c r="O44" t="inlineStr">
        <is>
          <t>NEW</t>
        </is>
      </c>
      <c r="Q44" t="inlineStr">
        <is>
          <t>INTERNAL</t>
        </is>
      </c>
    </row>
    <row r="45">
      <c r="A45" t="inlineStr">
        <is>
          <t>150316825069</t>
        </is>
      </c>
      <c r="B45" t="inlineStr">
        <is>
          <t>TCX</t>
        </is>
      </c>
      <c r="C45" t="inlineStr">
        <is>
          <t>BRGX</t>
        </is>
      </c>
      <c r="D45" s="6" t="n">
        <v>46251</v>
      </c>
      <c r="E45" t="inlineStr">
        <is>
          <t>CR</t>
        </is>
      </c>
      <c r="F45" t="inlineStr">
        <is>
          <t>GBP</t>
        </is>
      </c>
      <c r="G45" s="7" t="n">
        <v>26822739.767</v>
      </c>
      <c r="H45" t="inlineStr">
        <is>
          <t>GBP</t>
        </is>
      </c>
      <c r="I45" s="7" t="n">
        <v>26822739.767</v>
      </c>
      <c r="J45" s="8" t="n">
        <v>46251.66622685185</v>
      </c>
      <c r="K45" t="inlineStr">
        <is>
          <t>CF260817 00039</t>
        </is>
      </c>
      <c r="L45" t="inlineStr">
        <is>
          <t>GL.NOSTRO.GBP.BRGX.006</t>
        </is>
      </c>
      <c r="M45" t="inlineStr">
        <is>
          <t>Sablewood Clearing</t>
        </is>
      </c>
      <c r="N45" t="inlineStr">
        <is>
          <t>BRGXCASH</t>
        </is>
      </c>
      <c r="O45" t="inlineStr">
        <is>
          <t>NEW</t>
        </is>
      </c>
      <c r="Q45" t="inlineStr">
        <is>
          <t>GROSS</t>
        </is>
      </c>
    </row>
    <row r="46">
      <c r="A46" t="inlineStr">
        <is>
          <t>499062838623</t>
        </is>
      </c>
      <c r="B46" t="inlineStr">
        <is>
          <t>TCG</t>
        </is>
      </c>
      <c r="C46" t="inlineStr">
        <is>
          <t>BRBX</t>
        </is>
      </c>
      <c r="D46" s="6" t="n">
        <v>46251</v>
      </c>
      <c r="E46" t="inlineStr">
        <is>
          <t>DR</t>
        </is>
      </c>
      <c r="F46" t="inlineStr">
        <is>
          <t>USD</t>
        </is>
      </c>
      <c r="G46" s="7" t="n">
        <v>-64993125.579</v>
      </c>
      <c r="H46" t="inlineStr">
        <is>
          <t>GBP</t>
        </is>
      </c>
      <c r="I46" s="7" t="n">
        <v>-50954610.454</v>
      </c>
      <c r="J46" s="8" t="n">
        <v>46251.47503472222</v>
      </c>
      <c r="K46" t="inlineStr">
        <is>
          <t>CF260817 00040</t>
        </is>
      </c>
      <c r="L46" t="inlineStr">
        <is>
          <t>GL.NOSTRO.USD.BRBX.004</t>
        </is>
      </c>
      <c r="M46" t="inlineStr">
        <is>
          <t>Ironbark Trust</t>
        </is>
      </c>
      <c r="N46" t="inlineStr">
        <is>
          <t>BRBXMM</t>
        </is>
      </c>
      <c r="O46" t="inlineStr">
        <is>
          <t>NEW</t>
        </is>
      </c>
      <c r="P46" t="inlineStr">
        <is>
          <t>NT26081700088</t>
        </is>
      </c>
      <c r="Q46" t="inlineStr">
        <is>
          <t>NETTER</t>
        </is>
      </c>
    </row>
    <row r="47">
      <c r="A47" t="inlineStr">
        <is>
          <t>910703979141</t>
        </is>
      </c>
      <c r="B47" t="inlineStr">
        <is>
          <t>TCG</t>
        </is>
      </c>
      <c r="C47" t="inlineStr">
        <is>
          <t>BRCC</t>
        </is>
      </c>
      <c r="D47" s="6" t="n">
        <v>46251</v>
      </c>
      <c r="E47" t="inlineStr">
        <is>
          <t>DR</t>
        </is>
      </c>
      <c r="F47" t="inlineStr">
        <is>
          <t>CHF</t>
        </is>
      </c>
      <c r="G47" s="7" t="n">
        <v>-3750307.515</v>
      </c>
      <c r="H47" t="inlineStr">
        <is>
          <t>GBP</t>
        </is>
      </c>
      <c r="I47" s="7" t="n">
        <v>-3364025.841</v>
      </c>
      <c r="J47" s="8" t="n">
        <v>46251.03795138889</v>
      </c>
      <c r="K47" t="inlineStr">
        <is>
          <t>CF260817 00041</t>
        </is>
      </c>
      <c r="L47" t="inlineStr">
        <is>
          <t>GL.NOSTRO.CHF.BRCC.002</t>
        </is>
      </c>
      <c r="M47" t="inlineStr">
        <is>
          <t>Sablewood Commercial Bank</t>
        </is>
      </c>
      <c r="N47" t="inlineStr">
        <is>
          <t>BRCC</t>
        </is>
      </c>
      <c r="O47" t="inlineStr">
        <is>
          <t>NEW</t>
        </is>
      </c>
      <c r="Q47" t="inlineStr">
        <is>
          <t>GROSS</t>
        </is>
      </c>
    </row>
    <row r="48">
      <c r="A48" t="inlineStr">
        <is>
          <t>910703979141</t>
        </is>
      </c>
      <c r="B48" t="inlineStr">
        <is>
          <t>TCX</t>
        </is>
      </c>
      <c r="C48" t="inlineStr">
        <is>
          <t>BRCC</t>
        </is>
      </c>
      <c r="D48" s="6" t="n">
        <v>46251</v>
      </c>
      <c r="E48" t="inlineStr">
        <is>
          <t>DR</t>
        </is>
      </c>
      <c r="F48" t="inlineStr">
        <is>
          <t>CHF</t>
        </is>
      </c>
      <c r="G48" s="7" t="n">
        <v>-110099.199</v>
      </c>
      <c r="H48" t="inlineStr">
        <is>
          <t>GBP</t>
        </is>
      </c>
      <c r="I48" s="7" t="n">
        <v>-98758.982</v>
      </c>
      <c r="J48" s="8" t="n">
        <v>46251.34559027778</v>
      </c>
      <c r="K48" t="inlineStr">
        <is>
          <t>CF260817 00042</t>
        </is>
      </c>
      <c r="L48" t="inlineStr">
        <is>
          <t>GL.NOSTRO.CHF.BRCC.008</t>
        </is>
      </c>
      <c r="M48" t="inlineStr">
        <is>
          <t>Pinehurst Bank</t>
        </is>
      </c>
      <c r="N48" t="inlineStr">
        <is>
          <t>BRCCCASH</t>
        </is>
      </c>
      <c r="O48" t="inlineStr">
        <is>
          <t>NEW</t>
        </is>
      </c>
      <c r="Q48" t="inlineStr">
        <is>
          <t>NETTER</t>
        </is>
      </c>
    </row>
    <row r="49">
      <c r="A49" t="inlineStr">
        <is>
          <t>824840705580</t>
        </is>
      </c>
      <c r="B49" t="inlineStr">
        <is>
          <t>TCP</t>
        </is>
      </c>
      <c r="C49" t="inlineStr">
        <is>
          <t>BRGL</t>
        </is>
      </c>
      <c r="D49" s="6" t="n">
        <v>46251</v>
      </c>
      <c r="E49" t="inlineStr">
        <is>
          <t>CR</t>
        </is>
      </c>
      <c r="F49" t="inlineStr">
        <is>
          <t>EUR</t>
        </is>
      </c>
      <c r="G49" s="7" t="n">
        <v>41207991.256</v>
      </c>
      <c r="H49" t="inlineStr">
        <is>
          <t>GBP</t>
        </is>
      </c>
      <c r="I49" s="7" t="n">
        <v>35356456.498</v>
      </c>
      <c r="J49" s="8" t="n">
        <v>46251.69010416666</v>
      </c>
      <c r="K49" t="inlineStr">
        <is>
          <t>CF260817 00043</t>
        </is>
      </c>
      <c r="L49" t="inlineStr">
        <is>
          <t>GL.NOSTRO.EUR.BRGL.001</t>
        </is>
      </c>
      <c r="M49" t="inlineStr">
        <is>
          <t>Sablewood Clearing</t>
        </is>
      </c>
      <c r="N49" t="inlineStr">
        <is>
          <t>BRGLTRSY</t>
        </is>
      </c>
      <c r="O49" t="inlineStr">
        <is>
          <t>NEW</t>
        </is>
      </c>
      <c r="Q49" t="inlineStr">
        <is>
          <t>GROSS</t>
        </is>
      </c>
    </row>
    <row r="50">
      <c r="A50" t="inlineStr">
        <is>
          <t>700726936098</t>
        </is>
      </c>
      <c r="B50" t="inlineStr">
        <is>
          <t>TCX</t>
        </is>
      </c>
      <c r="C50" t="inlineStr">
        <is>
          <t>BRMD</t>
        </is>
      </c>
      <c r="D50" s="6" t="n">
        <v>46251</v>
      </c>
      <c r="E50" t="inlineStr">
        <is>
          <t>CR</t>
        </is>
      </c>
      <c r="F50" t="inlineStr">
        <is>
          <t>SAR</t>
        </is>
      </c>
      <c r="G50" s="7" t="n">
        <v>5993198.69</v>
      </c>
      <c r="H50" t="inlineStr">
        <is>
          <t>GBP</t>
        </is>
      </c>
      <c r="I50" s="7" t="n">
        <v>1252578.526</v>
      </c>
      <c r="J50" s="8" t="n">
        <v>46251.6533449074</v>
      </c>
      <c r="K50" t="inlineStr">
        <is>
          <t>CF260817 00044</t>
        </is>
      </c>
      <c r="L50" t="inlineStr">
        <is>
          <t>GL.NOSTRO.SAR.BRMD.009</t>
        </is>
      </c>
      <c r="M50" t="inlineStr">
        <is>
          <t>Redstart Trust</t>
        </is>
      </c>
      <c r="N50" t="inlineStr">
        <is>
          <t>BRMDMM</t>
        </is>
      </c>
      <c r="O50" t="inlineStr">
        <is>
          <t>NEW</t>
        </is>
      </c>
      <c r="P50" t="inlineStr">
        <is>
          <t>NT26081700098</t>
        </is>
      </c>
      <c r="Q50" t="inlineStr">
        <is>
          <t>NETTER</t>
        </is>
      </c>
    </row>
    <row r="51">
      <c r="A51" t="inlineStr">
        <is>
          <t>794226063698</t>
        </is>
      </c>
      <c r="B51" t="inlineStr">
        <is>
          <t>TCP</t>
        </is>
      </c>
      <c r="C51" t="inlineStr">
        <is>
          <t>BRMD</t>
        </is>
      </c>
      <c r="D51" s="6" t="n">
        <v>46251</v>
      </c>
      <c r="E51" t="inlineStr">
        <is>
          <t>DR</t>
        </is>
      </c>
      <c r="F51" t="inlineStr">
        <is>
          <t>AED</t>
        </is>
      </c>
      <c r="G51" s="7" t="n">
        <v>-10787561.757</v>
      </c>
      <c r="H51" t="inlineStr">
        <is>
          <t>GBP</t>
        </is>
      </c>
      <c r="I51" s="7" t="n">
        <v>-2297750.654</v>
      </c>
      <c r="J51" s="8" t="n">
        <v>46251.45325231482</v>
      </c>
      <c r="K51" t="inlineStr">
        <is>
          <t>CF260817 00045</t>
        </is>
      </c>
      <c r="L51" t="inlineStr">
        <is>
          <t>GL.NOSTRO.AED.BRMD.008</t>
        </is>
      </c>
      <c r="M51" t="inlineStr">
        <is>
          <t>Dunlin Clearing</t>
        </is>
      </c>
      <c r="N51" t="inlineStr">
        <is>
          <t>BRMDMM</t>
        </is>
      </c>
      <c r="O51" t="inlineStr">
        <is>
          <t>AMEND</t>
        </is>
      </c>
      <c r="P51" t="inlineStr">
        <is>
          <t>NT26081700087</t>
        </is>
      </c>
      <c r="Q51" t="inlineStr">
        <is>
          <t>GROSS</t>
        </is>
      </c>
    </row>
    <row r="52">
      <c r="A52" t="inlineStr">
        <is>
          <t>120047354818</t>
        </is>
      </c>
      <c r="B52" t="inlineStr">
        <is>
          <t>TCC</t>
        </is>
      </c>
      <c r="C52" t="inlineStr">
        <is>
          <t>BRNK</t>
        </is>
      </c>
      <c r="D52" s="6" t="n">
        <v>46251</v>
      </c>
      <c r="E52" t="inlineStr">
        <is>
          <t>DR</t>
        </is>
      </c>
      <c r="F52" t="inlineStr">
        <is>
          <t>USD</t>
        </is>
      </c>
      <c r="G52" s="7" t="n">
        <v>-207159554.878</v>
      </c>
      <c r="H52" t="inlineStr">
        <is>
          <t>GBP</t>
        </is>
      </c>
      <c r="I52" s="7" t="n">
        <v>-162413091.024</v>
      </c>
      <c r="J52" s="8" t="n">
        <v>46251.31405092592</v>
      </c>
      <c r="K52" t="inlineStr">
        <is>
          <t>CF260817 00046</t>
        </is>
      </c>
      <c r="L52" t="inlineStr">
        <is>
          <t>GL.NOSTRO.USD.BRNK.004</t>
        </is>
      </c>
      <c r="M52" t="inlineStr">
        <is>
          <t>Nightjar Bank</t>
        </is>
      </c>
      <c r="N52" t="inlineStr">
        <is>
          <t>BRNKCASH</t>
        </is>
      </c>
      <c r="O52" t="inlineStr">
        <is>
          <t>NEW</t>
        </is>
      </c>
      <c r="Q52" t="inlineStr">
        <is>
          <t>GROSS</t>
        </is>
      </c>
    </row>
    <row r="53">
      <c r="A53" t="inlineStr">
        <is>
          <t>794226063698</t>
        </is>
      </c>
      <c r="B53" t="inlineStr">
        <is>
          <t>TCC</t>
        </is>
      </c>
      <c r="C53" t="inlineStr">
        <is>
          <t>BRMD</t>
        </is>
      </c>
      <c r="D53" s="6" t="n">
        <v>46251</v>
      </c>
      <c r="E53" t="inlineStr">
        <is>
          <t>DR</t>
        </is>
      </c>
      <c r="F53" t="inlineStr">
        <is>
          <t>AED</t>
        </is>
      </c>
      <c r="G53" s="7" t="n">
        <v>-26242946.262</v>
      </c>
      <c r="H53" t="inlineStr">
        <is>
          <t>GBP</t>
        </is>
      </c>
      <c r="I53" s="7" t="n">
        <v>-5589747.554</v>
      </c>
      <c r="J53" s="8" t="n">
        <v>46251.65653935185</v>
      </c>
      <c r="K53" t="inlineStr">
        <is>
          <t>CF260817 00047</t>
        </is>
      </c>
      <c r="L53" t="inlineStr">
        <is>
          <t>GL.NOSTRO.AED.BRMD.002</t>
        </is>
      </c>
      <c r="M53" t="inlineStr">
        <is>
          <t>Wrenfield Settlement Bank</t>
        </is>
      </c>
      <c r="N53" t="inlineStr">
        <is>
          <t>BRMDMM</t>
        </is>
      </c>
      <c r="O53" t="inlineStr">
        <is>
          <t>AMEND</t>
        </is>
      </c>
      <c r="Q53" t="inlineStr">
        <is>
          <t>NETTER</t>
        </is>
      </c>
    </row>
    <row r="54">
      <c r="A54" t="inlineStr">
        <is>
          <t>132544340094</t>
        </is>
      </c>
      <c r="B54" t="inlineStr">
        <is>
          <t>TCG</t>
        </is>
      </c>
      <c r="C54" t="inlineStr">
        <is>
          <t>BRYG</t>
        </is>
      </c>
      <c r="D54" s="6" t="n">
        <v>46251</v>
      </c>
      <c r="E54" t="inlineStr">
        <is>
          <t>CR</t>
        </is>
      </c>
      <c r="F54" t="inlineStr">
        <is>
          <t>CZK</t>
        </is>
      </c>
      <c r="G54" s="7" t="n">
        <v>231382771.561</v>
      </c>
      <c r="H54" t="inlineStr">
        <is>
          <t>GBP</t>
        </is>
      </c>
      <c r="I54" s="7" t="n">
        <v>7843875.956</v>
      </c>
      <c r="J54" s="8" t="n">
        <v>46251.45284722222</v>
      </c>
      <c r="K54" t="inlineStr">
        <is>
          <t>CF260817 00048</t>
        </is>
      </c>
      <c r="L54" t="inlineStr">
        <is>
          <t>GL.NOSTRO.CZK.BRYG.009</t>
        </is>
      </c>
      <c r="M54" t="inlineStr">
        <is>
          <t>Fernway Settlement Bank</t>
        </is>
      </c>
      <c r="N54" t="inlineStr">
        <is>
          <t>BRYGCASH</t>
        </is>
      </c>
      <c r="O54" t="inlineStr">
        <is>
          <t>AMEND</t>
        </is>
      </c>
      <c r="P54" t="inlineStr">
        <is>
          <t>NT26081700081</t>
        </is>
      </c>
      <c r="Q54" t="inlineStr">
        <is>
          <t>NETTER</t>
        </is>
      </c>
    </row>
    <row r="55">
      <c r="A55" t="inlineStr">
        <is>
          <t>700726936098</t>
        </is>
      </c>
      <c r="B55" t="inlineStr">
        <is>
          <t>TCQ</t>
        </is>
      </c>
      <c r="C55" t="inlineStr">
        <is>
          <t>BRMD</t>
        </is>
      </c>
      <c r="D55" s="6" t="n">
        <v>46251</v>
      </c>
      <c r="E55" t="inlineStr">
        <is>
          <t>CR</t>
        </is>
      </c>
      <c r="F55" t="inlineStr">
        <is>
          <t>SAR</t>
        </is>
      </c>
      <c r="G55" s="7" t="n">
        <v>6612424.477</v>
      </c>
      <c r="H55" t="inlineStr">
        <is>
          <t>GBP</t>
        </is>
      </c>
      <c r="I55" s="7" t="n">
        <v>1381996.716</v>
      </c>
      <c r="J55" s="8" t="n">
        <v>46251.28057870371</v>
      </c>
      <c r="K55" t="inlineStr">
        <is>
          <t>CF260817 00049</t>
        </is>
      </c>
      <c r="L55" t="inlineStr">
        <is>
          <t>GL.NOSTRO.SAR.BRMD.003</t>
        </is>
      </c>
      <c r="M55" t="inlineStr">
        <is>
          <t>Harrow Clearing</t>
        </is>
      </c>
      <c r="N55" t="inlineStr">
        <is>
          <t>BRMDTRSY</t>
        </is>
      </c>
      <c r="O55" t="inlineStr">
        <is>
          <t>NEW</t>
        </is>
      </c>
      <c r="Q55" t="inlineStr">
        <is>
          <t>NETTER</t>
        </is>
      </c>
    </row>
    <row r="56">
      <c r="A56" t="inlineStr">
        <is>
          <t>468341071172</t>
        </is>
      </c>
      <c r="B56" t="inlineStr">
        <is>
          <t>TCC</t>
        </is>
      </c>
      <c r="C56" t="inlineStr">
        <is>
          <t>BRCC</t>
        </is>
      </c>
      <c r="D56" s="6" t="n">
        <v>46251</v>
      </c>
      <c r="E56" t="inlineStr">
        <is>
          <t>DR</t>
        </is>
      </c>
      <c r="F56" t="inlineStr">
        <is>
          <t>EUR</t>
        </is>
      </c>
      <c r="G56" s="7" t="n">
        <v>-3914437.456</v>
      </c>
      <c r="H56" t="inlineStr">
        <is>
          <t>GBP</t>
        </is>
      </c>
      <c r="I56" s="7" t="n">
        <v>-3358587.337</v>
      </c>
      <c r="J56" s="8" t="n">
        <v>46251.34307870371</v>
      </c>
      <c r="K56" t="inlineStr">
        <is>
          <t>CF260817 00050</t>
        </is>
      </c>
      <c r="L56" t="inlineStr">
        <is>
          <t>GL.NOSTRO.EUR.BRCC.008</t>
        </is>
      </c>
      <c r="M56" t="inlineStr">
        <is>
          <t>Juniper Bank</t>
        </is>
      </c>
      <c r="N56" t="inlineStr">
        <is>
          <t>BRCC</t>
        </is>
      </c>
      <c r="O56" t="inlineStr">
        <is>
          <t>NEW</t>
        </is>
      </c>
      <c r="Q56" t="inlineStr">
        <is>
          <t>GROSS</t>
        </is>
      </c>
    </row>
    <row r="57">
      <c r="A57" t="inlineStr">
        <is>
          <t>953625291146</t>
        </is>
      </c>
      <c r="B57" t="inlineStr">
        <is>
          <t>TCP</t>
        </is>
      </c>
      <c r="C57" t="inlineStr">
        <is>
          <t>BRGL</t>
        </is>
      </c>
      <c r="D57" s="6" t="n">
        <v>46251</v>
      </c>
      <c r="E57" t="inlineStr">
        <is>
          <t>CR</t>
        </is>
      </c>
      <c r="F57" t="inlineStr">
        <is>
          <t>USD</t>
        </is>
      </c>
      <c r="G57" s="7" t="n">
        <v>120560.874</v>
      </c>
      <c r="H57" t="inlineStr">
        <is>
          <t>GBP</t>
        </is>
      </c>
      <c r="I57" s="7" t="n">
        <v>94519.72500000001</v>
      </c>
      <c r="J57" s="8" t="n">
        <v>46251.57425925926</v>
      </c>
      <c r="K57" t="inlineStr">
        <is>
          <t>CF260817 00051</t>
        </is>
      </c>
      <c r="L57" t="inlineStr">
        <is>
          <t>GL.NOSTRO.USD.BRGL.008</t>
        </is>
      </c>
      <c r="M57" t="inlineStr">
        <is>
          <t>Sablewood Settlement Bank</t>
        </is>
      </c>
      <c r="N57" t="inlineStr">
        <is>
          <t>BRGL</t>
        </is>
      </c>
      <c r="O57" t="inlineStr">
        <is>
          <t>NEW</t>
        </is>
      </c>
      <c r="P57" t="inlineStr">
        <is>
          <t>NT26081700110</t>
        </is>
      </c>
      <c r="Q57" t="inlineStr">
        <is>
          <t>GROSS</t>
        </is>
      </c>
    </row>
    <row r="58">
      <c r="A58" t="inlineStr">
        <is>
          <t>968942362772</t>
        </is>
      </c>
      <c r="B58" t="inlineStr">
        <is>
          <t>TCQ</t>
        </is>
      </c>
      <c r="C58" t="inlineStr">
        <is>
          <t>BRYG</t>
        </is>
      </c>
      <c r="D58" s="6" t="n">
        <v>46251</v>
      </c>
      <c r="E58" t="inlineStr">
        <is>
          <t>DR</t>
        </is>
      </c>
      <c r="F58" t="inlineStr">
        <is>
          <t>EUR</t>
        </is>
      </c>
      <c r="G58" s="7" t="n">
        <v>-237267.44</v>
      </c>
      <c r="H58" t="inlineStr">
        <is>
          <t>GBP</t>
        </is>
      </c>
      <c r="I58" s="7" t="n">
        <v>-203575.464</v>
      </c>
      <c r="J58" s="8" t="n">
        <v>46251.59041666667</v>
      </c>
      <c r="K58" t="inlineStr">
        <is>
          <t>CF260817 00052</t>
        </is>
      </c>
      <c r="L58" t="inlineStr">
        <is>
          <t>GL.NOSTRO.EUR.BRYG.007</t>
        </is>
      </c>
      <c r="M58" t="inlineStr">
        <is>
          <t>Cedar Commercial Bank</t>
        </is>
      </c>
      <c r="N58" t="inlineStr">
        <is>
          <t>BRYG</t>
        </is>
      </c>
      <c r="O58" t="inlineStr">
        <is>
          <t>NEW</t>
        </is>
      </c>
      <c r="Q58" t="inlineStr">
        <is>
          <t>NETTER</t>
        </is>
      </c>
    </row>
    <row r="59">
      <c r="A59" t="inlineStr">
        <is>
          <t>910703979141</t>
        </is>
      </c>
      <c r="B59" t="inlineStr">
        <is>
          <t>TCQ</t>
        </is>
      </c>
      <c r="C59" t="inlineStr">
        <is>
          <t>BRCC</t>
        </is>
      </c>
      <c r="D59" s="6" t="n">
        <v>46251</v>
      </c>
      <c r="E59" t="inlineStr">
        <is>
          <t>CR</t>
        </is>
      </c>
      <c r="F59" t="inlineStr">
        <is>
          <t>CHF</t>
        </is>
      </c>
      <c r="G59" s="7" t="n">
        <v>26660659.118</v>
      </c>
      <c r="H59" t="inlineStr">
        <is>
          <t>GBP</t>
        </is>
      </c>
      <c r="I59" s="7" t="n">
        <v>23914611.229</v>
      </c>
      <c r="J59" s="8" t="n">
        <v>46251.38524305556</v>
      </c>
      <c r="K59" t="inlineStr">
        <is>
          <t>CF260817 00053</t>
        </is>
      </c>
      <c r="L59" t="inlineStr">
        <is>
          <t>GL.NOSTRO.CHF.BRCC.008</t>
        </is>
      </c>
      <c r="M59" t="inlineStr">
        <is>
          <t>Granite Clearing</t>
        </is>
      </c>
      <c r="N59" t="inlineStr">
        <is>
          <t>BRCCTRSY</t>
        </is>
      </c>
      <c r="O59" t="inlineStr">
        <is>
          <t>NEW</t>
        </is>
      </c>
      <c r="Q59" t="inlineStr">
        <is>
          <t>NETTER</t>
        </is>
      </c>
    </row>
    <row r="60">
      <c r="A60" t="inlineStr">
        <is>
          <t>968942362772</t>
        </is>
      </c>
      <c r="B60" t="inlineStr">
        <is>
          <t>TCP</t>
        </is>
      </c>
      <c r="C60" t="inlineStr">
        <is>
          <t>BRYG</t>
        </is>
      </c>
      <c r="D60" s="6" t="n">
        <v>46251</v>
      </c>
      <c r="E60" t="inlineStr">
        <is>
          <t>CR</t>
        </is>
      </c>
      <c r="F60" t="inlineStr">
        <is>
          <t>EUR</t>
        </is>
      </c>
      <c r="G60" s="7" t="n">
        <v>245387.718</v>
      </c>
      <c r="H60" t="inlineStr">
        <is>
          <t>GBP</t>
        </is>
      </c>
      <c r="I60" s="7" t="n">
        <v>210542.662</v>
      </c>
      <c r="J60" s="8" t="n">
        <v>46251.6971875</v>
      </c>
      <c r="K60" t="inlineStr">
        <is>
          <t>CF260817 00054</t>
        </is>
      </c>
      <c r="L60" t="inlineStr">
        <is>
          <t>GL.NOSTRO.EUR.BRYG.004</t>
        </is>
      </c>
      <c r="M60" t="inlineStr">
        <is>
          <t>Yarrow Bank</t>
        </is>
      </c>
      <c r="N60" t="inlineStr">
        <is>
          <t>BRYGMM</t>
        </is>
      </c>
      <c r="O60" t="inlineStr">
        <is>
          <t>NEW</t>
        </is>
      </c>
      <c r="P60" t="inlineStr">
        <is>
          <t>NT26081700095</t>
        </is>
      </c>
      <c r="Q60" t="inlineStr">
        <is>
          <t>GROSS</t>
        </is>
      </c>
    </row>
    <row r="61">
      <c r="A61" t="inlineStr">
        <is>
          <t>910703979141</t>
        </is>
      </c>
      <c r="B61" t="inlineStr">
        <is>
          <t>TCP</t>
        </is>
      </c>
      <c r="C61" t="inlineStr">
        <is>
          <t>BRCC</t>
        </is>
      </c>
      <c r="D61" s="6" t="n">
        <v>46251</v>
      </c>
      <c r="E61" t="inlineStr">
        <is>
          <t>CR</t>
        </is>
      </c>
      <c r="F61" t="inlineStr">
        <is>
          <t>CHF</t>
        </is>
      </c>
      <c r="G61" s="7" t="n">
        <v>34571221.108</v>
      </c>
      <c r="H61" t="inlineStr">
        <is>
          <t>GBP</t>
        </is>
      </c>
      <c r="I61" s="7" t="n">
        <v>31010385.334</v>
      </c>
      <c r="J61" s="8" t="n">
        <v>46251.35037037037</v>
      </c>
      <c r="K61" t="inlineStr">
        <is>
          <t>CF260817 00055</t>
        </is>
      </c>
      <c r="L61" t="inlineStr">
        <is>
          <t>GL.NOSTRO.CHF.BRCC.001</t>
        </is>
      </c>
      <c r="M61" t="inlineStr">
        <is>
          <t>Pinehurst Settlement Bank</t>
        </is>
      </c>
      <c r="N61" t="inlineStr">
        <is>
          <t>BRCCCASH</t>
        </is>
      </c>
      <c r="O61" t="inlineStr">
        <is>
          <t>NEW</t>
        </is>
      </c>
      <c r="P61" t="inlineStr">
        <is>
          <t>NT26081700091</t>
        </is>
      </c>
      <c r="Q61" t="inlineStr">
        <is>
          <t>GROSS</t>
        </is>
      </c>
    </row>
    <row r="62">
      <c r="A62" t="inlineStr">
        <is>
          <t>927538182434</t>
        </is>
      </c>
      <c r="B62" t="inlineStr">
        <is>
          <t>TCG</t>
        </is>
      </c>
      <c r="C62" t="inlineStr">
        <is>
          <t>BRNK</t>
        </is>
      </c>
      <c r="D62" s="6" t="n">
        <v>46251</v>
      </c>
      <c r="E62" t="inlineStr">
        <is>
          <t>CR</t>
        </is>
      </c>
      <c r="F62" t="inlineStr">
        <is>
          <t>CNY</t>
        </is>
      </c>
      <c r="G62" s="7" t="n">
        <v>6.313</v>
      </c>
      <c r="H62" t="inlineStr">
        <is>
          <t>GBP</t>
        </is>
      </c>
      <c r="I62" s="7" t="n">
        <v>0.6879999999999999</v>
      </c>
      <c r="J62" s="8" t="n">
        <v>46251.62703703704</v>
      </c>
      <c r="K62" t="inlineStr">
        <is>
          <t>CF260817 00056</t>
        </is>
      </c>
      <c r="L62" t="inlineStr">
        <is>
          <t>GL.NOSTRO.CNY.BRNK.004</t>
        </is>
      </c>
      <c r="M62" t="inlineStr">
        <is>
          <t>Zephyr Bank</t>
        </is>
      </c>
      <c r="N62" t="inlineStr">
        <is>
          <t>BRNK</t>
        </is>
      </c>
      <c r="O62" t="inlineStr">
        <is>
          <t>NEW</t>
        </is>
      </c>
      <c r="Q62" t="inlineStr">
        <is>
          <t>GROSS</t>
        </is>
      </c>
    </row>
    <row r="63">
      <c r="A63" t="inlineStr">
        <is>
          <t>927538182434</t>
        </is>
      </c>
      <c r="B63" t="inlineStr">
        <is>
          <t>TCG</t>
        </is>
      </c>
      <c r="C63" t="inlineStr">
        <is>
          <t>BRNK</t>
        </is>
      </c>
      <c r="D63" s="6" t="n">
        <v>46251</v>
      </c>
      <c r="E63" t="inlineStr">
        <is>
          <t>DR</t>
        </is>
      </c>
      <c r="F63" t="inlineStr">
        <is>
          <t>CNY</t>
        </is>
      </c>
      <c r="G63" s="7" t="n">
        <v>-119090057.742</v>
      </c>
      <c r="H63" t="inlineStr">
        <is>
          <t>GBP</t>
        </is>
      </c>
      <c r="I63" s="7" t="n">
        <v>-12980816.294</v>
      </c>
      <c r="J63" s="8" t="n">
        <v>46251.45099537037</v>
      </c>
      <c r="K63" t="inlineStr">
        <is>
          <t>CF260817 00057</t>
        </is>
      </c>
      <c r="L63" t="inlineStr">
        <is>
          <t>GL.NOSTRO.CNY.BRNK.004</t>
        </is>
      </c>
      <c r="M63" t="inlineStr">
        <is>
          <t>Larkspur Clearing</t>
        </is>
      </c>
      <c r="N63" t="inlineStr">
        <is>
          <t>BRNK</t>
        </is>
      </c>
      <c r="O63" t="inlineStr">
        <is>
          <t>NEW</t>
        </is>
      </c>
      <c r="P63" t="inlineStr">
        <is>
          <t>NT26081700089</t>
        </is>
      </c>
      <c r="Q63" t="inlineStr">
        <is>
          <t>GROSS</t>
        </is>
      </c>
    </row>
    <row r="64">
      <c r="A64" t="inlineStr">
        <is>
          <t>910703979141</t>
        </is>
      </c>
      <c r="B64" t="inlineStr">
        <is>
          <t>TCG</t>
        </is>
      </c>
      <c r="C64" t="inlineStr">
        <is>
          <t>BRCC</t>
        </is>
      </c>
      <c r="D64" s="6" t="n">
        <v>46251</v>
      </c>
      <c r="E64" t="inlineStr">
        <is>
          <t>DR</t>
        </is>
      </c>
      <c r="F64" t="inlineStr">
        <is>
          <t>CHF</t>
        </is>
      </c>
      <c r="G64" s="7" t="n">
        <v>-592925489.136</v>
      </c>
      <c r="H64" t="inlineStr">
        <is>
          <t>GBP</t>
        </is>
      </c>
      <c r="I64" s="7" t="n">
        <v>-531854163.755</v>
      </c>
      <c r="J64" s="8" t="n">
        <v>46251.50085648148</v>
      </c>
      <c r="K64" t="inlineStr">
        <is>
          <t>CF260817 00058</t>
        </is>
      </c>
      <c r="L64" t="inlineStr">
        <is>
          <t>GL.NOSTRO.CHF.BRCC.004</t>
        </is>
      </c>
      <c r="M64" t="inlineStr">
        <is>
          <t>Thornbury Bank</t>
        </is>
      </c>
      <c r="N64" t="inlineStr">
        <is>
          <t>BRCC</t>
        </is>
      </c>
      <c r="O64" t="inlineStr">
        <is>
          <t>NEW</t>
        </is>
      </c>
      <c r="P64" t="inlineStr">
        <is>
          <t>NT26081700078</t>
        </is>
      </c>
      <c r="Q64" t="inlineStr">
        <is>
          <t>INTERNAL</t>
        </is>
      </c>
    </row>
    <row r="65">
      <c r="A65" t="inlineStr">
        <is>
          <t>150316825069</t>
        </is>
      </c>
      <c r="B65" t="inlineStr">
        <is>
          <t>TCP</t>
        </is>
      </c>
      <c r="C65" t="inlineStr">
        <is>
          <t>BRGX</t>
        </is>
      </c>
      <c r="D65" s="6" t="n">
        <v>46251</v>
      </c>
      <c r="E65" t="inlineStr">
        <is>
          <t>DR</t>
        </is>
      </c>
      <c r="F65" t="inlineStr">
        <is>
          <t>GBP</t>
        </is>
      </c>
      <c r="G65" s="7" t="n">
        <v>-20642855.493</v>
      </c>
      <c r="H65" t="inlineStr">
        <is>
          <t>GBP</t>
        </is>
      </c>
      <c r="I65" s="7" t="n">
        <v>-20642855.493</v>
      </c>
      <c r="J65" s="8" t="n">
        <v>46251.6340625</v>
      </c>
      <c r="K65" t="inlineStr">
        <is>
          <t>CF260817 00059</t>
        </is>
      </c>
      <c r="L65" t="inlineStr">
        <is>
          <t>GL.NOSTRO.GBP.BRGX.007</t>
        </is>
      </c>
      <c r="M65" t="inlineStr">
        <is>
          <t>Ironbark Commercial Bank</t>
        </is>
      </c>
      <c r="N65" t="inlineStr">
        <is>
          <t>BRGXMM</t>
        </is>
      </c>
      <c r="O65" t="inlineStr">
        <is>
          <t>NEW</t>
        </is>
      </c>
      <c r="Q65" t="inlineStr">
        <is>
          <t>NETTER</t>
        </is>
      </c>
    </row>
    <row r="66">
      <c r="A66" t="inlineStr">
        <is>
          <t>132544340094</t>
        </is>
      </c>
      <c r="B66" t="inlineStr">
        <is>
          <t>TCC</t>
        </is>
      </c>
      <c r="C66" t="inlineStr">
        <is>
          <t>BRYG</t>
        </is>
      </c>
      <c r="D66" s="6" t="n">
        <v>46251</v>
      </c>
      <c r="E66" t="inlineStr">
        <is>
          <t>CR</t>
        </is>
      </c>
      <c r="F66" t="inlineStr">
        <is>
          <t>CZK</t>
        </is>
      </c>
      <c r="G66" s="7" t="n">
        <v>69848614.79000001</v>
      </c>
      <c r="H66" t="inlineStr">
        <is>
          <t>GBP</t>
        </is>
      </c>
      <c r="I66" s="7" t="n">
        <v>2367868.041</v>
      </c>
      <c r="J66" s="8" t="n">
        <v>46251.60048611111</v>
      </c>
      <c r="K66" t="inlineStr">
        <is>
          <t>CF260817 00060</t>
        </is>
      </c>
      <c r="L66" t="inlineStr">
        <is>
          <t>GL.NOSTRO.CZK.BRYG.003</t>
        </is>
      </c>
      <c r="M66" t="inlineStr">
        <is>
          <t>Ironbark Commercial Bank</t>
        </is>
      </c>
      <c r="N66" t="inlineStr">
        <is>
          <t>BRYG</t>
        </is>
      </c>
      <c r="O66" t="inlineStr">
        <is>
          <t>NEW</t>
        </is>
      </c>
      <c r="P66" t="inlineStr">
        <is>
          <t>NT26081700104</t>
        </is>
      </c>
      <c r="Q66" t="inlineStr">
        <is>
          <t>INTERNAL</t>
        </is>
      </c>
    </row>
    <row r="67">
      <c r="A67" t="inlineStr">
        <is>
          <t>468341071172</t>
        </is>
      </c>
      <c r="B67" t="inlineStr">
        <is>
          <t>TCC</t>
        </is>
      </c>
      <c r="C67" t="inlineStr">
        <is>
          <t>BRCC</t>
        </is>
      </c>
      <c r="D67" s="6" t="n">
        <v>46251</v>
      </c>
      <c r="E67" t="inlineStr">
        <is>
          <t>DR</t>
        </is>
      </c>
      <c r="F67" t="inlineStr">
        <is>
          <t>EUR</t>
        </is>
      </c>
      <c r="G67" s="7" t="n">
        <v>-119865803.831</v>
      </c>
      <c r="H67" t="inlineStr">
        <is>
          <t>GBP</t>
        </is>
      </c>
      <c r="I67" s="7" t="n">
        <v>-102844859.687</v>
      </c>
      <c r="J67" s="8" t="n">
        <v>46251.68085648148</v>
      </c>
      <c r="K67" t="inlineStr">
        <is>
          <t>CF260817 00061</t>
        </is>
      </c>
      <c r="L67" t="inlineStr">
        <is>
          <t>GL.NOSTRO.EUR.BRCC.006</t>
        </is>
      </c>
      <c r="M67" t="inlineStr">
        <is>
          <t>Wrenfield Commercial Bank</t>
        </is>
      </c>
      <c r="N67" t="inlineStr">
        <is>
          <t>BRCCCASH</t>
        </is>
      </c>
      <c r="O67" t="inlineStr">
        <is>
          <t>NEW</t>
        </is>
      </c>
      <c r="Q67" t="inlineStr">
        <is>
          <t>INTERNAL</t>
        </is>
      </c>
    </row>
    <row r="68">
      <c r="A68" t="inlineStr">
        <is>
          <t>968942362772</t>
        </is>
      </c>
      <c r="B68" t="inlineStr">
        <is>
          <t>TCC</t>
        </is>
      </c>
      <c r="C68" t="inlineStr">
        <is>
          <t>BRYG</t>
        </is>
      </c>
      <c r="D68" s="6" t="n">
        <v>46251</v>
      </c>
      <c r="E68" t="inlineStr">
        <is>
          <t>CR</t>
        </is>
      </c>
      <c r="F68" t="inlineStr">
        <is>
          <t>EUR</t>
        </is>
      </c>
      <c r="G68" s="7" t="n">
        <v>7978.671</v>
      </c>
      <c r="H68" t="inlineStr">
        <is>
          <t>GBP</t>
        </is>
      </c>
      <c r="I68" s="7" t="n">
        <v>6845.7</v>
      </c>
      <c r="J68" s="8" t="n">
        <v>46251.32550925926</v>
      </c>
      <c r="K68" t="inlineStr">
        <is>
          <t>CF260817 00062</t>
        </is>
      </c>
      <c r="L68" t="inlineStr">
        <is>
          <t>GL.NOSTRO.EUR.BRYG.002</t>
        </is>
      </c>
      <c r="M68" t="inlineStr">
        <is>
          <t>Alder Clearing</t>
        </is>
      </c>
      <c r="N68" t="inlineStr">
        <is>
          <t>BRYGCASH</t>
        </is>
      </c>
      <c r="O68" t="inlineStr">
        <is>
          <t>NEW</t>
        </is>
      </c>
      <c r="Q68" t="inlineStr">
        <is>
          <t>GROSS</t>
        </is>
      </c>
    </row>
    <row r="69">
      <c r="A69" t="inlineStr">
        <is>
          <t>726928343448</t>
        </is>
      </c>
      <c r="B69" t="inlineStr">
        <is>
          <t>TCX</t>
        </is>
      </c>
      <c r="C69" t="inlineStr">
        <is>
          <t>BRGX</t>
        </is>
      </c>
      <c r="D69" s="6" t="n">
        <v>46251</v>
      </c>
      <c r="E69" t="inlineStr">
        <is>
          <t>CR</t>
        </is>
      </c>
      <c r="F69" t="inlineStr">
        <is>
          <t>EUR</t>
        </is>
      </c>
      <c r="G69" s="7" t="n">
        <v>17704230.285</v>
      </c>
      <c r="H69" t="inlineStr">
        <is>
          <t>GBP</t>
        </is>
      </c>
      <c r="I69" s="7" t="n">
        <v>15190229.585</v>
      </c>
      <c r="J69" s="8" t="n">
        <v>46251.63924768518</v>
      </c>
      <c r="K69" t="inlineStr">
        <is>
          <t>CF260817 00063</t>
        </is>
      </c>
      <c r="L69" t="inlineStr">
        <is>
          <t>GL.NOSTRO.EUR.BRGX.003</t>
        </is>
      </c>
      <c r="M69" t="inlineStr">
        <is>
          <t>Wrenfield Commercial Bank</t>
        </is>
      </c>
      <c r="N69" t="inlineStr">
        <is>
          <t>BRGXCASH</t>
        </is>
      </c>
      <c r="O69" t="inlineStr">
        <is>
          <t>NEW</t>
        </is>
      </c>
      <c r="P69" t="inlineStr">
        <is>
          <t>NT26081700089</t>
        </is>
      </c>
      <c r="Q69" t="inlineStr">
        <is>
          <t>GROSS</t>
        </is>
      </c>
    </row>
    <row r="70">
      <c r="A70" t="inlineStr">
        <is>
          <t>794226063698</t>
        </is>
      </c>
      <c r="B70" t="inlineStr">
        <is>
          <t>TCC</t>
        </is>
      </c>
      <c r="C70" t="inlineStr">
        <is>
          <t>BRMD</t>
        </is>
      </c>
      <c r="D70" s="6" t="n">
        <v>46251</v>
      </c>
      <c r="E70" t="inlineStr">
        <is>
          <t>DR</t>
        </is>
      </c>
      <c r="F70" t="inlineStr">
        <is>
          <t>AED</t>
        </is>
      </c>
      <c r="G70" s="7" t="n">
        <v>-1402640.378</v>
      </c>
      <c r="H70" t="inlineStr">
        <is>
          <t>GBP</t>
        </is>
      </c>
      <c r="I70" s="7" t="n">
        <v>-298762.401</v>
      </c>
      <c r="J70" s="8" t="n">
        <v>46251.68310185185</v>
      </c>
      <c r="K70" t="inlineStr">
        <is>
          <t>CF260817 00064</t>
        </is>
      </c>
      <c r="L70" t="inlineStr">
        <is>
          <t>GL.NOSTRO.AED.BRMD.005</t>
        </is>
      </c>
      <c r="M70" t="inlineStr">
        <is>
          <t>Vetchling Settlement Bank</t>
        </is>
      </c>
      <c r="N70" t="inlineStr">
        <is>
          <t>BRMDTRSY</t>
        </is>
      </c>
      <c r="O70" t="inlineStr">
        <is>
          <t>NEW</t>
        </is>
      </c>
      <c r="Q70" t="inlineStr">
        <is>
          <t>INTERNAL</t>
        </is>
      </c>
    </row>
    <row r="71">
      <c r="A71" t="inlineStr">
        <is>
          <t>824840705580</t>
        </is>
      </c>
      <c r="B71" t="inlineStr">
        <is>
          <t>TCX</t>
        </is>
      </c>
      <c r="C71" t="inlineStr">
        <is>
          <t>BRGL</t>
        </is>
      </c>
      <c r="D71" s="6" t="n">
        <v>46251</v>
      </c>
      <c r="E71" t="inlineStr">
        <is>
          <t>CR</t>
        </is>
      </c>
      <c r="F71" t="inlineStr">
        <is>
          <t>EUR</t>
        </is>
      </c>
      <c r="G71" s="7" t="n">
        <v>9215638.822000001</v>
      </c>
      <c r="H71" t="inlineStr">
        <is>
          <t>GBP</t>
        </is>
      </c>
      <c r="I71" s="7" t="n">
        <v>7907018.109</v>
      </c>
      <c r="J71" s="8" t="n">
        <v>46251.58885416666</v>
      </c>
      <c r="K71" t="inlineStr">
        <is>
          <t>CF260817 00065</t>
        </is>
      </c>
      <c r="L71" t="inlineStr">
        <is>
          <t>GL.NOSTRO.EUR.BRGL.006</t>
        </is>
      </c>
      <c r="M71" t="inlineStr">
        <is>
          <t>Mallow Trust</t>
        </is>
      </c>
      <c r="N71" t="inlineStr">
        <is>
          <t>BRGLTRSY</t>
        </is>
      </c>
      <c r="O71" t="inlineStr">
        <is>
          <t>NEW</t>
        </is>
      </c>
      <c r="P71" t="inlineStr">
        <is>
          <t>NT26081700098</t>
        </is>
      </c>
      <c r="Q71" t="inlineStr">
        <is>
          <t>INTERNAL</t>
        </is>
      </c>
    </row>
    <row r="72">
      <c r="A72" t="inlineStr">
        <is>
          <t>824840705580</t>
        </is>
      </c>
      <c r="B72" t="inlineStr">
        <is>
          <t>TCP</t>
        </is>
      </c>
      <c r="C72" t="inlineStr">
        <is>
          <t>BRGL</t>
        </is>
      </c>
      <c r="D72" s="6" t="n">
        <v>46251</v>
      </c>
      <c r="E72" t="inlineStr">
        <is>
          <t>CR</t>
        </is>
      </c>
      <c r="F72" t="inlineStr">
        <is>
          <t>EUR</t>
        </is>
      </c>
      <c r="G72" s="7" t="n">
        <v>877540897.178</v>
      </c>
      <c r="H72" t="inlineStr">
        <is>
          <t>GBP</t>
        </is>
      </c>
      <c r="I72" s="7" t="n">
        <v>752930089.779</v>
      </c>
      <c r="J72" s="8" t="n">
        <v>46251.40388888889</v>
      </c>
      <c r="K72" t="inlineStr">
        <is>
          <t>CF260817 00066</t>
        </is>
      </c>
      <c r="L72" t="inlineStr">
        <is>
          <t>GL.NOSTRO.EUR.BRGL.009</t>
        </is>
      </c>
      <c r="M72" t="inlineStr">
        <is>
          <t>Mallow Clearing</t>
        </is>
      </c>
      <c r="N72" t="inlineStr">
        <is>
          <t>BRGLTRSY</t>
        </is>
      </c>
      <c r="O72" t="inlineStr">
        <is>
          <t>NEW</t>
        </is>
      </c>
      <c r="Q72" t="inlineStr">
        <is>
          <t>GROSS</t>
        </is>
      </c>
    </row>
    <row r="73">
      <c r="A73" t="inlineStr">
        <is>
          <t>927538182434</t>
        </is>
      </c>
      <c r="B73" t="inlineStr">
        <is>
          <t>TCP</t>
        </is>
      </c>
      <c r="C73" t="inlineStr">
        <is>
          <t>BRNK</t>
        </is>
      </c>
      <c r="D73" s="6" t="n">
        <v>46251</v>
      </c>
      <c r="E73" t="inlineStr">
        <is>
          <t>CR</t>
        </is>
      </c>
      <c r="F73" t="inlineStr">
        <is>
          <t>CNY</t>
        </is>
      </c>
      <c r="G73" s="7" t="n">
        <v>9311043.913000001</v>
      </c>
      <c r="H73" t="inlineStr">
        <is>
          <t>GBP</t>
        </is>
      </c>
      <c r="I73" s="7" t="n">
        <v>1014903.787</v>
      </c>
      <c r="J73" s="8" t="n">
        <v>46251.73604166666</v>
      </c>
      <c r="K73" t="inlineStr">
        <is>
          <t>CF260817 00067</t>
        </is>
      </c>
      <c r="L73" t="inlineStr">
        <is>
          <t>GL.NOSTRO.CNY.BRNK.006</t>
        </is>
      </c>
      <c r="M73" t="inlineStr">
        <is>
          <t>Mallow Trust</t>
        </is>
      </c>
      <c r="N73" t="inlineStr">
        <is>
          <t>BRNKTRSY</t>
        </is>
      </c>
      <c r="O73" t="inlineStr">
        <is>
          <t>NEW</t>
        </is>
      </c>
      <c r="Q73" t="inlineStr">
        <is>
          <t>NETTER</t>
        </is>
      </c>
    </row>
    <row r="74">
      <c r="A74" t="inlineStr">
        <is>
          <t>171857983160</t>
        </is>
      </c>
      <c r="B74" t="inlineStr">
        <is>
          <t>TCX</t>
        </is>
      </c>
      <c r="C74" t="inlineStr">
        <is>
          <t>BRBX</t>
        </is>
      </c>
      <c r="D74" s="6" t="n">
        <v>46251</v>
      </c>
      <c r="E74" t="inlineStr">
        <is>
          <t>DR</t>
        </is>
      </c>
      <c r="F74" t="inlineStr">
        <is>
          <t>AUD</t>
        </is>
      </c>
      <c r="G74" s="7" t="n">
        <v>-10461351.577</v>
      </c>
      <c r="H74" t="inlineStr">
        <is>
          <t>GBP</t>
        </is>
      </c>
      <c r="I74" s="7" t="n">
        <v>-5366673.359</v>
      </c>
      <c r="J74" s="8" t="n">
        <v>46251.43936342592</v>
      </c>
      <c r="K74" t="inlineStr">
        <is>
          <t>CF260817 00068</t>
        </is>
      </c>
      <c r="L74" t="inlineStr">
        <is>
          <t>GL.NOSTRO.AUD.BRBX.009</t>
        </is>
      </c>
      <c r="M74" t="inlineStr">
        <is>
          <t>Alder Clearing</t>
        </is>
      </c>
      <c r="N74" t="inlineStr">
        <is>
          <t>BRBXMM</t>
        </is>
      </c>
      <c r="O74" t="inlineStr">
        <is>
          <t>NEW</t>
        </is>
      </c>
      <c r="P74" t="inlineStr">
        <is>
          <t>NT26081700083</t>
        </is>
      </c>
      <c r="Q74" t="inlineStr">
        <is>
          <t>NETTER</t>
        </is>
      </c>
    </row>
    <row r="75">
      <c r="A75" t="inlineStr">
        <is>
          <t>171857983160</t>
        </is>
      </c>
      <c r="B75" t="inlineStr">
        <is>
          <t>TCX</t>
        </is>
      </c>
      <c r="C75" t="inlineStr">
        <is>
          <t>BRBX</t>
        </is>
      </c>
      <c r="D75" s="6" t="n">
        <v>46251</v>
      </c>
      <c r="E75" t="inlineStr">
        <is>
          <t>DR</t>
        </is>
      </c>
      <c r="F75" t="inlineStr">
        <is>
          <t>AUD</t>
        </is>
      </c>
      <c r="G75" s="7" t="n">
        <v>-3923137841.667</v>
      </c>
      <c r="H75" t="inlineStr">
        <is>
          <t>GBP</t>
        </is>
      </c>
      <c r="I75" s="7" t="n">
        <v>-2012569712.775</v>
      </c>
      <c r="J75" s="8" t="n">
        <v>46251.76162037037</v>
      </c>
      <c r="K75" t="inlineStr">
        <is>
          <t>CF260817 00069</t>
        </is>
      </c>
      <c r="L75" t="inlineStr">
        <is>
          <t>GL.NOSTRO.AUD.BRBX.008</t>
        </is>
      </c>
      <c r="M75" t="inlineStr">
        <is>
          <t>Harrow Clearing</t>
        </is>
      </c>
      <c r="N75" t="inlineStr">
        <is>
          <t>BRBXCASH</t>
        </is>
      </c>
      <c r="O75" t="inlineStr">
        <is>
          <t>NEW</t>
        </is>
      </c>
      <c r="Q75" t="inlineStr">
        <is>
          <t>GROSS</t>
        </is>
      </c>
    </row>
    <row r="76">
      <c r="A76" t="inlineStr">
        <is>
          <t>824840705580</t>
        </is>
      </c>
      <c r="B76" t="inlineStr">
        <is>
          <t>TCP</t>
        </is>
      </c>
      <c r="C76" t="inlineStr">
        <is>
          <t>BRGL</t>
        </is>
      </c>
      <c r="D76" s="6" t="n">
        <v>46251</v>
      </c>
      <c r="E76" t="inlineStr">
        <is>
          <t>CR</t>
        </is>
      </c>
      <c r="F76" t="inlineStr">
        <is>
          <t>EUR</t>
        </is>
      </c>
      <c r="G76" s="7" t="n">
        <v>2608459.055</v>
      </c>
      <c r="H76" t="inlineStr">
        <is>
          <t>GBP</t>
        </is>
      </c>
      <c r="I76" s="7" t="n">
        <v>2238057.869</v>
      </c>
      <c r="J76" s="8" t="n">
        <v>46251.63837962963</v>
      </c>
      <c r="K76" t="inlineStr">
        <is>
          <t>CF260817 00070</t>
        </is>
      </c>
      <c r="L76" t="inlineStr">
        <is>
          <t>GL.NOSTRO.EUR.BRGL.003</t>
        </is>
      </c>
      <c r="M76" t="inlineStr">
        <is>
          <t>Redstart Commercial Bank</t>
        </is>
      </c>
      <c r="N76" t="inlineStr">
        <is>
          <t>BRGLCASH</t>
        </is>
      </c>
      <c r="O76" t="inlineStr">
        <is>
          <t>NEW</t>
        </is>
      </c>
      <c r="P76" t="inlineStr">
        <is>
          <t>NT26081700087</t>
        </is>
      </c>
      <c r="Q76" t="inlineStr">
        <is>
          <t>NETTER</t>
        </is>
      </c>
    </row>
    <row r="77">
      <c r="A77" t="inlineStr">
        <is>
          <t>359365220160</t>
        </is>
      </c>
      <c r="B77" t="inlineStr">
        <is>
          <t>TCC</t>
        </is>
      </c>
      <c r="C77" t="inlineStr">
        <is>
          <t>BRGX</t>
        </is>
      </c>
      <c r="D77" s="6" t="n">
        <v>46251</v>
      </c>
      <c r="E77" t="inlineStr">
        <is>
          <t>CR</t>
        </is>
      </c>
      <c r="F77" t="inlineStr">
        <is>
          <t>EUR</t>
        </is>
      </c>
      <c r="G77" s="7" t="n">
        <v>2887021.832</v>
      </c>
      <c r="H77" t="inlineStr">
        <is>
          <t>GBP</t>
        </is>
      </c>
      <c r="I77" s="7" t="n">
        <v>2477064.732</v>
      </c>
      <c r="J77" s="8" t="n">
        <v>46251.63444444445</v>
      </c>
      <c r="K77" t="inlineStr">
        <is>
          <t>CF260817 00071</t>
        </is>
      </c>
      <c r="L77" t="inlineStr">
        <is>
          <t>GL.NOSTRO.EUR.BRGX.001</t>
        </is>
      </c>
      <c r="M77" t="inlineStr">
        <is>
          <t>Nightjar Bank</t>
        </is>
      </c>
      <c r="N77" t="inlineStr">
        <is>
          <t>BRGXCASH</t>
        </is>
      </c>
      <c r="O77" t="inlineStr">
        <is>
          <t>NEW</t>
        </is>
      </c>
      <c r="Q77" t="inlineStr">
        <is>
          <t>NETTER</t>
        </is>
      </c>
    </row>
    <row r="78">
      <c r="A78" t="inlineStr">
        <is>
          <t>132544340094</t>
        </is>
      </c>
      <c r="B78" t="inlineStr">
        <is>
          <t>TCP</t>
        </is>
      </c>
      <c r="C78" t="inlineStr">
        <is>
          <t>BRYG</t>
        </is>
      </c>
      <c r="D78" s="6" t="n">
        <v>46251</v>
      </c>
      <c r="E78" t="inlineStr">
        <is>
          <t>CR</t>
        </is>
      </c>
      <c r="F78" t="inlineStr">
        <is>
          <t>CZK</t>
        </is>
      </c>
      <c r="G78" s="7" t="n">
        <v>806937764.526</v>
      </c>
      <c r="H78" t="inlineStr">
        <is>
          <t>GBP</t>
        </is>
      </c>
      <c r="I78" s="7" t="n">
        <v>27355190.217</v>
      </c>
      <c r="J78" s="8" t="n">
        <v>46251.71335648148</v>
      </c>
      <c r="K78" t="inlineStr">
        <is>
          <t>CF260817 00072</t>
        </is>
      </c>
      <c r="L78" t="inlineStr">
        <is>
          <t>GL.NOSTRO.CZK.BRYG.007</t>
        </is>
      </c>
      <c r="M78" t="inlineStr">
        <is>
          <t>Bramble Bank</t>
        </is>
      </c>
      <c r="N78" t="inlineStr">
        <is>
          <t>BRYGTRSY</t>
        </is>
      </c>
      <c r="O78" t="inlineStr">
        <is>
          <t>NEW</t>
        </is>
      </c>
      <c r="Q78" t="inlineStr">
        <is>
          <t>GROSS</t>
        </is>
      </c>
    </row>
    <row r="79">
      <c r="A79" t="inlineStr">
        <is>
          <t>953625291146</t>
        </is>
      </c>
      <c r="B79" t="inlineStr">
        <is>
          <t>TCQ</t>
        </is>
      </c>
      <c r="C79" t="inlineStr">
        <is>
          <t>BRGL</t>
        </is>
      </c>
      <c r="D79" s="6" t="n">
        <v>46251</v>
      </c>
      <c r="E79" t="inlineStr">
        <is>
          <t>DR</t>
        </is>
      </c>
      <c r="F79" t="inlineStr">
        <is>
          <t>USD</t>
        </is>
      </c>
      <c r="G79" s="7" t="n">
        <v>-75387739.97</v>
      </c>
      <c r="H79" t="inlineStr">
        <is>
          <t>GBP</t>
        </is>
      </c>
      <c r="I79" s="7" t="n">
        <v>-59103988.136</v>
      </c>
      <c r="J79" s="8" t="n">
        <v>46251.00347222222</v>
      </c>
      <c r="K79" t="inlineStr">
        <is>
          <t>CF260817 00073</t>
        </is>
      </c>
      <c r="L79" t="inlineStr">
        <is>
          <t>GL.NOSTRO.USD.BRGL.006</t>
        </is>
      </c>
      <c r="M79" t="inlineStr">
        <is>
          <t>Zephyr Bank</t>
        </is>
      </c>
      <c r="N79" t="inlineStr">
        <is>
          <t>BRGL</t>
        </is>
      </c>
      <c r="O79" t="inlineStr">
        <is>
          <t>NEW</t>
        </is>
      </c>
      <c r="Q79" t="inlineStr">
        <is>
          <t>NETTER</t>
        </is>
      </c>
    </row>
    <row r="80">
      <c r="A80" t="inlineStr">
        <is>
          <t>499062838623</t>
        </is>
      </c>
      <c r="B80" t="inlineStr">
        <is>
          <t>TCC</t>
        </is>
      </c>
      <c r="C80" t="inlineStr">
        <is>
          <t>BRBX</t>
        </is>
      </c>
      <c r="D80" s="6" t="n">
        <v>46251</v>
      </c>
      <c r="E80" t="inlineStr">
        <is>
          <t>CR</t>
        </is>
      </c>
      <c r="F80" t="inlineStr">
        <is>
          <t>USD</t>
        </is>
      </c>
      <c r="G80" s="7" t="n">
        <v>148324263.892</v>
      </c>
      <c r="H80" t="inlineStr">
        <is>
          <t>GBP</t>
        </is>
      </c>
      <c r="I80" s="7" t="n">
        <v>116286222.891</v>
      </c>
      <c r="J80" s="8" t="n">
        <v>46251.64230324074</v>
      </c>
      <c r="K80" t="inlineStr">
        <is>
          <t>CF260817 00074</t>
        </is>
      </c>
      <c r="L80" t="inlineStr">
        <is>
          <t>GL.NOSTRO.USD.BRBX.005</t>
        </is>
      </c>
      <c r="M80" t="inlineStr">
        <is>
          <t>Yarrow Commercial Bank</t>
        </is>
      </c>
      <c r="N80" t="inlineStr">
        <is>
          <t>BRBX</t>
        </is>
      </c>
      <c r="O80" t="inlineStr">
        <is>
          <t>NEW</t>
        </is>
      </c>
      <c r="Q80" t="inlineStr">
        <is>
          <t>GROSS</t>
        </is>
      </c>
    </row>
    <row r="81">
      <c r="A81" t="inlineStr">
        <is>
          <t>927538182434</t>
        </is>
      </c>
      <c r="B81" t="inlineStr">
        <is>
          <t>TCP</t>
        </is>
      </c>
      <c r="C81" t="inlineStr">
        <is>
          <t>BRNK</t>
        </is>
      </c>
      <c r="D81" s="6" t="n">
        <v>46251</v>
      </c>
      <c r="E81" t="inlineStr">
        <is>
          <t>DR</t>
        </is>
      </c>
      <c r="F81" t="inlineStr">
        <is>
          <t>CNY</t>
        </is>
      </c>
      <c r="G81" s="7" t="n">
        <v>-65231461.857</v>
      </c>
      <c r="H81" t="inlineStr">
        <is>
          <t>GBP</t>
        </is>
      </c>
      <c r="I81" s="7" t="n">
        <v>-7110229.342</v>
      </c>
      <c r="J81" s="8" t="n">
        <v>46251.33707175926</v>
      </c>
      <c r="K81" t="inlineStr">
        <is>
          <t>CF260817 00075</t>
        </is>
      </c>
      <c r="L81" t="inlineStr">
        <is>
          <t>GL.NOSTRO.CNY.BRNK.006</t>
        </is>
      </c>
      <c r="M81" t="inlineStr">
        <is>
          <t>Dunlin Clearing</t>
        </is>
      </c>
      <c r="N81" t="inlineStr">
        <is>
          <t>BRNKCASH</t>
        </is>
      </c>
      <c r="O81" t="inlineStr">
        <is>
          <t>NEW</t>
        </is>
      </c>
      <c r="Q81" t="inlineStr">
        <is>
          <t>GROSS</t>
        </is>
      </c>
    </row>
    <row r="82">
      <c r="A82" t="inlineStr">
        <is>
          <t>150316825069</t>
        </is>
      </c>
      <c r="B82" t="inlineStr">
        <is>
          <t>TCX</t>
        </is>
      </c>
      <c r="C82" t="inlineStr">
        <is>
          <t>BRGX</t>
        </is>
      </c>
      <c r="D82" s="6" t="n">
        <v>46251</v>
      </c>
      <c r="E82" t="inlineStr">
        <is>
          <t>DR</t>
        </is>
      </c>
      <c r="F82" t="inlineStr">
        <is>
          <t>GBP</t>
        </is>
      </c>
      <c r="G82" s="7" t="n">
        <v>-139869161.753</v>
      </c>
      <c r="H82" t="inlineStr">
        <is>
          <t>GBP</t>
        </is>
      </c>
      <c r="I82" s="7" t="n">
        <v>-139869161.753</v>
      </c>
      <c r="J82" s="8" t="n">
        <v>46251.4116087963</v>
      </c>
      <c r="K82" t="inlineStr">
        <is>
          <t>CF260817 00076</t>
        </is>
      </c>
      <c r="L82" t="inlineStr">
        <is>
          <t>GL.NOSTRO.GBP.BRGX.002</t>
        </is>
      </c>
      <c r="M82" t="inlineStr">
        <is>
          <t>Vetchling Bank</t>
        </is>
      </c>
      <c r="N82" t="inlineStr">
        <is>
          <t>BRGXTRSY</t>
        </is>
      </c>
      <c r="O82" t="inlineStr">
        <is>
          <t>AMEND</t>
        </is>
      </c>
      <c r="Q82" t="inlineStr">
        <is>
          <t>NETTER</t>
        </is>
      </c>
    </row>
    <row r="83">
      <c r="A83" t="inlineStr">
        <is>
          <t>824840705580</t>
        </is>
      </c>
      <c r="B83" t="inlineStr">
        <is>
          <t>TCP</t>
        </is>
      </c>
      <c r="C83" t="inlineStr">
        <is>
          <t>BRGL</t>
        </is>
      </c>
      <c r="D83" s="6" t="n">
        <v>46251</v>
      </c>
      <c r="E83" t="inlineStr">
        <is>
          <t>CR</t>
        </is>
      </c>
      <c r="F83" t="inlineStr">
        <is>
          <t>EUR</t>
        </is>
      </c>
      <c r="G83" s="7" t="n">
        <v>1797552.408</v>
      </c>
      <c r="H83" t="inlineStr">
        <is>
          <t>GBP</t>
        </is>
      </c>
      <c r="I83" s="7" t="n">
        <v>1542299.966</v>
      </c>
      <c r="J83" s="8" t="n">
        <v>46251.71517361111</v>
      </c>
      <c r="K83" t="inlineStr">
        <is>
          <t>CF260817 00077</t>
        </is>
      </c>
      <c r="L83" t="inlineStr">
        <is>
          <t>GL.NOSTRO.EUR.BRGL.003</t>
        </is>
      </c>
      <c r="M83" t="inlineStr">
        <is>
          <t>Dunlin Bank</t>
        </is>
      </c>
      <c r="N83" t="inlineStr">
        <is>
          <t>BRGL</t>
        </is>
      </c>
      <c r="O83" t="inlineStr">
        <is>
          <t>CANCEL</t>
        </is>
      </c>
      <c r="Q83" t="inlineStr">
        <is>
          <t>NETTER</t>
        </is>
      </c>
    </row>
    <row r="84">
      <c r="A84" t="inlineStr">
        <is>
          <t>968942362772</t>
        </is>
      </c>
      <c r="B84" t="inlineStr">
        <is>
          <t>TCG</t>
        </is>
      </c>
      <c r="C84" t="inlineStr">
        <is>
          <t>BRYG</t>
        </is>
      </c>
      <c r="D84" s="6" t="n">
        <v>46251</v>
      </c>
      <c r="E84" t="inlineStr">
        <is>
          <t>DR</t>
        </is>
      </c>
      <c r="F84" t="inlineStr">
        <is>
          <t>EUR</t>
        </is>
      </c>
      <c r="G84" s="7" t="n">
        <v>-8683722.107000001</v>
      </c>
      <c r="H84" t="inlineStr">
        <is>
          <t>GBP</t>
        </is>
      </c>
      <c r="I84" s="7" t="n">
        <v>-7450633.568</v>
      </c>
      <c r="J84" s="8" t="n">
        <v>46251.7903125</v>
      </c>
      <c r="K84" t="inlineStr">
        <is>
          <t>CF260817 00078</t>
        </is>
      </c>
      <c r="L84" t="inlineStr">
        <is>
          <t>GL.NOSTRO.EUR.BRYG.005</t>
        </is>
      </c>
      <c r="M84" t="inlineStr">
        <is>
          <t>Pinehurst Clearing</t>
        </is>
      </c>
      <c r="N84" t="inlineStr">
        <is>
          <t>BRYGMM</t>
        </is>
      </c>
      <c r="O84" t="inlineStr">
        <is>
          <t>NEW</t>
        </is>
      </c>
      <c r="Q84" t="inlineStr">
        <is>
          <t>GROSS</t>
        </is>
      </c>
    </row>
    <row r="85">
      <c r="A85" t="inlineStr">
        <is>
          <t>794226063698</t>
        </is>
      </c>
      <c r="B85" t="inlineStr">
        <is>
          <t>TCG</t>
        </is>
      </c>
      <c r="C85" t="inlineStr">
        <is>
          <t>BRMD</t>
        </is>
      </c>
      <c r="D85" s="6" t="n">
        <v>46251</v>
      </c>
      <c r="E85" t="inlineStr">
        <is>
          <t>DR</t>
        </is>
      </c>
      <c r="F85" t="inlineStr">
        <is>
          <t>AED</t>
        </is>
      </c>
      <c r="G85" s="7" t="n">
        <v>-47882544.849</v>
      </c>
      <c r="H85" t="inlineStr">
        <is>
          <t>GBP</t>
        </is>
      </c>
      <c r="I85" s="7" t="n">
        <v>-10198982.053</v>
      </c>
      <c r="J85" s="8" t="n">
        <v>46251.44965277778</v>
      </c>
      <c r="K85" t="inlineStr">
        <is>
          <t>CF260817 00079</t>
        </is>
      </c>
      <c r="L85" t="inlineStr">
        <is>
          <t>GL.NOSTRO.AED.BRMD.007</t>
        </is>
      </c>
      <c r="M85" t="inlineStr">
        <is>
          <t>Ironbark Trust</t>
        </is>
      </c>
      <c r="N85" t="inlineStr">
        <is>
          <t>BRMDTRSY</t>
        </is>
      </c>
      <c r="O85" t="inlineStr">
        <is>
          <t>CANCEL</t>
        </is>
      </c>
      <c r="P85" t="inlineStr">
        <is>
          <t>NT26081700079</t>
        </is>
      </c>
      <c r="Q85" t="inlineStr">
        <is>
          <t>NETTER</t>
        </is>
      </c>
    </row>
    <row r="86">
      <c r="A86" t="inlineStr">
        <is>
          <t>468341071172</t>
        </is>
      </c>
      <c r="B86" t="inlineStr">
        <is>
          <t>TCC</t>
        </is>
      </c>
      <c r="C86" t="inlineStr">
        <is>
          <t>BRCC</t>
        </is>
      </c>
      <c r="D86" s="6" t="n">
        <v>46251</v>
      </c>
      <c r="E86" t="inlineStr">
        <is>
          <t>CR</t>
        </is>
      </c>
      <c r="F86" t="inlineStr">
        <is>
          <t>EUR</t>
        </is>
      </c>
      <c r="G86" s="7" t="n">
        <v>70730593.693</v>
      </c>
      <c r="H86" t="inlineStr">
        <is>
          <t>GBP</t>
        </is>
      </c>
      <c r="I86" s="7" t="n">
        <v>60686849.389</v>
      </c>
      <c r="J86" s="8" t="n">
        <v>46251.56516203703</v>
      </c>
      <c r="K86" t="inlineStr">
        <is>
          <t>CF260817 00080</t>
        </is>
      </c>
      <c r="L86" t="inlineStr">
        <is>
          <t>GL.NOSTRO.EUR.BRCC.009</t>
        </is>
      </c>
      <c r="M86" t="inlineStr">
        <is>
          <t>Pinehurst Clearing</t>
        </is>
      </c>
      <c r="N86" t="inlineStr">
        <is>
          <t>BRCC</t>
        </is>
      </c>
      <c r="O86" t="inlineStr">
        <is>
          <t>AMEND</t>
        </is>
      </c>
      <c r="Q86" t="inlineStr">
        <is>
          <t>NETTER</t>
        </is>
      </c>
    </row>
    <row r="87">
      <c r="A87" t="inlineStr">
        <is>
          <t>113829985108</t>
        </is>
      </c>
      <c r="B87" t="inlineStr">
        <is>
          <t>TCQ</t>
        </is>
      </c>
      <c r="C87" t="inlineStr">
        <is>
          <t>BRGL</t>
        </is>
      </c>
      <c r="D87" s="6" t="n">
        <v>46251</v>
      </c>
      <c r="E87" t="inlineStr">
        <is>
          <t>DR</t>
        </is>
      </c>
      <c r="F87" t="inlineStr">
        <is>
          <t>EUR</t>
        </is>
      </c>
      <c r="G87" s="7" t="n">
        <v>-3966785.835</v>
      </c>
      <c r="H87" t="inlineStr">
        <is>
          <t>GBP</t>
        </is>
      </c>
      <c r="I87" s="7" t="n">
        <v>-3403502.246</v>
      </c>
      <c r="J87" s="8" t="n">
        <v>46251.57541666667</v>
      </c>
      <c r="K87" t="inlineStr">
        <is>
          <t>CF260817 00081</t>
        </is>
      </c>
      <c r="L87" t="inlineStr">
        <is>
          <t>GL.NOSTRO.EUR.BRGL.004</t>
        </is>
      </c>
      <c r="M87" t="inlineStr">
        <is>
          <t>Ironbark Commercial Bank</t>
        </is>
      </c>
      <c r="N87" t="inlineStr">
        <is>
          <t>BRGLCASH</t>
        </is>
      </c>
      <c r="O87" t="inlineStr">
        <is>
          <t>AMEND</t>
        </is>
      </c>
      <c r="Q87" t="inlineStr">
        <is>
          <t>NETTER</t>
        </is>
      </c>
    </row>
    <row r="88">
      <c r="A88" t="inlineStr">
        <is>
          <t>499062838623</t>
        </is>
      </c>
      <c r="B88" t="inlineStr">
        <is>
          <t>TCQ</t>
        </is>
      </c>
      <c r="C88" t="inlineStr">
        <is>
          <t>BRBX</t>
        </is>
      </c>
      <c r="D88" s="6" t="n">
        <v>46251</v>
      </c>
      <c r="E88" t="inlineStr">
        <is>
          <t>DR</t>
        </is>
      </c>
      <c r="F88" t="inlineStr">
        <is>
          <t>USD</t>
        </is>
      </c>
      <c r="G88" s="7" t="n">
        <v>-4577209.216</v>
      </c>
      <c r="H88" t="inlineStr">
        <is>
          <t>GBP</t>
        </is>
      </c>
      <c r="I88" s="7" t="n">
        <v>-3588532.025</v>
      </c>
      <c r="J88" s="8" t="n">
        <v>46251.55450231482</v>
      </c>
      <c r="K88" t="inlineStr">
        <is>
          <t>CF260817 00082</t>
        </is>
      </c>
      <c r="L88" t="inlineStr">
        <is>
          <t>GL.NOSTRO.USD.BRBX.007</t>
        </is>
      </c>
      <c r="M88" t="inlineStr">
        <is>
          <t>Vetchling Bank</t>
        </is>
      </c>
      <c r="N88" t="inlineStr">
        <is>
          <t>BRBXMM</t>
        </is>
      </c>
      <c r="O88" t="inlineStr">
        <is>
          <t>AMEND</t>
        </is>
      </c>
      <c r="P88" t="inlineStr">
        <is>
          <t>NT26081700108</t>
        </is>
      </c>
      <c r="Q88" t="inlineStr">
        <is>
          <t>NETTER</t>
        </is>
      </c>
    </row>
    <row r="89">
      <c r="A89" t="inlineStr">
        <is>
          <t>113829985108</t>
        </is>
      </c>
      <c r="B89" t="inlineStr">
        <is>
          <t>TCG</t>
        </is>
      </c>
      <c r="C89" t="inlineStr">
        <is>
          <t>BRGL</t>
        </is>
      </c>
      <c r="D89" s="6" t="n">
        <v>46251</v>
      </c>
      <c r="E89" t="inlineStr">
        <is>
          <t>CR</t>
        </is>
      </c>
      <c r="F89" t="inlineStr">
        <is>
          <t>EUR</t>
        </is>
      </c>
      <c r="G89" s="7" t="n">
        <v>800121.499</v>
      </c>
      <c r="H89" t="inlineStr">
        <is>
          <t>GBP</t>
        </is>
      </c>
      <c r="I89" s="7" t="n">
        <v>686504.246</v>
      </c>
      <c r="J89" s="8" t="n">
        <v>46251.56002314815</v>
      </c>
      <c r="K89" t="inlineStr">
        <is>
          <t>CF260817 00083</t>
        </is>
      </c>
      <c r="L89" t="inlineStr">
        <is>
          <t>GL.NOSTRO.EUR.BRGL.008</t>
        </is>
      </c>
      <c r="M89" t="inlineStr">
        <is>
          <t>Pinehurst Bank</t>
        </is>
      </c>
      <c r="N89" t="inlineStr">
        <is>
          <t>BRGLTRSY</t>
        </is>
      </c>
      <c r="O89" t="inlineStr">
        <is>
          <t>NEW</t>
        </is>
      </c>
      <c r="P89" t="inlineStr">
        <is>
          <t>NT26081700087</t>
        </is>
      </c>
      <c r="Q89" t="inlineStr">
        <is>
          <t>NETTER</t>
        </is>
      </c>
    </row>
    <row r="90">
      <c r="A90" t="inlineStr">
        <is>
          <t>953625291146</t>
        </is>
      </c>
      <c r="B90" t="inlineStr">
        <is>
          <t>TCP</t>
        </is>
      </c>
      <c r="C90" t="inlineStr">
        <is>
          <t>BRGL</t>
        </is>
      </c>
      <c r="D90" s="6" t="n">
        <v>46251</v>
      </c>
      <c r="E90" t="inlineStr">
        <is>
          <t>CR</t>
        </is>
      </c>
      <c r="F90" t="inlineStr">
        <is>
          <t>USD</t>
        </is>
      </c>
      <c r="G90" s="7" t="n">
        <v>24289.012</v>
      </c>
      <c r="H90" t="inlineStr">
        <is>
          <t>GBP</t>
        </is>
      </c>
      <c r="I90" s="7" t="n">
        <v>19042.585</v>
      </c>
      <c r="J90" s="8" t="n">
        <v>46251.30629629629</v>
      </c>
      <c r="K90" t="inlineStr">
        <is>
          <t>CF260817 00084</t>
        </is>
      </c>
      <c r="L90" t="inlineStr">
        <is>
          <t>GL.NOSTRO.USD.BRGL.009</t>
        </is>
      </c>
      <c r="M90" t="inlineStr">
        <is>
          <t>Thornbury Bank</t>
        </is>
      </c>
      <c r="N90" t="inlineStr">
        <is>
          <t>BRGLTRSY</t>
        </is>
      </c>
      <c r="O90" t="inlineStr">
        <is>
          <t>NEW</t>
        </is>
      </c>
      <c r="Q90" t="inlineStr">
        <is>
          <t>NETTER</t>
        </is>
      </c>
    </row>
    <row r="91">
      <c r="A91" t="inlineStr">
        <is>
          <t>132544340094</t>
        </is>
      </c>
      <c r="B91" t="inlineStr">
        <is>
          <t>TCQ</t>
        </is>
      </c>
      <c r="C91" t="inlineStr">
        <is>
          <t>BRYG</t>
        </is>
      </c>
      <c r="D91" s="6" t="n">
        <v>46251</v>
      </c>
      <c r="E91" t="inlineStr">
        <is>
          <t>CR</t>
        </is>
      </c>
      <c r="F91" t="inlineStr">
        <is>
          <t>CZK</t>
        </is>
      </c>
      <c r="G91" s="7" t="n">
        <v>520249944.462</v>
      </c>
      <c r="H91" t="inlineStr">
        <is>
          <t>GBP</t>
        </is>
      </c>
      <c r="I91" s="7" t="n">
        <v>17636473.117</v>
      </c>
      <c r="J91" s="8" t="n">
        <v>46251.44196759259</v>
      </c>
      <c r="K91" t="inlineStr">
        <is>
          <t>CF260817 00085</t>
        </is>
      </c>
      <c r="L91" t="inlineStr">
        <is>
          <t>GL.NOSTRO.CZK.BRYG.002</t>
        </is>
      </c>
      <c r="M91" t="inlineStr">
        <is>
          <t>Oriel Trust</t>
        </is>
      </c>
      <c r="N91" t="inlineStr">
        <is>
          <t>BRYGCASH</t>
        </is>
      </c>
      <c r="O91" t="inlineStr">
        <is>
          <t>AMEND</t>
        </is>
      </c>
      <c r="Q91" t="inlineStr">
        <is>
          <t>NETTER</t>
        </is>
      </c>
    </row>
    <row r="92">
      <c r="A92" t="inlineStr">
        <is>
          <t>171857983160</t>
        </is>
      </c>
      <c r="B92" t="inlineStr">
        <is>
          <t>TCX</t>
        </is>
      </c>
      <c r="C92" t="inlineStr">
        <is>
          <t>BRBX</t>
        </is>
      </c>
      <c r="D92" s="6" t="n">
        <v>46251</v>
      </c>
      <c r="E92" t="inlineStr">
        <is>
          <t>DR</t>
        </is>
      </c>
      <c r="F92" t="inlineStr">
        <is>
          <t>AUD</t>
        </is>
      </c>
      <c r="G92" s="7" t="n">
        <v>-482928105.119</v>
      </c>
      <c r="H92" t="inlineStr">
        <is>
          <t>GBP</t>
        </is>
      </c>
      <c r="I92" s="7" t="n">
        <v>-247742117.926</v>
      </c>
      <c r="J92" s="8" t="n">
        <v>46251.38153935185</v>
      </c>
      <c r="K92" t="inlineStr">
        <is>
          <t>CF260817 00086</t>
        </is>
      </c>
      <c r="L92" t="inlineStr">
        <is>
          <t>GL.NOSTRO.AUD.BRBX.009</t>
        </is>
      </c>
      <c r="M92" t="inlineStr">
        <is>
          <t>Elmwood Bank</t>
        </is>
      </c>
      <c r="N92" t="inlineStr">
        <is>
          <t>BRBXTRSY</t>
        </is>
      </c>
      <c r="O92" t="inlineStr">
        <is>
          <t>NEW</t>
        </is>
      </c>
      <c r="Q92" t="inlineStr">
        <is>
          <t>NETTER</t>
        </is>
      </c>
    </row>
    <row r="93">
      <c r="A93" t="inlineStr">
        <is>
          <t>794226063698</t>
        </is>
      </c>
      <c r="B93" t="inlineStr">
        <is>
          <t>TCQ</t>
        </is>
      </c>
      <c r="C93" t="inlineStr">
        <is>
          <t>BRMD</t>
        </is>
      </c>
      <c r="D93" s="6" t="n">
        <v>46251</v>
      </c>
      <c r="E93" t="inlineStr">
        <is>
          <t>CR</t>
        </is>
      </c>
      <c r="F93" t="inlineStr">
        <is>
          <t>AED</t>
        </is>
      </c>
      <c r="G93" s="7" t="n">
        <v>457221.311</v>
      </c>
      <c r="H93" t="inlineStr">
        <is>
          <t>GBP</t>
        </is>
      </c>
      <c r="I93" s="7" t="n">
        <v>97388.139</v>
      </c>
      <c r="J93" s="8" t="n">
        <v>46251.75516203704</v>
      </c>
      <c r="K93" t="inlineStr">
        <is>
          <t>CF260817 00087</t>
        </is>
      </c>
      <c r="L93" t="inlineStr">
        <is>
          <t>GL.NOSTRO.AED.BRMD.002</t>
        </is>
      </c>
      <c r="M93" t="inlineStr">
        <is>
          <t>Alder Trust</t>
        </is>
      </c>
      <c r="N93" t="inlineStr">
        <is>
          <t>BRMDCASH</t>
        </is>
      </c>
      <c r="O93" t="inlineStr">
        <is>
          <t>NEW</t>
        </is>
      </c>
      <c r="Q93" t="inlineStr">
        <is>
          <t>GROSS</t>
        </is>
      </c>
    </row>
    <row r="94">
      <c r="A94" t="inlineStr">
        <is>
          <t>910703979141</t>
        </is>
      </c>
      <c r="B94" t="inlineStr">
        <is>
          <t>TCC</t>
        </is>
      </c>
      <c r="C94" t="inlineStr">
        <is>
          <t>BRCC</t>
        </is>
      </c>
      <c r="D94" s="6" t="n">
        <v>46251</v>
      </c>
      <c r="E94" t="inlineStr">
        <is>
          <t>DR</t>
        </is>
      </c>
      <c r="F94" t="inlineStr">
        <is>
          <t>CHF</t>
        </is>
      </c>
      <c r="G94" s="7" t="n">
        <v>-426141795.227</v>
      </c>
      <c r="H94" t="inlineStr">
        <is>
          <t>GBP</t>
        </is>
      </c>
      <c r="I94" s="7" t="n">
        <v>-382249190.319</v>
      </c>
      <c r="J94" s="8" t="n">
        <v>46251.73028935185</v>
      </c>
      <c r="K94" t="inlineStr">
        <is>
          <t>CF260817 00088</t>
        </is>
      </c>
      <c r="L94" t="inlineStr">
        <is>
          <t>GL.NOSTRO.CHF.BRCC.004</t>
        </is>
      </c>
      <c r="M94" t="inlineStr">
        <is>
          <t>Sablewood Clearing</t>
        </is>
      </c>
      <c r="N94" t="inlineStr">
        <is>
          <t>BRCCMM</t>
        </is>
      </c>
      <c r="O94" t="inlineStr">
        <is>
          <t>NEW</t>
        </is>
      </c>
      <c r="P94" t="inlineStr">
        <is>
          <t>NT26081700101</t>
        </is>
      </c>
      <c r="Q94" t="inlineStr">
        <is>
          <t>NETTER</t>
        </is>
      </c>
    </row>
    <row r="95">
      <c r="A95" t="inlineStr">
        <is>
          <t>794226063698</t>
        </is>
      </c>
      <c r="B95" t="inlineStr">
        <is>
          <t>TCP</t>
        </is>
      </c>
      <c r="C95" t="inlineStr">
        <is>
          <t>BRMD</t>
        </is>
      </c>
      <c r="D95" s="6" t="n">
        <v>46251</v>
      </c>
      <c r="E95" t="inlineStr">
        <is>
          <t>DR</t>
        </is>
      </c>
      <c r="F95" t="inlineStr">
        <is>
          <t>AED</t>
        </is>
      </c>
      <c r="G95" s="7" t="n">
        <v>-11146906.121</v>
      </c>
      <c r="H95" t="inlineStr">
        <is>
          <t>GBP</t>
        </is>
      </c>
      <c r="I95" s="7" t="n">
        <v>-2374291.004</v>
      </c>
      <c r="J95" s="8" t="n">
        <v>46251.56967592592</v>
      </c>
      <c r="K95" t="inlineStr">
        <is>
          <t>CF260817 00089</t>
        </is>
      </c>
      <c r="L95" t="inlineStr">
        <is>
          <t>GL.NOSTRO.AED.BRMD.007</t>
        </is>
      </c>
      <c r="M95" t="inlineStr">
        <is>
          <t>Elmwood Clearing</t>
        </is>
      </c>
      <c r="N95" t="inlineStr">
        <is>
          <t>BRMDMM</t>
        </is>
      </c>
      <c r="O95" t="inlineStr">
        <is>
          <t>NEW</t>
        </is>
      </c>
      <c r="P95" t="inlineStr">
        <is>
          <t>NT26081700099</t>
        </is>
      </c>
      <c r="Q95" t="inlineStr">
        <is>
          <t>GROSS</t>
        </is>
      </c>
    </row>
    <row r="96">
      <c r="A96" t="inlineStr">
        <is>
          <t>794226063698</t>
        </is>
      </c>
      <c r="B96" t="inlineStr">
        <is>
          <t>TCC</t>
        </is>
      </c>
      <c r="C96" t="inlineStr">
        <is>
          <t>BRMD</t>
        </is>
      </c>
      <c r="D96" s="6" t="n">
        <v>46251</v>
      </c>
      <c r="E96" t="inlineStr">
        <is>
          <t>DR</t>
        </is>
      </c>
      <c r="F96" t="inlineStr">
        <is>
          <t>AED</t>
        </is>
      </c>
      <c r="G96" s="7" t="n">
        <v>-47476984.175</v>
      </c>
      <c r="H96" t="inlineStr">
        <is>
          <t>GBP</t>
        </is>
      </c>
      <c r="I96" s="7" t="n">
        <v>-10112597.629</v>
      </c>
      <c r="J96" s="8" t="n">
        <v>46251.70086805556</v>
      </c>
      <c r="K96" t="inlineStr">
        <is>
          <t>CF260817 00090</t>
        </is>
      </c>
      <c r="L96" t="inlineStr">
        <is>
          <t>GL.NOSTRO.AED.BRMD.003</t>
        </is>
      </c>
      <c r="M96" t="inlineStr">
        <is>
          <t>Granite Clearing</t>
        </is>
      </c>
      <c r="N96" t="inlineStr">
        <is>
          <t>BRMDMM</t>
        </is>
      </c>
      <c r="O96" t="inlineStr">
        <is>
          <t>NEW</t>
        </is>
      </c>
      <c r="Q96" t="inlineStr">
        <is>
          <t>NETTER</t>
        </is>
      </c>
    </row>
    <row r="97">
      <c r="A97" t="inlineStr">
        <is>
          <t>284925023085</t>
        </is>
      </c>
      <c r="B97" t="inlineStr">
        <is>
          <t>TCC</t>
        </is>
      </c>
      <c r="C97" t="inlineStr">
        <is>
          <t>BRMD</t>
        </is>
      </c>
      <c r="D97" s="6" t="n">
        <v>46251</v>
      </c>
      <c r="E97" t="inlineStr">
        <is>
          <t>CR</t>
        </is>
      </c>
      <c r="F97" t="inlineStr">
        <is>
          <t>MXN</t>
        </is>
      </c>
      <c r="G97" s="7" t="n">
        <v>4674861.283</v>
      </c>
      <c r="H97" t="inlineStr">
        <is>
          <t>GBP</t>
        </is>
      </c>
      <c r="I97" s="7" t="n">
        <v>200084.063</v>
      </c>
      <c r="J97" s="8" t="n">
        <v>46251.53599537037</v>
      </c>
      <c r="K97" t="inlineStr">
        <is>
          <t>CF260817 00091</t>
        </is>
      </c>
      <c r="L97" t="inlineStr">
        <is>
          <t>GL.NOSTRO.MXN.BRMD.001</t>
        </is>
      </c>
      <c r="M97" t="inlineStr">
        <is>
          <t>Redstart Trust</t>
        </is>
      </c>
      <c r="N97" t="inlineStr">
        <is>
          <t>BRMDTRSY</t>
        </is>
      </c>
      <c r="O97" t="inlineStr">
        <is>
          <t>NEW</t>
        </is>
      </c>
      <c r="P97" t="inlineStr">
        <is>
          <t>NT26081700084</t>
        </is>
      </c>
      <c r="Q97" t="inlineStr">
        <is>
          <t>GROSS</t>
        </is>
      </c>
    </row>
    <row r="98">
      <c r="A98" t="inlineStr">
        <is>
          <t>150316825069</t>
        </is>
      </c>
      <c r="B98" t="inlineStr">
        <is>
          <t>TCX</t>
        </is>
      </c>
      <c r="C98" t="inlineStr">
        <is>
          <t>BRGX</t>
        </is>
      </c>
      <c r="D98" s="6" t="n">
        <v>46251</v>
      </c>
      <c r="E98" t="inlineStr">
        <is>
          <t>DR</t>
        </is>
      </c>
      <c r="F98" t="inlineStr">
        <is>
          <t>GBP</t>
        </is>
      </c>
      <c r="G98" s="7" t="n">
        <v>-432276733.128</v>
      </c>
      <c r="H98" t="inlineStr">
        <is>
          <t>GBP</t>
        </is>
      </c>
      <c r="I98" s="7" t="n">
        <v>-432276733.128</v>
      </c>
      <c r="J98" s="8" t="n">
        <v>46251.53638888889</v>
      </c>
      <c r="K98" t="inlineStr">
        <is>
          <t>CF260817 00092</t>
        </is>
      </c>
      <c r="L98" t="inlineStr">
        <is>
          <t>GL.NOSTRO.GBP.BRGX.007</t>
        </is>
      </c>
      <c r="M98" t="inlineStr">
        <is>
          <t>Bramble Bank</t>
        </is>
      </c>
      <c r="N98" t="inlineStr">
        <is>
          <t>BRGXTRSY</t>
        </is>
      </c>
      <c r="O98" t="inlineStr">
        <is>
          <t>AMEND</t>
        </is>
      </c>
      <c r="P98" t="inlineStr">
        <is>
          <t>NT26081700112</t>
        </is>
      </c>
      <c r="Q98" t="inlineStr">
        <is>
          <t>NETTER</t>
        </is>
      </c>
    </row>
    <row r="99">
      <c r="A99" t="inlineStr">
        <is>
          <t>968942362772</t>
        </is>
      </c>
      <c r="B99" t="inlineStr">
        <is>
          <t>TCQ</t>
        </is>
      </c>
      <c r="C99" t="inlineStr">
        <is>
          <t>BRYG</t>
        </is>
      </c>
      <c r="D99" s="6" t="n">
        <v>46251</v>
      </c>
      <c r="E99" t="inlineStr">
        <is>
          <t>CR</t>
        </is>
      </c>
      <c r="F99" t="inlineStr">
        <is>
          <t>EUR</t>
        </is>
      </c>
      <c r="G99" s="7" t="n">
        <v>221601640.369</v>
      </c>
      <c r="H99" t="inlineStr">
        <is>
          <t>GBP</t>
        </is>
      </c>
      <c r="I99" s="7" t="n">
        <v>190134207.437</v>
      </c>
      <c r="J99" s="8" t="n">
        <v>46251.46563657407</v>
      </c>
      <c r="K99" t="inlineStr">
        <is>
          <t>CF260817 00093</t>
        </is>
      </c>
      <c r="L99" t="inlineStr">
        <is>
          <t>GL.NOSTRO.EUR.BRYG.001</t>
        </is>
      </c>
      <c r="M99" t="inlineStr">
        <is>
          <t>Zephyr Bank</t>
        </is>
      </c>
      <c r="N99" t="inlineStr">
        <is>
          <t>BRYG</t>
        </is>
      </c>
      <c r="O99" t="inlineStr">
        <is>
          <t>NEW</t>
        </is>
      </c>
      <c r="P99" t="inlineStr">
        <is>
          <t>NT26081700101</t>
        </is>
      </c>
      <c r="Q99" t="inlineStr">
        <is>
          <t>NETTER</t>
        </is>
      </c>
    </row>
    <row r="100">
      <c r="A100" t="inlineStr">
        <is>
          <t>898317028833</t>
        </is>
      </c>
      <c r="B100" t="inlineStr">
        <is>
          <t>TCC</t>
        </is>
      </c>
      <c r="C100" t="inlineStr">
        <is>
          <t>BRAA</t>
        </is>
      </c>
      <c r="D100" s="6" t="n">
        <v>46251</v>
      </c>
      <c r="E100" t="inlineStr">
        <is>
          <t>DR</t>
        </is>
      </c>
      <c r="F100" t="inlineStr">
        <is>
          <t>GBP</t>
        </is>
      </c>
      <c r="G100" s="7" t="n">
        <v>-111814.627</v>
      </c>
      <c r="H100" t="inlineStr">
        <is>
          <t>GBP</t>
        </is>
      </c>
      <c r="I100" s="7" t="n">
        <v>-111814.627</v>
      </c>
      <c r="J100" s="8" t="n">
        <v>46251.65849537037</v>
      </c>
      <c r="K100" t="inlineStr">
        <is>
          <t>CF260817 00094</t>
        </is>
      </c>
      <c r="L100" t="inlineStr">
        <is>
          <t>GL.NOSTRO.GBP.BRAA.005</t>
        </is>
      </c>
      <c r="M100" t="inlineStr">
        <is>
          <t>Granite Bank</t>
        </is>
      </c>
      <c r="N100" t="inlineStr">
        <is>
          <t>BRAACASH</t>
        </is>
      </c>
      <c r="O100" t="inlineStr">
        <is>
          <t>NEW</t>
        </is>
      </c>
      <c r="P100" t="inlineStr">
        <is>
          <t>NT26081700078</t>
        </is>
      </c>
      <c r="Q100" t="inlineStr">
        <is>
          <t>NETTER</t>
        </is>
      </c>
    </row>
    <row r="101">
      <c r="A101" t="inlineStr">
        <is>
          <t>499062838623</t>
        </is>
      </c>
      <c r="B101" t="inlineStr">
        <is>
          <t>TCG</t>
        </is>
      </c>
      <c r="C101" t="inlineStr">
        <is>
          <t>BRBX</t>
        </is>
      </c>
      <c r="D101" s="6" t="n">
        <v>46251</v>
      </c>
      <c r="E101" t="inlineStr">
        <is>
          <t>DR</t>
        </is>
      </c>
      <c r="F101" t="inlineStr">
        <is>
          <t>USD</t>
        </is>
      </c>
      <c r="G101" s="7" t="n">
        <v>-147261164.562</v>
      </c>
      <c r="H101" t="inlineStr">
        <is>
          <t>GBP</t>
        </is>
      </c>
      <c r="I101" s="7" t="n">
        <v>-115452753.017</v>
      </c>
      <c r="J101" s="8" t="n">
        <v>46251.31444444445</v>
      </c>
      <c r="K101" t="inlineStr">
        <is>
          <t>CF260817 00095</t>
        </is>
      </c>
      <c r="L101" t="inlineStr">
        <is>
          <t>GL.NOSTRO.USD.BRBX.002</t>
        </is>
      </c>
      <c r="M101" t="inlineStr">
        <is>
          <t>Sablewood Settlement Bank</t>
        </is>
      </c>
      <c r="N101" t="inlineStr">
        <is>
          <t>BRBX</t>
        </is>
      </c>
      <c r="O101" t="inlineStr">
        <is>
          <t>NEW</t>
        </is>
      </c>
      <c r="Q101" t="inlineStr">
        <is>
          <t>NETTER</t>
        </is>
      </c>
    </row>
    <row r="102">
      <c r="A102" t="inlineStr">
        <is>
          <t>499062838623</t>
        </is>
      </c>
      <c r="B102" t="inlineStr">
        <is>
          <t>TCP</t>
        </is>
      </c>
      <c r="C102" t="inlineStr">
        <is>
          <t>BRBX</t>
        </is>
      </c>
      <c r="D102" s="6" t="n">
        <v>46251</v>
      </c>
      <c r="E102" t="inlineStr">
        <is>
          <t>DR</t>
        </is>
      </c>
      <c r="F102" t="inlineStr">
        <is>
          <t>USD</t>
        </is>
      </c>
      <c r="G102" s="7" t="n">
        <v>-60584660.465</v>
      </c>
      <c r="H102" t="inlineStr">
        <is>
          <t>GBP</t>
        </is>
      </c>
      <c r="I102" s="7" t="n">
        <v>-47498373.805</v>
      </c>
      <c r="J102" s="8" t="n">
        <v>46251.29429398148</v>
      </c>
      <c r="K102" t="inlineStr">
        <is>
          <t>CF260817 00096</t>
        </is>
      </c>
      <c r="L102" t="inlineStr">
        <is>
          <t>GL.NOSTRO.USD.BRBX.008</t>
        </is>
      </c>
      <c r="M102" t="inlineStr">
        <is>
          <t>Umberton Clearing</t>
        </is>
      </c>
      <c r="N102" t="inlineStr">
        <is>
          <t>BRBX</t>
        </is>
      </c>
      <c r="O102" t="inlineStr">
        <is>
          <t>NEW</t>
        </is>
      </c>
      <c r="Q102" t="inlineStr">
        <is>
          <t>INTERNAL</t>
        </is>
      </c>
    </row>
    <row r="103">
      <c r="A103" t="inlineStr">
        <is>
          <t>171857983160</t>
        </is>
      </c>
      <c r="B103" t="inlineStr">
        <is>
          <t>TCQ</t>
        </is>
      </c>
      <c r="C103" t="inlineStr">
        <is>
          <t>BRBX</t>
        </is>
      </c>
      <c r="D103" s="6" t="n">
        <v>46251</v>
      </c>
      <c r="E103" t="inlineStr">
        <is>
          <t>CR</t>
        </is>
      </c>
      <c r="F103" t="inlineStr">
        <is>
          <t>AUD</t>
        </is>
      </c>
      <c r="G103" s="7" t="n">
        <v>781494079.347</v>
      </c>
      <c r="H103" t="inlineStr">
        <is>
          <t>GBP</t>
        </is>
      </c>
      <c r="I103" s="7" t="n">
        <v>400906462.705</v>
      </c>
      <c r="J103" s="8" t="n">
        <v>46251.52965277778</v>
      </c>
      <c r="K103" t="inlineStr">
        <is>
          <t>CF260817 00097</t>
        </is>
      </c>
      <c r="L103" t="inlineStr">
        <is>
          <t>GL.NOSTRO.AUD.BRBX.008</t>
        </is>
      </c>
      <c r="M103" t="inlineStr">
        <is>
          <t>Granite Bank</t>
        </is>
      </c>
      <c r="N103" t="inlineStr">
        <is>
          <t>BRBXMM</t>
        </is>
      </c>
      <c r="O103" t="inlineStr">
        <is>
          <t>NEW</t>
        </is>
      </c>
      <c r="P103" t="inlineStr">
        <is>
          <t>NT26081700095</t>
        </is>
      </c>
      <c r="Q103" t="inlineStr">
        <is>
          <t>INTERNAL</t>
        </is>
      </c>
    </row>
    <row r="104">
      <c r="A104" t="inlineStr">
        <is>
          <t>468341071172</t>
        </is>
      </c>
      <c r="B104" t="inlineStr">
        <is>
          <t>TCC</t>
        </is>
      </c>
      <c r="C104" t="inlineStr">
        <is>
          <t>BRCC</t>
        </is>
      </c>
      <c r="D104" s="6" t="n">
        <v>46251</v>
      </c>
      <c r="E104" t="inlineStr">
        <is>
          <t>CR</t>
        </is>
      </c>
      <c r="F104" t="inlineStr">
        <is>
          <t>EUR</t>
        </is>
      </c>
      <c r="G104" s="7" t="n">
        <v>7052221.951</v>
      </c>
      <c r="H104" t="inlineStr">
        <is>
          <t>GBP</t>
        </is>
      </c>
      <c r="I104" s="7" t="n">
        <v>6050806.434</v>
      </c>
      <c r="J104" s="8" t="n">
        <v>46251.32196759259</v>
      </c>
      <c r="K104" t="inlineStr">
        <is>
          <t>CF260817 00098</t>
        </is>
      </c>
      <c r="L104" t="inlineStr">
        <is>
          <t>GL.NOSTRO.EUR.BRCC.002</t>
        </is>
      </c>
      <c r="M104" t="inlineStr">
        <is>
          <t>Zephyr Bank</t>
        </is>
      </c>
      <c r="N104" t="inlineStr">
        <is>
          <t>BRCCTRSY</t>
        </is>
      </c>
      <c r="O104" t="inlineStr">
        <is>
          <t>NEW</t>
        </is>
      </c>
      <c r="Q104" t="inlineStr">
        <is>
          <t>GROSS</t>
        </is>
      </c>
    </row>
    <row r="105">
      <c r="A105" t="inlineStr">
        <is>
          <t>968942362772</t>
        </is>
      </c>
      <c r="B105" t="inlineStr">
        <is>
          <t>TCC</t>
        </is>
      </c>
      <c r="C105" t="inlineStr">
        <is>
          <t>BRYG</t>
        </is>
      </c>
      <c r="D105" s="6" t="n">
        <v>46251</v>
      </c>
      <c r="E105" t="inlineStr">
        <is>
          <t>CR</t>
        </is>
      </c>
      <c r="F105" t="inlineStr">
        <is>
          <t>EUR</t>
        </is>
      </c>
      <c r="G105" s="7" t="n">
        <v>481652059.177</v>
      </c>
      <c r="H105" t="inlineStr">
        <is>
          <t>GBP</t>
        </is>
      </c>
      <c r="I105" s="7" t="n">
        <v>413257466.774</v>
      </c>
      <c r="J105" s="8" t="n">
        <v>46251.62476851852</v>
      </c>
      <c r="K105" t="inlineStr">
        <is>
          <t>CF260817 00099</t>
        </is>
      </c>
      <c r="L105" t="inlineStr">
        <is>
          <t>GL.NOSTRO.EUR.BRYG.004</t>
        </is>
      </c>
      <c r="M105" t="inlineStr">
        <is>
          <t>Elmwood Clearing</t>
        </is>
      </c>
      <c r="N105" t="inlineStr">
        <is>
          <t>BRYG</t>
        </is>
      </c>
      <c r="O105" t="inlineStr">
        <is>
          <t>NEW</t>
        </is>
      </c>
      <c r="P105" t="inlineStr">
        <is>
          <t>NT26081700111</t>
        </is>
      </c>
      <c r="Q105" t="inlineStr">
        <is>
          <t>GROSS</t>
        </is>
      </c>
    </row>
    <row r="106">
      <c r="A106" t="inlineStr">
        <is>
          <t>968942362772</t>
        </is>
      </c>
      <c r="B106" t="inlineStr">
        <is>
          <t>TCG</t>
        </is>
      </c>
      <c r="C106" t="inlineStr">
        <is>
          <t>BRYG</t>
        </is>
      </c>
      <c r="D106" s="6" t="n">
        <v>46251</v>
      </c>
      <c r="E106" t="inlineStr">
        <is>
          <t>CR</t>
        </is>
      </c>
      <c r="F106" t="inlineStr">
        <is>
          <t>EUR</t>
        </is>
      </c>
      <c r="G106" s="7" t="n">
        <v>8146.321</v>
      </c>
      <c r="H106" t="inlineStr">
        <is>
          <t>GBP</t>
        </is>
      </c>
      <c r="I106" s="7" t="n">
        <v>6989.543</v>
      </c>
      <c r="J106" s="8" t="n">
        <v>46251.50635416667</v>
      </c>
      <c r="K106" t="inlineStr">
        <is>
          <t>CF260817 00100</t>
        </is>
      </c>
      <c r="L106" t="inlineStr">
        <is>
          <t>GL.NOSTRO.EUR.BRYG.008</t>
        </is>
      </c>
      <c r="M106" t="inlineStr">
        <is>
          <t>Ironbark Trust</t>
        </is>
      </c>
      <c r="N106" t="inlineStr">
        <is>
          <t>BRYG</t>
        </is>
      </c>
      <c r="O106" t="inlineStr">
        <is>
          <t>NEW</t>
        </is>
      </c>
      <c r="P106" t="inlineStr">
        <is>
          <t>NT26081700095</t>
        </is>
      </c>
      <c r="Q106" t="inlineStr">
        <is>
          <t>NETTER</t>
        </is>
      </c>
    </row>
    <row r="107">
      <c r="A107" t="inlineStr">
        <is>
          <t>468341071172</t>
        </is>
      </c>
      <c r="B107" t="inlineStr">
        <is>
          <t>TCQ</t>
        </is>
      </c>
      <c r="C107" t="inlineStr">
        <is>
          <t>BRCC</t>
        </is>
      </c>
      <c r="D107" s="6" t="n">
        <v>46251</v>
      </c>
      <c r="E107" t="inlineStr">
        <is>
          <t>CR</t>
        </is>
      </c>
      <c r="F107" t="inlineStr">
        <is>
          <t>EUR</t>
        </is>
      </c>
      <c r="G107" s="7" t="n">
        <v>474147531.926</v>
      </c>
      <c r="H107" t="inlineStr">
        <is>
          <t>GBP</t>
        </is>
      </c>
      <c r="I107" s="7" t="n">
        <v>406818582.393</v>
      </c>
      <c r="J107" s="8" t="n">
        <v>46251.38042824074</v>
      </c>
      <c r="K107" t="inlineStr">
        <is>
          <t>CF260817 00101</t>
        </is>
      </c>
      <c r="L107" t="inlineStr">
        <is>
          <t>GL.NOSTRO.EUR.BRCC.009</t>
        </is>
      </c>
      <c r="M107" t="inlineStr">
        <is>
          <t>Juniper Settlement Bank</t>
        </is>
      </c>
      <c r="N107" t="inlineStr">
        <is>
          <t>BRCC</t>
        </is>
      </c>
      <c r="O107" t="inlineStr">
        <is>
          <t>NEW</t>
        </is>
      </c>
      <c r="P107" t="inlineStr">
        <is>
          <t>NT26081700112</t>
        </is>
      </c>
      <c r="Q107" t="inlineStr">
        <is>
          <t>NETTER</t>
        </is>
      </c>
    </row>
    <row r="108">
      <c r="A108" t="inlineStr">
        <is>
          <t>499062838623</t>
        </is>
      </c>
      <c r="B108" t="inlineStr">
        <is>
          <t>TCC</t>
        </is>
      </c>
      <c r="C108" t="inlineStr">
        <is>
          <t>BRBX</t>
        </is>
      </c>
      <c r="D108" s="6" t="n">
        <v>46251</v>
      </c>
      <c r="E108" t="inlineStr">
        <is>
          <t>DR</t>
        </is>
      </c>
      <c r="F108" t="inlineStr">
        <is>
          <t>USD</t>
        </is>
      </c>
      <c r="G108" s="7" t="n">
        <v>-4494541.161</v>
      </c>
      <c r="H108" t="inlineStr">
        <is>
          <t>GBP</t>
        </is>
      </c>
      <c r="I108" s="7" t="n">
        <v>-3523720.27</v>
      </c>
      <c r="J108" s="8" t="n">
        <v>46251.60262731482</v>
      </c>
      <c r="K108" t="inlineStr">
        <is>
          <t>CF260817 00102</t>
        </is>
      </c>
      <c r="L108" t="inlineStr">
        <is>
          <t>GL.NOSTRO.USD.BRBX.001</t>
        </is>
      </c>
      <c r="M108" t="inlineStr">
        <is>
          <t>Mallow Commercial Bank</t>
        </is>
      </c>
      <c r="N108" t="inlineStr">
        <is>
          <t>BRBX</t>
        </is>
      </c>
      <c r="O108" t="inlineStr">
        <is>
          <t>NEW</t>
        </is>
      </c>
      <c r="P108" t="inlineStr">
        <is>
          <t>NT26081700085</t>
        </is>
      </c>
      <c r="Q108" t="inlineStr">
        <is>
          <t>NETTER</t>
        </is>
      </c>
    </row>
    <row r="109">
      <c r="A109" t="inlineStr">
        <is>
          <t>150316825069</t>
        </is>
      </c>
      <c r="B109" t="inlineStr">
        <is>
          <t>TCX</t>
        </is>
      </c>
      <c r="C109" t="inlineStr">
        <is>
          <t>BRGX</t>
        </is>
      </c>
      <c r="D109" s="6" t="n">
        <v>46251</v>
      </c>
      <c r="E109" t="inlineStr">
        <is>
          <t>DR</t>
        </is>
      </c>
      <c r="F109" t="inlineStr">
        <is>
          <t>GBP</t>
        </is>
      </c>
      <c r="G109" s="7" t="n">
        <v>-134560688.03</v>
      </c>
      <c r="H109" t="inlineStr">
        <is>
          <t>GBP</t>
        </is>
      </c>
      <c r="I109" s="7" t="n">
        <v>-134560688.03</v>
      </c>
      <c r="J109" s="8" t="n">
        <v>46251.42533564815</v>
      </c>
      <c r="K109" t="inlineStr">
        <is>
          <t>CF260817 00103</t>
        </is>
      </c>
      <c r="L109" t="inlineStr">
        <is>
          <t>GL.NOSTRO.GBP.BRGX.004</t>
        </is>
      </c>
      <c r="M109" t="inlineStr">
        <is>
          <t>Dunlin Clearing</t>
        </is>
      </c>
      <c r="N109" t="inlineStr">
        <is>
          <t>BRGX</t>
        </is>
      </c>
      <c r="O109" t="inlineStr">
        <is>
          <t>NEW</t>
        </is>
      </c>
      <c r="P109" t="inlineStr">
        <is>
          <t>NT26081700113</t>
        </is>
      </c>
      <c r="Q109" t="inlineStr">
        <is>
          <t>GROSS</t>
        </is>
      </c>
    </row>
    <row r="110">
      <c r="A110" t="inlineStr">
        <is>
          <t>927538182434</t>
        </is>
      </c>
      <c r="B110" t="inlineStr">
        <is>
          <t>TCG</t>
        </is>
      </c>
      <c r="C110" t="inlineStr">
        <is>
          <t>BRNK</t>
        </is>
      </c>
      <c r="D110" s="6" t="n">
        <v>46251</v>
      </c>
      <c r="E110" t="inlineStr">
        <is>
          <t>CR</t>
        </is>
      </c>
      <c r="F110" t="inlineStr">
        <is>
          <t>CNY</t>
        </is>
      </c>
      <c r="G110" s="7" t="n">
        <v>561012611.467</v>
      </c>
      <c r="H110" t="inlineStr">
        <is>
          <t>GBP</t>
        </is>
      </c>
      <c r="I110" s="7" t="n">
        <v>61150374.65</v>
      </c>
      <c r="J110" s="8" t="n">
        <v>46251.37878472222</v>
      </c>
      <c r="K110" t="inlineStr">
        <is>
          <t>CF260817 00104</t>
        </is>
      </c>
      <c r="L110" t="inlineStr">
        <is>
          <t>GL.NOSTRO.CNY.BRNK.004</t>
        </is>
      </c>
      <c r="M110" t="inlineStr">
        <is>
          <t>Cedar Commercial Bank</t>
        </is>
      </c>
      <c r="N110" t="inlineStr">
        <is>
          <t>BRNKCASH</t>
        </is>
      </c>
      <c r="O110" t="inlineStr">
        <is>
          <t>NEW</t>
        </is>
      </c>
      <c r="P110" t="inlineStr">
        <is>
          <t>NT26081700109</t>
        </is>
      </c>
      <c r="Q110" t="inlineStr">
        <is>
          <t>NETTER</t>
        </is>
      </c>
    </row>
    <row r="111">
      <c r="A111" t="inlineStr">
        <is>
          <t>700726936098</t>
        </is>
      </c>
      <c r="B111" t="inlineStr">
        <is>
          <t>TCP</t>
        </is>
      </c>
      <c r="C111" t="inlineStr">
        <is>
          <t>BRMD</t>
        </is>
      </c>
      <c r="D111" s="6" t="n">
        <v>46251</v>
      </c>
      <c r="E111" t="inlineStr">
        <is>
          <t>CR</t>
        </is>
      </c>
      <c r="F111" t="inlineStr">
        <is>
          <t>SAR</t>
        </is>
      </c>
      <c r="G111" s="7" t="n">
        <v>5276050.401</v>
      </c>
      <c r="H111" t="inlineStr">
        <is>
          <t>GBP</t>
        </is>
      </c>
      <c r="I111" s="7" t="n">
        <v>1102694.534</v>
      </c>
      <c r="J111" s="8" t="n">
        <v>46251.30622685186</v>
      </c>
      <c r="K111" t="inlineStr">
        <is>
          <t>CF260817 00105</t>
        </is>
      </c>
      <c r="L111" t="inlineStr">
        <is>
          <t>GL.NOSTRO.SAR.BRMD.003</t>
        </is>
      </c>
      <c r="M111" t="inlineStr">
        <is>
          <t>Umberton Commercial Bank</t>
        </is>
      </c>
      <c r="N111" t="inlineStr">
        <is>
          <t>BRMD</t>
        </is>
      </c>
      <c r="O111" t="inlineStr">
        <is>
          <t>NEW</t>
        </is>
      </c>
      <c r="P111" t="inlineStr">
        <is>
          <t>NT26081700088</t>
        </is>
      </c>
      <c r="Q111" t="inlineStr">
        <is>
          <t>NETTER</t>
        </is>
      </c>
    </row>
    <row r="112">
      <c r="A112" t="inlineStr">
        <is>
          <t>499062838623</t>
        </is>
      </c>
      <c r="B112" t="inlineStr">
        <is>
          <t>TCG</t>
        </is>
      </c>
      <c r="C112" t="inlineStr">
        <is>
          <t>BRBX</t>
        </is>
      </c>
      <c r="D112" s="6" t="n">
        <v>46251</v>
      </c>
      <c r="E112" t="inlineStr">
        <is>
          <t>DR</t>
        </is>
      </c>
      <c r="F112" t="inlineStr">
        <is>
          <t>USD</t>
        </is>
      </c>
      <c r="G112" s="7" t="n">
        <v>-17129410.89</v>
      </c>
      <c r="H112" t="inlineStr">
        <is>
          <t>GBP</t>
        </is>
      </c>
      <c r="I112" s="7" t="n">
        <v>-13429458.138</v>
      </c>
      <c r="J112" s="8" t="n">
        <v>46251.65996527778</v>
      </c>
      <c r="K112" t="inlineStr">
        <is>
          <t>CF260817 00106</t>
        </is>
      </c>
      <c r="L112" t="inlineStr">
        <is>
          <t>GL.NOSTRO.USD.BRBX.003</t>
        </is>
      </c>
      <c r="M112" t="inlineStr">
        <is>
          <t>Pinehurst Clearing</t>
        </is>
      </c>
      <c r="N112" t="inlineStr">
        <is>
          <t>BRBXMM</t>
        </is>
      </c>
      <c r="O112" t="inlineStr">
        <is>
          <t>NEW</t>
        </is>
      </c>
      <c r="Q112" t="inlineStr">
        <is>
          <t>INTERNAL</t>
        </is>
      </c>
    </row>
    <row r="113">
      <c r="A113" t="inlineStr">
        <is>
          <t>284925023085</t>
        </is>
      </c>
      <c r="B113" t="inlineStr">
        <is>
          <t>TCX</t>
        </is>
      </c>
      <c r="C113" t="inlineStr">
        <is>
          <t>BRMD</t>
        </is>
      </c>
      <c r="D113" s="6" t="n">
        <v>46251</v>
      </c>
      <c r="E113" t="inlineStr">
        <is>
          <t>CR</t>
        </is>
      </c>
      <c r="F113" t="inlineStr">
        <is>
          <t>MXN</t>
        </is>
      </c>
      <c r="G113" s="7" t="n">
        <v>5843266.621</v>
      </c>
      <c r="H113" t="inlineStr">
        <is>
          <t>GBP</t>
        </is>
      </c>
      <c r="I113" s="7" t="n">
        <v>250091.811</v>
      </c>
      <c r="J113" s="8" t="n">
        <v>46251.7390162037</v>
      </c>
      <c r="K113" t="inlineStr">
        <is>
          <t>CF260817 00107</t>
        </is>
      </c>
      <c r="L113" t="inlineStr">
        <is>
          <t>GL.NOSTRO.MXN.BRMD.005</t>
        </is>
      </c>
      <c r="M113" t="inlineStr">
        <is>
          <t>Thornbury Bank</t>
        </is>
      </c>
      <c r="N113" t="inlineStr">
        <is>
          <t>BRMDTRSY</t>
        </is>
      </c>
      <c r="O113" t="inlineStr">
        <is>
          <t>NEW</t>
        </is>
      </c>
      <c r="Q113" t="inlineStr">
        <is>
          <t>NETTER</t>
        </is>
      </c>
    </row>
    <row r="114">
      <c r="A114" t="inlineStr">
        <is>
          <t>150316825069</t>
        </is>
      </c>
      <c r="B114" t="inlineStr">
        <is>
          <t>TCX</t>
        </is>
      </c>
      <c r="C114" t="inlineStr">
        <is>
          <t>BRGX</t>
        </is>
      </c>
      <c r="D114" s="6" t="n">
        <v>46251</v>
      </c>
      <c r="E114" t="inlineStr">
        <is>
          <t>CR</t>
        </is>
      </c>
      <c r="F114" t="inlineStr">
        <is>
          <t>GBP</t>
        </is>
      </c>
      <c r="G114" s="7" t="n">
        <v>161094.533</v>
      </c>
      <c r="H114" t="inlineStr">
        <is>
          <t>GBP</t>
        </is>
      </c>
      <c r="I114" s="7" t="n">
        <v>161094.533</v>
      </c>
      <c r="J114" s="8" t="n">
        <v>46251.47103009259</v>
      </c>
      <c r="K114" t="inlineStr">
        <is>
          <t>CF260817 00108</t>
        </is>
      </c>
      <c r="L114" t="inlineStr">
        <is>
          <t>GL.NOSTRO.GBP.BRGX.005</t>
        </is>
      </c>
      <c r="M114" t="inlineStr">
        <is>
          <t>Dunlin Trust</t>
        </is>
      </c>
      <c r="N114" t="inlineStr">
        <is>
          <t>BRGXMM</t>
        </is>
      </c>
      <c r="O114" t="inlineStr">
        <is>
          <t>NEW</t>
        </is>
      </c>
      <c r="P114" t="inlineStr">
        <is>
          <t>NT26081700098</t>
        </is>
      </c>
      <c r="Q114" t="inlineStr">
        <is>
          <t>NETTER</t>
        </is>
      </c>
    </row>
    <row r="115">
      <c r="A115" t="inlineStr">
        <is>
          <t>284925023085</t>
        </is>
      </c>
      <c r="B115" t="inlineStr">
        <is>
          <t>TCX</t>
        </is>
      </c>
      <c r="C115" t="inlineStr">
        <is>
          <t>BRMD</t>
        </is>
      </c>
      <c r="D115" s="6" t="n">
        <v>46251</v>
      </c>
      <c r="E115" t="inlineStr">
        <is>
          <t>DR</t>
        </is>
      </c>
      <c r="F115" t="inlineStr">
        <is>
          <t>MXN</t>
        </is>
      </c>
      <c r="G115" s="7" t="n">
        <v>-5279047.645</v>
      </c>
      <c r="H115" t="inlineStr">
        <is>
          <t>GBP</t>
        </is>
      </c>
      <c r="I115" s="7" t="n">
        <v>-225943.239</v>
      </c>
      <c r="J115" s="8" t="n">
        <v>46251.38356481482</v>
      </c>
      <c r="K115" t="inlineStr">
        <is>
          <t>CF260817 00109</t>
        </is>
      </c>
      <c r="L115" t="inlineStr">
        <is>
          <t>GL.NOSTRO.MXN.BRMD.008</t>
        </is>
      </c>
      <c r="M115" t="inlineStr">
        <is>
          <t>Yarrow Bank</t>
        </is>
      </c>
      <c r="N115" t="inlineStr">
        <is>
          <t>BRMDMM</t>
        </is>
      </c>
      <c r="O115" t="inlineStr">
        <is>
          <t>NEW</t>
        </is>
      </c>
      <c r="Q115" t="inlineStr">
        <is>
          <t>NETTER</t>
        </is>
      </c>
    </row>
    <row r="116">
      <c r="A116" t="inlineStr">
        <is>
          <t>968942362772</t>
        </is>
      </c>
      <c r="B116" t="inlineStr">
        <is>
          <t>TCC</t>
        </is>
      </c>
      <c r="C116" t="inlineStr">
        <is>
          <t>BRYG</t>
        </is>
      </c>
      <c r="D116" s="6" t="n">
        <v>46251</v>
      </c>
      <c r="E116" t="inlineStr">
        <is>
          <t>DR</t>
        </is>
      </c>
      <c r="F116" t="inlineStr">
        <is>
          <t>EUR</t>
        </is>
      </c>
      <c r="G116" s="7" t="n">
        <v>-702276010.136</v>
      </c>
      <c r="H116" t="inlineStr">
        <is>
          <t>GBP</t>
        </is>
      </c>
      <c r="I116" s="7" t="n">
        <v>-602552816.697</v>
      </c>
      <c r="J116" s="8" t="n">
        <v>46251.43081018519</v>
      </c>
      <c r="K116" t="inlineStr">
        <is>
          <t>CF260817 00110</t>
        </is>
      </c>
      <c r="L116" t="inlineStr">
        <is>
          <t>GL.NOSTRO.EUR.BRYG.005</t>
        </is>
      </c>
      <c r="M116" t="inlineStr">
        <is>
          <t>Larkspur Clearing</t>
        </is>
      </c>
      <c r="N116" t="inlineStr">
        <is>
          <t>BRYGMM</t>
        </is>
      </c>
      <c r="O116" t="inlineStr">
        <is>
          <t>AMEND</t>
        </is>
      </c>
      <c r="P116" t="inlineStr">
        <is>
          <t>NT26081700077</t>
        </is>
      </c>
      <c r="Q116" t="inlineStr">
        <is>
          <t>GROSS</t>
        </is>
      </c>
    </row>
    <row r="117">
      <c r="A117" t="inlineStr">
        <is>
          <t>953625291146</t>
        </is>
      </c>
      <c r="B117" t="inlineStr">
        <is>
          <t>TCG</t>
        </is>
      </c>
      <c r="C117" t="inlineStr">
        <is>
          <t>BRGL</t>
        </is>
      </c>
      <c r="D117" s="6" t="n">
        <v>46251</v>
      </c>
      <c r="E117" t="inlineStr">
        <is>
          <t>CR</t>
        </is>
      </c>
      <c r="F117" t="inlineStr">
        <is>
          <t>USD</t>
        </is>
      </c>
      <c r="G117" s="7" t="n">
        <v>1580.591</v>
      </c>
      <c r="H117" t="inlineStr">
        <is>
          <t>GBP</t>
        </is>
      </c>
      <c r="I117" s="7" t="n">
        <v>1239.183</v>
      </c>
      <c r="J117" s="8" t="n">
        <v>46251.403125</v>
      </c>
      <c r="K117" t="inlineStr">
        <is>
          <t>CF260817 00111</t>
        </is>
      </c>
      <c r="L117" t="inlineStr">
        <is>
          <t>GL.NOSTRO.USD.BRGL.003</t>
        </is>
      </c>
      <c r="M117" t="inlineStr">
        <is>
          <t>Umberton Clearing</t>
        </is>
      </c>
      <c r="N117" t="inlineStr">
        <is>
          <t>BRGLTRSY</t>
        </is>
      </c>
      <c r="O117" t="inlineStr">
        <is>
          <t>NEW</t>
        </is>
      </c>
      <c r="Q117" t="inlineStr">
        <is>
          <t>INTERNAL</t>
        </is>
      </c>
    </row>
    <row r="118">
      <c r="A118" t="inlineStr">
        <is>
          <t>359365220160</t>
        </is>
      </c>
      <c r="B118" t="inlineStr">
        <is>
          <t>TCP</t>
        </is>
      </c>
      <c r="C118" t="inlineStr">
        <is>
          <t>BRGX</t>
        </is>
      </c>
      <c r="D118" s="6" t="n">
        <v>46251</v>
      </c>
      <c r="E118" t="inlineStr">
        <is>
          <t>DR</t>
        </is>
      </c>
      <c r="F118" t="inlineStr">
        <is>
          <t>EUR</t>
        </is>
      </c>
      <c r="G118" s="7" t="n">
        <v>-5248835.111</v>
      </c>
      <c r="H118" t="inlineStr">
        <is>
          <t>GBP</t>
        </is>
      </c>
      <c r="I118" s="7" t="n">
        <v>-4503500.525</v>
      </c>
      <c r="J118" s="8" t="n">
        <v>46251.32670138889</v>
      </c>
      <c r="K118" t="inlineStr">
        <is>
          <t>CF260817 00112</t>
        </is>
      </c>
      <c r="L118" t="inlineStr">
        <is>
          <t>GL.NOSTRO.EUR.BRGX.002</t>
        </is>
      </c>
      <c r="M118" t="inlineStr">
        <is>
          <t>Alder Trust</t>
        </is>
      </c>
      <c r="N118" t="inlineStr">
        <is>
          <t>BRGXTRSY</t>
        </is>
      </c>
      <c r="O118" t="inlineStr">
        <is>
          <t>NEW</t>
        </is>
      </c>
      <c r="Q118" t="inlineStr">
        <is>
          <t>GROSS</t>
        </is>
      </c>
    </row>
    <row r="119">
      <c r="A119" t="inlineStr">
        <is>
          <t>898317028833</t>
        </is>
      </c>
      <c r="B119" t="inlineStr">
        <is>
          <t>TCQ</t>
        </is>
      </c>
      <c r="C119" t="inlineStr">
        <is>
          <t>BRAA</t>
        </is>
      </c>
      <c r="D119" s="6" t="n">
        <v>46251</v>
      </c>
      <c r="E119" t="inlineStr">
        <is>
          <t>DR</t>
        </is>
      </c>
      <c r="F119" t="inlineStr">
        <is>
          <t>GBP</t>
        </is>
      </c>
      <c r="G119" s="7" t="n">
        <v>-1244725.135</v>
      </c>
      <c r="H119" t="inlineStr">
        <is>
          <t>GBP</t>
        </is>
      </c>
      <c r="I119" s="7" t="n">
        <v>-1244725.135</v>
      </c>
      <c r="J119" s="8" t="n">
        <v>46251.49659722222</v>
      </c>
      <c r="K119" t="inlineStr">
        <is>
          <t>CF260817 00113</t>
        </is>
      </c>
      <c r="L119" t="inlineStr">
        <is>
          <t>GL.NOSTRO.GBP.BRAA.002</t>
        </is>
      </c>
      <c r="M119" t="inlineStr">
        <is>
          <t>Ironbark Commercial Bank</t>
        </is>
      </c>
      <c r="N119" t="inlineStr">
        <is>
          <t>BRAACASH</t>
        </is>
      </c>
      <c r="O119" t="inlineStr">
        <is>
          <t>NEW</t>
        </is>
      </c>
      <c r="Q119" t="inlineStr">
        <is>
          <t>NETTER</t>
        </is>
      </c>
    </row>
    <row r="120">
      <c r="A120" t="inlineStr">
        <is>
          <t>910703979141</t>
        </is>
      </c>
      <c r="B120" t="inlineStr">
        <is>
          <t>TCC</t>
        </is>
      </c>
      <c r="C120" t="inlineStr">
        <is>
          <t>BRCC</t>
        </is>
      </c>
      <c r="D120" s="6" t="n">
        <v>46251</v>
      </c>
      <c r="E120" t="inlineStr">
        <is>
          <t>CR</t>
        </is>
      </c>
      <c r="F120" t="inlineStr">
        <is>
          <t>CHF</t>
        </is>
      </c>
      <c r="G120" s="7" t="n">
        <v>3923938703.654</v>
      </c>
      <c r="H120" t="inlineStr">
        <is>
          <t>GBP</t>
        </is>
      </c>
      <c r="I120" s="7" t="n">
        <v>3519773017.178</v>
      </c>
      <c r="J120" s="8" t="n">
        <v>46251.59877314815</v>
      </c>
      <c r="K120" t="inlineStr">
        <is>
          <t>CF260817 00114</t>
        </is>
      </c>
      <c r="L120" t="inlineStr">
        <is>
          <t>GL.NOSTRO.CHF.BRCC.004</t>
        </is>
      </c>
      <c r="M120" t="inlineStr">
        <is>
          <t>Dunlin Bank</t>
        </is>
      </c>
      <c r="N120" t="inlineStr">
        <is>
          <t>BRCCTRSY</t>
        </is>
      </c>
      <c r="O120" t="inlineStr">
        <is>
          <t>NEW</t>
        </is>
      </c>
      <c r="Q120" t="inlineStr">
        <is>
          <t>NETTER</t>
        </is>
      </c>
    </row>
    <row r="121">
      <c r="A121" t="inlineStr">
        <is>
          <t>794226063698</t>
        </is>
      </c>
      <c r="B121" t="inlineStr">
        <is>
          <t>TCC</t>
        </is>
      </c>
      <c r="C121" t="inlineStr">
        <is>
          <t>BRMD</t>
        </is>
      </c>
      <c r="D121" s="6" t="n">
        <v>46251</v>
      </c>
      <c r="E121" t="inlineStr">
        <is>
          <t>CR</t>
        </is>
      </c>
      <c r="F121" t="inlineStr">
        <is>
          <t>AED</t>
        </is>
      </c>
      <c r="G121" s="7" t="n">
        <v>2532030.093</v>
      </c>
      <c r="H121" t="inlineStr">
        <is>
          <t>GBP</t>
        </is>
      </c>
      <c r="I121" s="7" t="n">
        <v>539322.41</v>
      </c>
      <c r="J121" s="8" t="n">
        <v>46251.66331018518</v>
      </c>
      <c r="K121" t="inlineStr">
        <is>
          <t>CF260817 00115</t>
        </is>
      </c>
      <c r="L121" t="inlineStr">
        <is>
          <t>GL.NOSTRO.AED.BRMD.003</t>
        </is>
      </c>
      <c r="M121" t="inlineStr">
        <is>
          <t>Yarrow Commercial Bank</t>
        </is>
      </c>
      <c r="N121" t="inlineStr">
        <is>
          <t>BRMD</t>
        </is>
      </c>
      <c r="O121" t="inlineStr">
        <is>
          <t>NEW</t>
        </is>
      </c>
      <c r="Q121" t="inlineStr">
        <is>
          <t>INTERNAL</t>
        </is>
      </c>
    </row>
    <row r="122">
      <c r="A122" t="inlineStr">
        <is>
          <t>968942362772</t>
        </is>
      </c>
      <c r="B122" t="inlineStr">
        <is>
          <t>TCP</t>
        </is>
      </c>
      <c r="C122" t="inlineStr">
        <is>
          <t>BRYG</t>
        </is>
      </c>
      <c r="D122" s="6" t="n">
        <v>46251</v>
      </c>
      <c r="E122" t="inlineStr">
        <is>
          <t>CR</t>
        </is>
      </c>
      <c r="F122" t="inlineStr">
        <is>
          <t>EUR</t>
        </is>
      </c>
      <c r="G122" s="7" t="n">
        <v>73640.158</v>
      </c>
      <c r="H122" t="inlineStr">
        <is>
          <t>GBP</t>
        </is>
      </c>
      <c r="I122" s="7" t="n">
        <v>63183.256</v>
      </c>
      <c r="J122" s="8" t="n">
        <v>46251.70481481482</v>
      </c>
      <c r="K122" t="inlineStr">
        <is>
          <t>CF260817 00116</t>
        </is>
      </c>
      <c r="L122" t="inlineStr">
        <is>
          <t>GL.NOSTRO.EUR.BRYG.009</t>
        </is>
      </c>
      <c r="M122" t="inlineStr">
        <is>
          <t>Redstart Commercial Bank</t>
        </is>
      </c>
      <c r="N122" t="inlineStr">
        <is>
          <t>BRYGCASH</t>
        </is>
      </c>
      <c r="O122" t="inlineStr">
        <is>
          <t>NEW</t>
        </is>
      </c>
      <c r="P122" t="inlineStr">
        <is>
          <t>NT26081700089</t>
        </is>
      </c>
      <c r="Q122" t="inlineStr">
        <is>
          <t>NETTER</t>
        </is>
      </c>
    </row>
    <row r="123">
      <c r="A123" t="inlineStr">
        <is>
          <t>468341071172</t>
        </is>
      </c>
      <c r="B123" t="inlineStr">
        <is>
          <t>TCQ</t>
        </is>
      </c>
      <c r="C123" t="inlineStr">
        <is>
          <t>BRCC</t>
        </is>
      </c>
      <c r="D123" s="6" t="n">
        <v>46251</v>
      </c>
      <c r="E123" t="inlineStr">
        <is>
          <t>DR</t>
        </is>
      </c>
      <c r="F123" t="inlineStr">
        <is>
          <t>EUR</t>
        </is>
      </c>
      <c r="G123" s="7" t="n">
        <v>-145407940.933</v>
      </c>
      <c r="H123" t="inlineStr">
        <is>
          <t>GBP</t>
        </is>
      </c>
      <c r="I123" s="7" t="n">
        <v>-124760013.321</v>
      </c>
      <c r="J123" s="8" t="n">
        <v>46251.29849537037</v>
      </c>
      <c r="K123" t="inlineStr">
        <is>
          <t>CF260817 00117</t>
        </is>
      </c>
      <c r="L123" t="inlineStr">
        <is>
          <t>GL.NOSTRO.EUR.BRCC.005</t>
        </is>
      </c>
      <c r="M123" t="inlineStr">
        <is>
          <t>Granite Clearing</t>
        </is>
      </c>
      <c r="N123" t="inlineStr">
        <is>
          <t>BRCCTRSY</t>
        </is>
      </c>
      <c r="O123" t="inlineStr">
        <is>
          <t>NEW</t>
        </is>
      </c>
      <c r="Q123" t="inlineStr">
        <is>
          <t>NETTER</t>
        </is>
      </c>
    </row>
    <row r="124">
      <c r="A124" t="inlineStr">
        <is>
          <t>171857983160</t>
        </is>
      </c>
      <c r="B124" t="inlineStr">
        <is>
          <t>TCX</t>
        </is>
      </c>
      <c r="C124" t="inlineStr">
        <is>
          <t>BRBX</t>
        </is>
      </c>
      <c r="D124" s="6" t="n">
        <v>46251</v>
      </c>
      <c r="E124" t="inlineStr">
        <is>
          <t>CR</t>
        </is>
      </c>
      <c r="F124" t="inlineStr">
        <is>
          <t>AUD</t>
        </is>
      </c>
      <c r="G124" s="7" t="n">
        <v>157929286.908</v>
      </c>
      <c r="H124" t="inlineStr">
        <is>
          <t>GBP</t>
        </is>
      </c>
      <c r="I124" s="7" t="n">
        <v>81017724.184</v>
      </c>
      <c r="J124" s="8" t="n">
        <v>46251.60460648148</v>
      </c>
      <c r="K124" t="inlineStr">
        <is>
          <t>CF260817 00118</t>
        </is>
      </c>
      <c r="L124" t="inlineStr">
        <is>
          <t>GL.NOSTRO.AUD.BRBX.003</t>
        </is>
      </c>
      <c r="M124" t="inlineStr">
        <is>
          <t>Zephyr Commercial Bank</t>
        </is>
      </c>
      <c r="N124" t="inlineStr">
        <is>
          <t>BRBXTRSY</t>
        </is>
      </c>
      <c r="O124" t="inlineStr">
        <is>
          <t>NEW</t>
        </is>
      </c>
      <c r="P124" t="inlineStr">
        <is>
          <t>NT26081700084</t>
        </is>
      </c>
      <c r="Q124" t="inlineStr">
        <is>
          <t>NETTER</t>
        </is>
      </c>
    </row>
    <row r="125">
      <c r="A125" t="inlineStr">
        <is>
          <t>359365220160</t>
        </is>
      </c>
      <c r="B125" t="inlineStr">
        <is>
          <t>TCC</t>
        </is>
      </c>
      <c r="C125" t="inlineStr">
        <is>
          <t>BRGX</t>
        </is>
      </c>
      <c r="D125" s="6" t="n">
        <v>46251</v>
      </c>
      <c r="E125" t="inlineStr">
        <is>
          <t>CR</t>
        </is>
      </c>
      <c r="F125" t="inlineStr">
        <is>
          <t>EUR</t>
        </is>
      </c>
      <c r="G125" s="7" t="n">
        <v>312134229.858</v>
      </c>
      <c r="H125" t="inlineStr">
        <is>
          <t>GBP</t>
        </is>
      </c>
      <c r="I125" s="7" t="n">
        <v>267811169.218</v>
      </c>
      <c r="J125" s="8" t="n">
        <v>46251.33434027778</v>
      </c>
      <c r="K125" t="inlineStr">
        <is>
          <t>CF260817 00119</t>
        </is>
      </c>
      <c r="L125" t="inlineStr">
        <is>
          <t>GL.NOSTRO.EUR.BRGX.006</t>
        </is>
      </c>
      <c r="M125" t="inlineStr">
        <is>
          <t>Wrenfield Settlement Bank</t>
        </is>
      </c>
      <c r="N125" t="inlineStr">
        <is>
          <t>BRGXCASH</t>
        </is>
      </c>
      <c r="O125" t="inlineStr">
        <is>
          <t>NEW</t>
        </is>
      </c>
      <c r="P125" t="inlineStr">
        <is>
          <t>NT26081700111</t>
        </is>
      </c>
      <c r="Q125" t="inlineStr">
        <is>
          <t>NETTER</t>
        </is>
      </c>
    </row>
    <row r="126">
      <c r="A126" t="inlineStr">
        <is>
          <t>700726936098</t>
        </is>
      </c>
      <c r="B126" t="inlineStr">
        <is>
          <t>TCG</t>
        </is>
      </c>
      <c r="C126" t="inlineStr">
        <is>
          <t>BRMD</t>
        </is>
      </c>
      <c r="D126" s="6" t="n">
        <v>46251</v>
      </c>
      <c r="E126" t="inlineStr">
        <is>
          <t>DR</t>
        </is>
      </c>
      <c r="F126" t="inlineStr">
        <is>
          <t>SAR</t>
        </is>
      </c>
      <c r="G126" s="7" t="n">
        <v>-4783904.904</v>
      </c>
      <c r="H126" t="inlineStr">
        <is>
          <t>GBP</t>
        </is>
      </c>
      <c r="I126" s="7" t="n">
        <v>-999836.125</v>
      </c>
      <c r="J126" s="8" t="n">
        <v>46251.60393518519</v>
      </c>
      <c r="K126" t="inlineStr">
        <is>
          <t>CF260817 00120</t>
        </is>
      </c>
      <c r="L126" t="inlineStr">
        <is>
          <t>GL.NOSTRO.SAR.BRMD.004</t>
        </is>
      </c>
      <c r="M126" t="inlineStr">
        <is>
          <t>Pinehurst Clearing</t>
        </is>
      </c>
      <c r="N126" t="inlineStr">
        <is>
          <t>BRMDMM</t>
        </is>
      </c>
      <c r="O126" t="inlineStr">
        <is>
          <t>NEW</t>
        </is>
      </c>
      <c r="P126" t="inlineStr">
        <is>
          <t>NT26081700109</t>
        </is>
      </c>
      <c r="Q126" t="inlineStr">
        <is>
          <t>GROSS</t>
        </is>
      </c>
    </row>
    <row r="127">
      <c r="A127" t="inlineStr">
        <is>
          <t>468341071172</t>
        </is>
      </c>
      <c r="B127" t="inlineStr">
        <is>
          <t>TCG</t>
        </is>
      </c>
      <c r="C127" t="inlineStr">
        <is>
          <t>BRCC</t>
        </is>
      </c>
      <c r="D127" s="6" t="n">
        <v>46251</v>
      </c>
      <c r="E127" t="inlineStr">
        <is>
          <t>DR</t>
        </is>
      </c>
      <c r="F127" t="inlineStr">
        <is>
          <t>EUR</t>
        </is>
      </c>
      <c r="G127" s="7" t="n">
        <v>-418756339.891</v>
      </c>
      <c r="H127" t="inlineStr">
        <is>
          <t>GBP</t>
        </is>
      </c>
      <c r="I127" s="7" t="n">
        <v>-359292939.626</v>
      </c>
      <c r="J127" s="8" t="n">
        <v>46251.67748842593</v>
      </c>
      <c r="K127" t="inlineStr">
        <is>
          <t>CF260817 00121</t>
        </is>
      </c>
      <c r="L127" t="inlineStr">
        <is>
          <t>GL.NOSTRO.EUR.BRCC.002</t>
        </is>
      </c>
      <c r="M127" t="inlineStr">
        <is>
          <t>Elmwood Settlement Bank</t>
        </is>
      </c>
      <c r="N127" t="inlineStr">
        <is>
          <t>BRCC</t>
        </is>
      </c>
      <c r="O127" t="inlineStr">
        <is>
          <t>AMEND</t>
        </is>
      </c>
      <c r="P127" t="inlineStr">
        <is>
          <t>NT26081700097</t>
        </is>
      </c>
      <c r="Q127" t="inlineStr">
        <is>
          <t>NETTER</t>
        </is>
      </c>
    </row>
    <row r="128">
      <c r="A128" t="inlineStr">
        <is>
          <t>927538182434</t>
        </is>
      </c>
      <c r="B128" t="inlineStr">
        <is>
          <t>TCP</t>
        </is>
      </c>
      <c r="C128" t="inlineStr">
        <is>
          <t>BRNK</t>
        </is>
      </c>
      <c r="D128" s="6" t="n">
        <v>46251</v>
      </c>
      <c r="E128" t="inlineStr">
        <is>
          <t>CR</t>
        </is>
      </c>
      <c r="F128" t="inlineStr">
        <is>
          <t>CNY</t>
        </is>
      </c>
      <c r="G128" s="7" t="n">
        <v>192331594.012</v>
      </c>
      <c r="H128" t="inlineStr">
        <is>
          <t>GBP</t>
        </is>
      </c>
      <c r="I128" s="7" t="n">
        <v>20964143.747</v>
      </c>
      <c r="J128" s="8" t="n">
        <v>46251.54952546296</v>
      </c>
      <c r="K128" t="inlineStr">
        <is>
          <t>CF260817 00122</t>
        </is>
      </c>
      <c r="L128" t="inlineStr">
        <is>
          <t>GL.NOSTRO.CNY.BRNK.004</t>
        </is>
      </c>
      <c r="M128" t="inlineStr">
        <is>
          <t>Mallow Trust</t>
        </is>
      </c>
      <c r="N128" t="inlineStr">
        <is>
          <t>BRNKTRSY</t>
        </is>
      </c>
      <c r="O128" t="inlineStr">
        <is>
          <t>NEW</t>
        </is>
      </c>
      <c r="P128" t="inlineStr">
        <is>
          <t>NT26081700091</t>
        </is>
      </c>
      <c r="Q128" t="inlineStr">
        <is>
          <t>NETTER</t>
        </is>
      </c>
    </row>
    <row r="129">
      <c r="A129" t="inlineStr">
        <is>
          <t>132544340094</t>
        </is>
      </c>
      <c r="B129" t="inlineStr">
        <is>
          <t>TCG</t>
        </is>
      </c>
      <c r="C129" t="inlineStr">
        <is>
          <t>BRYG</t>
        </is>
      </c>
      <c r="D129" s="6" t="n">
        <v>46251</v>
      </c>
      <c r="E129" t="inlineStr">
        <is>
          <t>DR</t>
        </is>
      </c>
      <c r="F129" t="inlineStr">
        <is>
          <t>CZK</t>
        </is>
      </c>
      <c r="G129" s="7" t="n">
        <v>-146009890.427</v>
      </c>
      <c r="H129" t="inlineStr">
        <is>
          <t>GBP</t>
        </is>
      </c>
      <c r="I129" s="7" t="n">
        <v>-4949735.285</v>
      </c>
      <c r="J129" s="8" t="n">
        <v>46251.38907407408</v>
      </c>
      <c r="K129" t="inlineStr">
        <is>
          <t>CF260817 00123</t>
        </is>
      </c>
      <c r="L129" t="inlineStr">
        <is>
          <t>GL.NOSTRO.CZK.BRYG.008</t>
        </is>
      </c>
      <c r="M129" t="inlineStr">
        <is>
          <t>Wrenfield Settlement Bank</t>
        </is>
      </c>
      <c r="N129" t="inlineStr">
        <is>
          <t>BRYGCASH</t>
        </is>
      </c>
      <c r="O129" t="inlineStr">
        <is>
          <t>NEW</t>
        </is>
      </c>
      <c r="Q129" t="inlineStr">
        <is>
          <t>NETTER</t>
        </is>
      </c>
    </row>
    <row r="130">
      <c r="A130" t="inlineStr">
        <is>
          <t>700726936098</t>
        </is>
      </c>
      <c r="B130" t="inlineStr">
        <is>
          <t>TCG</t>
        </is>
      </c>
      <c r="C130" t="inlineStr">
        <is>
          <t>BRMD</t>
        </is>
      </c>
      <c r="D130" s="6" t="n">
        <v>46251</v>
      </c>
      <c r="E130" t="inlineStr">
        <is>
          <t>CR</t>
        </is>
      </c>
      <c r="F130" t="inlineStr">
        <is>
          <t>SAR</t>
        </is>
      </c>
      <c r="G130" s="7" t="n">
        <v>9219381.697000001</v>
      </c>
      <c r="H130" t="inlineStr">
        <is>
          <t>GBP</t>
        </is>
      </c>
      <c r="I130" s="7" t="n">
        <v>1926850.775</v>
      </c>
      <c r="J130" s="8" t="n">
        <v>46251.4343287037</v>
      </c>
      <c r="K130" t="inlineStr">
        <is>
          <t>CF260817 00124</t>
        </is>
      </c>
      <c r="L130" t="inlineStr">
        <is>
          <t>GL.NOSTRO.SAR.BRMD.006</t>
        </is>
      </c>
      <c r="M130" t="inlineStr">
        <is>
          <t>Umberton Clearing</t>
        </is>
      </c>
      <c r="N130" t="inlineStr">
        <is>
          <t>BRMD</t>
        </is>
      </c>
      <c r="O130" t="inlineStr">
        <is>
          <t>CANCEL</t>
        </is>
      </c>
      <c r="Q130" t="inlineStr">
        <is>
          <t>NETTER</t>
        </is>
      </c>
    </row>
    <row r="131">
      <c r="A131" t="inlineStr">
        <is>
          <t>910703979141</t>
        </is>
      </c>
      <c r="B131" t="inlineStr">
        <is>
          <t>TCP</t>
        </is>
      </c>
      <c r="C131" t="inlineStr">
        <is>
          <t>BRCC</t>
        </is>
      </c>
      <c r="D131" s="6" t="n">
        <v>46251</v>
      </c>
      <c r="E131" t="inlineStr">
        <is>
          <t>CR</t>
        </is>
      </c>
      <c r="F131" t="inlineStr">
        <is>
          <t>CHF</t>
        </is>
      </c>
      <c r="G131" s="7" t="n">
        <v>84019991.182</v>
      </c>
      <c r="H131" t="inlineStr">
        <is>
          <t>GBP</t>
        </is>
      </c>
      <c r="I131" s="7" t="n">
        <v>75365932.09</v>
      </c>
      <c r="J131" s="8" t="n">
        <v>46251.62276620371</v>
      </c>
      <c r="K131" t="inlineStr">
        <is>
          <t>CF260817 00125</t>
        </is>
      </c>
      <c r="L131" t="inlineStr">
        <is>
          <t>GL.NOSTRO.CHF.BRCC.001</t>
        </is>
      </c>
      <c r="M131" t="inlineStr">
        <is>
          <t>Ironbark Commercial Bank</t>
        </is>
      </c>
      <c r="N131" t="inlineStr">
        <is>
          <t>BRCCCASH</t>
        </is>
      </c>
      <c r="O131" t="inlineStr">
        <is>
          <t>NEW</t>
        </is>
      </c>
      <c r="Q131" t="inlineStr">
        <is>
          <t>NETTER</t>
        </is>
      </c>
    </row>
    <row r="132">
      <c r="A132" t="inlineStr">
        <is>
          <t>468341071172</t>
        </is>
      </c>
      <c r="B132" t="inlineStr">
        <is>
          <t>TCP</t>
        </is>
      </c>
      <c r="C132" t="inlineStr">
        <is>
          <t>BRCC</t>
        </is>
      </c>
      <c r="D132" s="6" t="n">
        <v>46251</v>
      </c>
      <c r="E132" t="inlineStr">
        <is>
          <t>DR</t>
        </is>
      </c>
      <c r="F132" t="inlineStr">
        <is>
          <t>EUR</t>
        </is>
      </c>
      <c r="G132" s="7" t="n">
        <v>-343348857.259</v>
      </c>
      <c r="H132" t="inlineStr">
        <is>
          <t>GBP</t>
        </is>
      </c>
      <c r="I132" s="7" t="n">
        <v>-294593319.528</v>
      </c>
      <c r="J132" s="8" t="n">
        <v>46251.40787037037</v>
      </c>
      <c r="K132" t="inlineStr">
        <is>
          <t>CF260817 00126</t>
        </is>
      </c>
      <c r="L132" t="inlineStr">
        <is>
          <t>GL.NOSTRO.EUR.BRCC.007</t>
        </is>
      </c>
      <c r="M132" t="inlineStr">
        <is>
          <t>Pinehurst Clearing</t>
        </is>
      </c>
      <c r="N132" t="inlineStr">
        <is>
          <t>BRCCMM</t>
        </is>
      </c>
      <c r="O132" t="inlineStr">
        <is>
          <t>NEW</t>
        </is>
      </c>
      <c r="P132" t="inlineStr">
        <is>
          <t>NT26081700076</t>
        </is>
      </c>
      <c r="Q132" t="inlineStr">
        <is>
          <t>NETTER</t>
        </is>
      </c>
    </row>
    <row r="133">
      <c r="A133" t="inlineStr">
        <is>
          <t>927538182434</t>
        </is>
      </c>
      <c r="B133" t="inlineStr">
        <is>
          <t>TCP</t>
        </is>
      </c>
      <c r="C133" t="inlineStr">
        <is>
          <t>BRNK</t>
        </is>
      </c>
      <c r="D133" s="6" t="n">
        <v>46251</v>
      </c>
      <c r="E133" t="inlineStr">
        <is>
          <t>CR</t>
        </is>
      </c>
      <c r="F133" t="inlineStr">
        <is>
          <t>CNY</t>
        </is>
      </c>
      <c r="G133" s="7" t="n">
        <v>32340195.748</v>
      </c>
      <c r="H133" t="inlineStr">
        <is>
          <t>GBP</t>
        </is>
      </c>
      <c r="I133" s="7" t="n">
        <v>3525081.337</v>
      </c>
      <c r="J133" s="8" t="n">
        <v>46251.64481481481</v>
      </c>
      <c r="K133" t="inlineStr">
        <is>
          <t>CF260817 00127</t>
        </is>
      </c>
      <c r="L133" t="inlineStr">
        <is>
          <t>GL.NOSTRO.CNY.BRNK.003</t>
        </is>
      </c>
      <c r="M133" t="inlineStr">
        <is>
          <t>Pinehurst Bank</t>
        </is>
      </c>
      <c r="N133" t="inlineStr">
        <is>
          <t>BRNKTRSY</t>
        </is>
      </c>
      <c r="O133" t="inlineStr">
        <is>
          <t>NEW</t>
        </is>
      </c>
      <c r="Q133" t="inlineStr">
        <is>
          <t>GROSS</t>
        </is>
      </c>
    </row>
    <row r="134">
      <c r="A134" t="inlineStr">
        <is>
          <t>468341071172</t>
        </is>
      </c>
      <c r="B134" t="inlineStr">
        <is>
          <t>TCC</t>
        </is>
      </c>
      <c r="C134" t="inlineStr">
        <is>
          <t>BRCC</t>
        </is>
      </c>
      <c r="D134" s="6" t="n">
        <v>46251</v>
      </c>
      <c r="E134" t="inlineStr">
        <is>
          <t>CR</t>
        </is>
      </c>
      <c r="F134" t="inlineStr">
        <is>
          <t>EUR</t>
        </is>
      </c>
      <c r="G134" s="7" t="n">
        <v>118925987.189</v>
      </c>
      <c r="H134" t="inlineStr">
        <is>
          <t>GBP</t>
        </is>
      </c>
      <c r="I134" s="7" t="n">
        <v>102038497.008</v>
      </c>
      <c r="J134" s="8" t="n">
        <v>46251.7662037037</v>
      </c>
      <c r="K134" t="inlineStr">
        <is>
          <t>CF260817 00128</t>
        </is>
      </c>
      <c r="L134" t="inlineStr">
        <is>
          <t>GL.NOSTRO.EUR.BRCC.002</t>
        </is>
      </c>
      <c r="M134" t="inlineStr">
        <is>
          <t>Ironbark Trust</t>
        </is>
      </c>
      <c r="N134" t="inlineStr">
        <is>
          <t>BRCCCASH</t>
        </is>
      </c>
      <c r="O134" t="inlineStr">
        <is>
          <t>NEW</t>
        </is>
      </c>
      <c r="P134" t="inlineStr">
        <is>
          <t>NT26081700098</t>
        </is>
      </c>
      <c r="Q134" t="inlineStr">
        <is>
          <t>NETTER</t>
        </is>
      </c>
    </row>
    <row r="135">
      <c r="A135" t="inlineStr">
        <is>
          <t>150316825069</t>
        </is>
      </c>
      <c r="B135" t="inlineStr">
        <is>
          <t>TCQ</t>
        </is>
      </c>
      <c r="C135" t="inlineStr">
        <is>
          <t>BRGX</t>
        </is>
      </c>
      <c r="D135" s="6" t="n">
        <v>46251</v>
      </c>
      <c r="E135" t="inlineStr">
        <is>
          <t>CR</t>
        </is>
      </c>
      <c r="F135" t="inlineStr">
        <is>
          <t>GBP</t>
        </is>
      </c>
      <c r="G135" s="7" t="n">
        <v>359371986.115</v>
      </c>
      <c r="H135" t="inlineStr">
        <is>
          <t>GBP</t>
        </is>
      </c>
      <c r="I135" s="7" t="n">
        <v>359371986.115</v>
      </c>
      <c r="J135" s="8" t="n">
        <v>46251.52697916667</v>
      </c>
      <c r="K135" t="inlineStr">
        <is>
          <t>CF260817 00129</t>
        </is>
      </c>
      <c r="L135" t="inlineStr">
        <is>
          <t>GL.NOSTRO.GBP.BRGX.006</t>
        </is>
      </c>
      <c r="M135" t="inlineStr">
        <is>
          <t>Vetchling Bank</t>
        </is>
      </c>
      <c r="N135" t="inlineStr">
        <is>
          <t>BRGXTRSY</t>
        </is>
      </c>
      <c r="O135" t="inlineStr">
        <is>
          <t>NEW</t>
        </is>
      </c>
      <c r="Q135" t="inlineStr">
        <is>
          <t>NETTER</t>
        </is>
      </c>
    </row>
    <row r="136">
      <c r="A136" t="inlineStr">
        <is>
          <t>794226063698</t>
        </is>
      </c>
      <c r="B136" t="inlineStr">
        <is>
          <t>TCX</t>
        </is>
      </c>
      <c r="C136" t="inlineStr">
        <is>
          <t>BRMD</t>
        </is>
      </c>
      <c r="D136" s="6" t="n">
        <v>46251</v>
      </c>
      <c r="E136" t="inlineStr">
        <is>
          <t>CR</t>
        </is>
      </c>
      <c r="F136" t="inlineStr">
        <is>
          <t>AED</t>
        </is>
      </c>
      <c r="G136" s="7" t="n">
        <v>418192932.404</v>
      </c>
      <c r="H136" t="inlineStr">
        <is>
          <t>GBP</t>
        </is>
      </c>
      <c r="I136" s="7" t="n">
        <v>89075094.602</v>
      </c>
      <c r="J136" s="8" t="n">
        <v>46251.38045138889</v>
      </c>
      <c r="K136" t="inlineStr">
        <is>
          <t>CF260817 00130</t>
        </is>
      </c>
      <c r="L136" t="inlineStr">
        <is>
          <t>GL.NOSTRO.AED.BRMD.002</t>
        </is>
      </c>
      <c r="M136" t="inlineStr">
        <is>
          <t>Harrow Clearing</t>
        </is>
      </c>
      <c r="N136" t="inlineStr">
        <is>
          <t>BRMD</t>
        </is>
      </c>
      <c r="O136" t="inlineStr">
        <is>
          <t>NEW</t>
        </is>
      </c>
      <c r="Q136" t="inlineStr">
        <is>
          <t>NETTER</t>
        </is>
      </c>
    </row>
    <row r="137">
      <c r="A137" t="inlineStr">
        <is>
          <t>265771593142</t>
        </is>
      </c>
      <c r="B137" t="inlineStr">
        <is>
          <t>TCC</t>
        </is>
      </c>
      <c r="C137" t="inlineStr">
        <is>
          <t>BRYG</t>
        </is>
      </c>
      <c r="D137" s="6" t="n">
        <v>46251</v>
      </c>
      <c r="E137" t="inlineStr">
        <is>
          <t>CR</t>
        </is>
      </c>
      <c r="F137" t="inlineStr">
        <is>
          <t>EUR</t>
        </is>
      </c>
      <c r="G137" s="7" t="n">
        <v>60225.68</v>
      </c>
      <c r="H137" t="inlineStr">
        <is>
          <t>GBP</t>
        </is>
      </c>
      <c r="I137" s="7" t="n">
        <v>51673.633</v>
      </c>
      <c r="J137" s="8" t="n">
        <v>46251.40991898148</v>
      </c>
      <c r="K137" t="inlineStr">
        <is>
          <t>CF260817 00131</t>
        </is>
      </c>
      <c r="L137" t="inlineStr">
        <is>
          <t>GL.NOSTRO.EUR.BRYG.004</t>
        </is>
      </c>
      <c r="M137" t="inlineStr">
        <is>
          <t>Vetchling Commercial Bank</t>
        </is>
      </c>
      <c r="N137" t="inlineStr">
        <is>
          <t>BRYGCASH</t>
        </is>
      </c>
      <c r="O137" t="inlineStr">
        <is>
          <t>NEW</t>
        </is>
      </c>
      <c r="Q137" t="inlineStr">
        <is>
          <t>INTERNAL</t>
        </is>
      </c>
    </row>
    <row r="138">
      <c r="A138" t="inlineStr">
        <is>
          <t>910703979141</t>
        </is>
      </c>
      <c r="B138" t="inlineStr">
        <is>
          <t>TCC</t>
        </is>
      </c>
      <c r="C138" t="inlineStr">
        <is>
          <t>BRCC</t>
        </is>
      </c>
      <c r="D138" s="6" t="n">
        <v>46251</v>
      </c>
      <c r="E138" t="inlineStr">
        <is>
          <t>DR</t>
        </is>
      </c>
      <c r="F138" t="inlineStr">
        <is>
          <t>CHF</t>
        </is>
      </c>
      <c r="G138" s="7" t="n">
        <v>-1750160.641</v>
      </c>
      <c r="H138" t="inlineStr">
        <is>
          <t>GBP</t>
        </is>
      </c>
      <c r="I138" s="7" t="n">
        <v>-1569894.095</v>
      </c>
      <c r="J138" s="8" t="n">
        <v>46251.55491898148</v>
      </c>
      <c r="K138" t="inlineStr">
        <is>
          <t>CF260817 00132</t>
        </is>
      </c>
      <c r="L138" t="inlineStr">
        <is>
          <t>GL.NOSTRO.CHF.BRCC.001</t>
        </is>
      </c>
      <c r="M138" t="inlineStr">
        <is>
          <t>Vetchling Bank</t>
        </is>
      </c>
      <c r="N138" t="inlineStr">
        <is>
          <t>BRCCMM</t>
        </is>
      </c>
      <c r="O138" t="inlineStr">
        <is>
          <t>NEW</t>
        </is>
      </c>
      <c r="P138" t="inlineStr">
        <is>
          <t>NT26081700097</t>
        </is>
      </c>
      <c r="Q138" t="inlineStr">
        <is>
          <t>NETTER</t>
        </is>
      </c>
    </row>
    <row r="139">
      <c r="A139" t="inlineStr">
        <is>
          <t>499062838623</t>
        </is>
      </c>
      <c r="B139" t="inlineStr">
        <is>
          <t>TCG</t>
        </is>
      </c>
      <c r="C139" t="inlineStr">
        <is>
          <t>BRBX</t>
        </is>
      </c>
      <c r="D139" s="6" t="n">
        <v>46251</v>
      </c>
      <c r="E139" t="inlineStr">
        <is>
          <t>DR</t>
        </is>
      </c>
      <c r="F139" t="inlineStr">
        <is>
          <t>USD</t>
        </is>
      </c>
      <c r="G139" s="7" t="n">
        <v>-20076348.902</v>
      </c>
      <c r="H139" t="inlineStr">
        <is>
          <t>GBP</t>
        </is>
      </c>
      <c r="I139" s="7" t="n">
        <v>-15739857.539</v>
      </c>
      <c r="J139" s="8" t="n">
        <v>46251.56145833333</v>
      </c>
      <c r="K139" t="inlineStr">
        <is>
          <t>CF260817 00133</t>
        </is>
      </c>
      <c r="L139" t="inlineStr">
        <is>
          <t>GL.NOSTRO.USD.BRBX.001</t>
        </is>
      </c>
      <c r="M139" t="inlineStr">
        <is>
          <t>Harrow Clearing</t>
        </is>
      </c>
      <c r="N139" t="inlineStr">
        <is>
          <t>BRBXCASH</t>
        </is>
      </c>
      <c r="O139" t="inlineStr">
        <is>
          <t>NEW</t>
        </is>
      </c>
      <c r="Q139" t="inlineStr">
        <is>
          <t>NETTER</t>
        </is>
      </c>
    </row>
    <row r="140">
      <c r="A140" t="inlineStr">
        <is>
          <t>468341071172</t>
        </is>
      </c>
      <c r="B140" t="inlineStr">
        <is>
          <t>TCX</t>
        </is>
      </c>
      <c r="C140" t="inlineStr">
        <is>
          <t>BRCC</t>
        </is>
      </c>
      <c r="D140" s="6" t="n">
        <v>46251</v>
      </c>
      <c r="E140" t="inlineStr">
        <is>
          <t>CR</t>
        </is>
      </c>
      <c r="F140" t="inlineStr">
        <is>
          <t>EUR</t>
        </is>
      </c>
      <c r="G140" s="7" t="n">
        <v>1176007.696</v>
      </c>
      <c r="H140" t="inlineStr">
        <is>
          <t>GBP</t>
        </is>
      </c>
      <c r="I140" s="7" t="n">
        <v>1009014.603</v>
      </c>
      <c r="J140" s="8" t="n">
        <v>46251.52890046296</v>
      </c>
      <c r="K140" t="inlineStr">
        <is>
          <t>CF260817 00134</t>
        </is>
      </c>
      <c r="L140" t="inlineStr">
        <is>
          <t>GL.NOSTRO.EUR.BRCC.004</t>
        </is>
      </c>
      <c r="M140" t="inlineStr">
        <is>
          <t>Sablewood Clearing</t>
        </is>
      </c>
      <c r="N140" t="inlineStr">
        <is>
          <t>BRCCTRSY</t>
        </is>
      </c>
      <c r="O140" t="inlineStr">
        <is>
          <t>NEW</t>
        </is>
      </c>
      <c r="Q140" t="inlineStr">
        <is>
          <t>NETTER</t>
        </is>
      </c>
    </row>
    <row r="141">
      <c r="A141" t="inlineStr">
        <is>
          <t>113829985108</t>
        </is>
      </c>
      <c r="B141" t="inlineStr">
        <is>
          <t>TCC</t>
        </is>
      </c>
      <c r="C141" t="inlineStr">
        <is>
          <t>BRGL</t>
        </is>
      </c>
      <c r="D141" s="6" t="n">
        <v>46251</v>
      </c>
      <c r="E141" t="inlineStr">
        <is>
          <t>CR</t>
        </is>
      </c>
      <c r="F141" t="inlineStr">
        <is>
          <t>EUR</t>
        </is>
      </c>
      <c r="G141" s="7" t="n">
        <v>253278565.111</v>
      </c>
      <c r="H141" t="inlineStr">
        <is>
          <t>GBP</t>
        </is>
      </c>
      <c r="I141" s="7" t="n">
        <v>217313008.865</v>
      </c>
      <c r="J141" s="8" t="n">
        <v>46251.58077546296</v>
      </c>
      <c r="K141" t="inlineStr">
        <is>
          <t>CF260817 00135</t>
        </is>
      </c>
      <c r="L141" t="inlineStr">
        <is>
          <t>GL.NOSTRO.EUR.BRGL.003</t>
        </is>
      </c>
      <c r="M141" t="inlineStr">
        <is>
          <t>Harrow Clearing</t>
        </is>
      </c>
      <c r="N141" t="inlineStr">
        <is>
          <t>BRGLTRSY</t>
        </is>
      </c>
      <c r="O141" t="inlineStr">
        <is>
          <t>NEW</t>
        </is>
      </c>
      <c r="Q141" t="inlineStr">
        <is>
          <t>GROSS</t>
        </is>
      </c>
    </row>
    <row r="142">
      <c r="A142" t="inlineStr">
        <is>
          <t>150316825069</t>
        </is>
      </c>
      <c r="B142" t="inlineStr">
        <is>
          <t>TCQ</t>
        </is>
      </c>
      <c r="C142" t="inlineStr">
        <is>
          <t>BRGX</t>
        </is>
      </c>
      <c r="D142" s="6" t="n">
        <v>46251</v>
      </c>
      <c r="E142" t="inlineStr">
        <is>
          <t>CR</t>
        </is>
      </c>
      <c r="F142" t="inlineStr">
        <is>
          <t>GBP</t>
        </is>
      </c>
      <c r="G142" s="7" t="n">
        <v>78501546.485</v>
      </c>
      <c r="H142" t="inlineStr">
        <is>
          <t>GBP</t>
        </is>
      </c>
      <c r="I142" s="7" t="n">
        <v>78501546.485</v>
      </c>
      <c r="J142" s="8" t="n">
        <v>46251.36973379629</v>
      </c>
      <c r="K142" t="inlineStr">
        <is>
          <t>CF260817 00136</t>
        </is>
      </c>
      <c r="L142" t="inlineStr">
        <is>
          <t>GL.NOSTRO.GBP.BRGX.005</t>
        </is>
      </c>
      <c r="M142" t="inlineStr">
        <is>
          <t>Sablewood Settlement Bank</t>
        </is>
      </c>
      <c r="N142" t="inlineStr">
        <is>
          <t>BRGXMM</t>
        </is>
      </c>
      <c r="O142" t="inlineStr">
        <is>
          <t>NEW</t>
        </is>
      </c>
      <c r="Q142" t="inlineStr">
        <is>
          <t>NETTER</t>
        </is>
      </c>
    </row>
    <row r="143">
      <c r="A143" t="inlineStr">
        <is>
          <t>726928343448</t>
        </is>
      </c>
      <c r="B143" t="inlineStr">
        <is>
          <t>TCX</t>
        </is>
      </c>
      <c r="C143" t="inlineStr">
        <is>
          <t>BRGX</t>
        </is>
      </c>
      <c r="D143" s="6" t="n">
        <v>46251</v>
      </c>
      <c r="E143" t="inlineStr">
        <is>
          <t>DR</t>
        </is>
      </c>
      <c r="F143" t="inlineStr">
        <is>
          <t>EUR</t>
        </is>
      </c>
      <c r="G143" s="7" t="n">
        <v>-5.92</v>
      </c>
      <c r="H143" t="inlineStr">
        <is>
          <t>GBP</t>
        </is>
      </c>
      <c r="I143" s="7" t="n">
        <v>-5.079</v>
      </c>
      <c r="J143" s="8" t="n">
        <v>46251.66145833334</v>
      </c>
      <c r="K143" t="inlineStr">
        <is>
          <t>CF260817 00137</t>
        </is>
      </c>
      <c r="L143" t="inlineStr">
        <is>
          <t>GL.NOSTRO.EUR.BRGX.003</t>
        </is>
      </c>
      <c r="M143" t="inlineStr">
        <is>
          <t>Larkspur Clearing</t>
        </is>
      </c>
      <c r="N143" t="inlineStr">
        <is>
          <t>BRGXMM</t>
        </is>
      </c>
      <c r="O143" t="inlineStr">
        <is>
          <t>NEW</t>
        </is>
      </c>
      <c r="Q143" t="inlineStr">
        <is>
          <t>NETTER</t>
        </is>
      </c>
    </row>
    <row r="144">
      <c r="A144" t="inlineStr">
        <is>
          <t>794226063698</t>
        </is>
      </c>
      <c r="B144" t="inlineStr">
        <is>
          <t>TCC</t>
        </is>
      </c>
      <c r="C144" t="inlineStr">
        <is>
          <t>BRMD</t>
        </is>
      </c>
      <c r="D144" s="6" t="n">
        <v>46251</v>
      </c>
      <c r="E144" t="inlineStr">
        <is>
          <t>CR</t>
        </is>
      </c>
      <c r="F144" t="inlineStr">
        <is>
          <t>AED</t>
        </is>
      </c>
      <c r="G144" s="7" t="n">
        <v>22020401.417</v>
      </c>
      <c r="H144" t="inlineStr">
        <is>
          <t>GBP</t>
        </is>
      </c>
      <c r="I144" s="7" t="n">
        <v>4690345.502</v>
      </c>
      <c r="J144" s="8" t="n">
        <v>46251.78126157408</v>
      </c>
      <c r="K144" t="inlineStr">
        <is>
          <t>CF260817 00138</t>
        </is>
      </c>
      <c r="L144" t="inlineStr">
        <is>
          <t>GL.NOSTRO.AED.BRMD.008</t>
        </is>
      </c>
      <c r="M144" t="inlineStr">
        <is>
          <t>Sablewood Commercial Bank</t>
        </is>
      </c>
      <c r="N144" t="inlineStr">
        <is>
          <t>BRMDMM</t>
        </is>
      </c>
      <c r="O144" t="inlineStr">
        <is>
          <t>NEW</t>
        </is>
      </c>
      <c r="Q144" t="inlineStr">
        <is>
          <t>NETTER</t>
        </is>
      </c>
    </row>
    <row r="145">
      <c r="A145" t="inlineStr">
        <is>
          <t>794226063698</t>
        </is>
      </c>
      <c r="B145" t="inlineStr">
        <is>
          <t>TCC</t>
        </is>
      </c>
      <c r="C145" t="inlineStr">
        <is>
          <t>BRMD</t>
        </is>
      </c>
      <c r="D145" s="6" t="n">
        <v>46251</v>
      </c>
      <c r="E145" t="inlineStr">
        <is>
          <t>CR</t>
        </is>
      </c>
      <c r="F145" t="inlineStr">
        <is>
          <t>AED</t>
        </is>
      </c>
      <c r="G145" s="7" t="n">
        <v>424100350.872</v>
      </c>
      <c r="H145" t="inlineStr">
        <is>
          <t>GBP</t>
        </is>
      </c>
      <c r="I145" s="7" t="n">
        <v>90333374.736</v>
      </c>
      <c r="J145" s="8" t="n">
        <v>46251.34143518518</v>
      </c>
      <c r="K145" t="inlineStr">
        <is>
          <t>CF260817 00139</t>
        </is>
      </c>
      <c r="L145" t="inlineStr">
        <is>
          <t>GL.NOSTRO.AED.BRMD.002</t>
        </is>
      </c>
      <c r="M145" t="inlineStr">
        <is>
          <t>Juniper Bank</t>
        </is>
      </c>
      <c r="N145" t="inlineStr">
        <is>
          <t>BRMD</t>
        </is>
      </c>
      <c r="O145" t="inlineStr">
        <is>
          <t>NEW</t>
        </is>
      </c>
      <c r="P145" t="inlineStr">
        <is>
          <t>NT26081700093</t>
        </is>
      </c>
      <c r="Q145" t="inlineStr">
        <is>
          <t>GROSS</t>
        </is>
      </c>
    </row>
    <row r="146">
      <c r="A146" t="inlineStr">
        <is>
          <t>120047354818</t>
        </is>
      </c>
      <c r="B146" t="inlineStr">
        <is>
          <t>TCX</t>
        </is>
      </c>
      <c r="C146" t="inlineStr">
        <is>
          <t>BRNK</t>
        </is>
      </c>
      <c r="D146" s="6" t="n">
        <v>46251</v>
      </c>
      <c r="E146" t="inlineStr">
        <is>
          <t>CR</t>
        </is>
      </c>
      <c r="F146" t="inlineStr">
        <is>
          <t>USD</t>
        </is>
      </c>
      <c r="G146" s="7" t="n">
        <v>19681.204</v>
      </c>
      <c r="H146" t="inlineStr">
        <is>
          <t>GBP</t>
        </is>
      </c>
      <c r="I146" s="7" t="n">
        <v>15430.064</v>
      </c>
      <c r="J146" s="8" t="n">
        <v>46251.75146990741</v>
      </c>
      <c r="K146" t="inlineStr">
        <is>
          <t>CF260817 00140</t>
        </is>
      </c>
      <c r="L146" t="inlineStr">
        <is>
          <t>GL.NOSTRO.USD.BRNK.001</t>
        </is>
      </c>
      <c r="M146" t="inlineStr">
        <is>
          <t>Wrenfield Settlement Bank</t>
        </is>
      </c>
      <c r="N146" t="inlineStr">
        <is>
          <t>BRNK</t>
        </is>
      </c>
      <c r="O146" t="inlineStr">
        <is>
          <t>NEW</t>
        </is>
      </c>
      <c r="P146" t="inlineStr">
        <is>
          <t>NT26081700086</t>
        </is>
      </c>
      <c r="Q146" t="inlineStr">
        <is>
          <t>NETTER</t>
        </is>
      </c>
    </row>
    <row r="147">
      <c r="A147" t="inlineStr">
        <is>
          <t>150316825069</t>
        </is>
      </c>
      <c r="B147" t="inlineStr">
        <is>
          <t>TCX</t>
        </is>
      </c>
      <c r="C147" t="inlineStr">
        <is>
          <t>BRGX</t>
        </is>
      </c>
      <c r="D147" s="6" t="n">
        <v>46251</v>
      </c>
      <c r="E147" t="inlineStr">
        <is>
          <t>DR</t>
        </is>
      </c>
      <c r="F147" t="inlineStr">
        <is>
          <t>GBP</t>
        </is>
      </c>
      <c r="G147" s="7" t="n">
        <v>-361042574.37</v>
      </c>
      <c r="H147" t="inlineStr">
        <is>
          <t>GBP</t>
        </is>
      </c>
      <c r="I147" s="7" t="n">
        <v>-361042574.37</v>
      </c>
      <c r="J147" s="8" t="n">
        <v>46251.5958912037</v>
      </c>
      <c r="K147" t="inlineStr">
        <is>
          <t>CF260817 00141</t>
        </is>
      </c>
      <c r="L147" t="inlineStr">
        <is>
          <t>GL.NOSTRO.GBP.BRGX.009</t>
        </is>
      </c>
      <c r="M147" t="inlineStr">
        <is>
          <t>Pinehurst Settlement Bank</t>
        </is>
      </c>
      <c r="N147" t="inlineStr">
        <is>
          <t>BRGXTRSY</t>
        </is>
      </c>
      <c r="O147" t="inlineStr">
        <is>
          <t>NEW</t>
        </is>
      </c>
      <c r="P147" t="inlineStr">
        <is>
          <t>NT26081700077</t>
        </is>
      </c>
      <c r="Q147" t="inlineStr">
        <is>
          <t>GROSS</t>
        </is>
      </c>
    </row>
    <row r="148">
      <c r="A148" t="inlineStr">
        <is>
          <t>898317028833</t>
        </is>
      </c>
      <c r="B148" t="inlineStr">
        <is>
          <t>TCP</t>
        </is>
      </c>
      <c r="C148" t="inlineStr">
        <is>
          <t>BRAA</t>
        </is>
      </c>
      <c r="D148" s="6" t="n">
        <v>46251</v>
      </c>
      <c r="E148" t="inlineStr">
        <is>
          <t>CR</t>
        </is>
      </c>
      <c r="F148" t="inlineStr">
        <is>
          <t>GBP</t>
        </is>
      </c>
      <c r="G148" s="7" t="n">
        <v>95681.754</v>
      </c>
      <c r="H148" t="inlineStr">
        <is>
          <t>GBP</t>
        </is>
      </c>
      <c r="I148" s="7" t="n">
        <v>95681.754</v>
      </c>
      <c r="J148" s="8" t="n">
        <v>46251.77523148148</v>
      </c>
      <c r="K148" t="inlineStr">
        <is>
          <t>CF260817 00142</t>
        </is>
      </c>
      <c r="L148" t="inlineStr">
        <is>
          <t>GL.NOSTRO.GBP.BRAA.009</t>
        </is>
      </c>
      <c r="M148" t="inlineStr">
        <is>
          <t>Vetchling Bank</t>
        </is>
      </c>
      <c r="N148" t="inlineStr">
        <is>
          <t>BRAAMM</t>
        </is>
      </c>
      <c r="O148" t="inlineStr">
        <is>
          <t>NEW</t>
        </is>
      </c>
      <c r="P148" t="inlineStr">
        <is>
          <t>NT26081700106</t>
        </is>
      </c>
      <c r="Q148" t="inlineStr">
        <is>
          <t>NETTER</t>
        </is>
      </c>
    </row>
    <row r="149">
      <c r="A149" t="inlineStr">
        <is>
          <t>499062838623</t>
        </is>
      </c>
      <c r="B149" t="inlineStr">
        <is>
          <t>TCQ</t>
        </is>
      </c>
      <c r="C149" t="inlineStr">
        <is>
          <t>BRBX</t>
        </is>
      </c>
      <c r="D149" s="6" t="n">
        <v>46251</v>
      </c>
      <c r="E149" t="inlineStr">
        <is>
          <t>CR</t>
        </is>
      </c>
      <c r="F149" t="inlineStr">
        <is>
          <t>USD</t>
        </is>
      </c>
      <c r="G149" s="7" t="n">
        <v>20712524.675</v>
      </c>
      <c r="H149" t="inlineStr">
        <is>
          <t>GBP</t>
        </is>
      </c>
      <c r="I149" s="7" t="n">
        <v>16238619.345</v>
      </c>
      <c r="J149" s="8" t="n">
        <v>46251.29627314815</v>
      </c>
      <c r="K149" t="inlineStr">
        <is>
          <t>CF260817 00143</t>
        </is>
      </c>
      <c r="L149" t="inlineStr">
        <is>
          <t>GL.NOSTRO.USD.BRBX.007</t>
        </is>
      </c>
      <c r="M149" t="inlineStr">
        <is>
          <t>Nightjar Trust</t>
        </is>
      </c>
      <c r="N149" t="inlineStr">
        <is>
          <t>BRBXTRSY</t>
        </is>
      </c>
      <c r="O149" t="inlineStr">
        <is>
          <t>NEW</t>
        </is>
      </c>
      <c r="Q149" t="inlineStr">
        <is>
          <t>GROSS</t>
        </is>
      </c>
    </row>
    <row r="150">
      <c r="A150" t="inlineStr">
        <is>
          <t>794226063698</t>
        </is>
      </c>
      <c r="B150" t="inlineStr">
        <is>
          <t>TCQ</t>
        </is>
      </c>
      <c r="C150" t="inlineStr">
        <is>
          <t>BRMD</t>
        </is>
      </c>
      <c r="D150" s="6" t="n">
        <v>46251</v>
      </c>
      <c r="E150" t="inlineStr">
        <is>
          <t>DR</t>
        </is>
      </c>
      <c r="F150" t="inlineStr">
        <is>
          <t>AED</t>
        </is>
      </c>
      <c r="G150" s="7" t="n">
        <v>-98024552.257</v>
      </c>
      <c r="H150" t="inlineStr">
        <is>
          <t>GBP</t>
        </is>
      </c>
      <c r="I150" s="7" t="n">
        <v>-20879229.631</v>
      </c>
      <c r="J150" s="8" t="n">
        <v>46251.7071412037</v>
      </c>
      <c r="K150" t="inlineStr">
        <is>
          <t>CF260817 00144</t>
        </is>
      </c>
      <c r="L150" t="inlineStr">
        <is>
          <t>GL.NOSTRO.AED.BRMD.005</t>
        </is>
      </c>
      <c r="M150" t="inlineStr">
        <is>
          <t>Pinehurst Settlement Bank</t>
        </is>
      </c>
      <c r="N150" t="inlineStr">
        <is>
          <t>BRMDCASH</t>
        </is>
      </c>
      <c r="O150" t="inlineStr">
        <is>
          <t>NEW</t>
        </is>
      </c>
      <c r="Q150" t="inlineStr">
        <is>
          <t>NETTER</t>
        </is>
      </c>
    </row>
    <row r="151">
      <c r="A151" t="inlineStr">
        <is>
          <t>265771593142</t>
        </is>
      </c>
      <c r="B151" t="inlineStr">
        <is>
          <t>TCC</t>
        </is>
      </c>
      <c r="C151" t="inlineStr">
        <is>
          <t>BRYG</t>
        </is>
      </c>
      <c r="D151" s="6" t="n">
        <v>46251</v>
      </c>
      <c r="E151" t="inlineStr">
        <is>
          <t>DR</t>
        </is>
      </c>
      <c r="F151" t="inlineStr">
        <is>
          <t>EUR</t>
        </is>
      </c>
      <c r="G151" s="7" t="n">
        <v>-12275590.422</v>
      </c>
      <c r="H151" t="inlineStr">
        <is>
          <t>GBP</t>
        </is>
      </c>
      <c r="I151" s="7" t="n">
        <v>-10532456.582</v>
      </c>
      <c r="J151" s="8" t="n">
        <v>46251.62267361111</v>
      </c>
      <c r="K151" t="inlineStr">
        <is>
          <t>CF260817 00145</t>
        </is>
      </c>
      <c r="L151" t="inlineStr">
        <is>
          <t>GL.NOSTRO.EUR.BRYG.005</t>
        </is>
      </c>
      <c r="M151" t="inlineStr">
        <is>
          <t>Wrenfield Commercial Bank</t>
        </is>
      </c>
      <c r="N151" t="inlineStr">
        <is>
          <t>BRYGTRSY</t>
        </is>
      </c>
      <c r="O151" t="inlineStr">
        <is>
          <t>NEW</t>
        </is>
      </c>
      <c r="P151" t="inlineStr">
        <is>
          <t>NT26081700078</t>
        </is>
      </c>
      <c r="Q151" t="inlineStr">
        <is>
          <t>NETTER</t>
        </is>
      </c>
    </row>
    <row r="152">
      <c r="A152" t="inlineStr">
        <is>
          <t>265771593142</t>
        </is>
      </c>
      <c r="B152" t="inlineStr">
        <is>
          <t>TCC</t>
        </is>
      </c>
      <c r="C152" t="inlineStr">
        <is>
          <t>BRYG</t>
        </is>
      </c>
      <c r="D152" s="6" t="n">
        <v>46251</v>
      </c>
      <c r="E152" t="inlineStr">
        <is>
          <t>DR</t>
        </is>
      </c>
      <c r="F152" t="inlineStr">
        <is>
          <t>EUR</t>
        </is>
      </c>
      <c r="G152" s="7" t="n">
        <v>-10871044.073</v>
      </c>
      <c r="H152" t="inlineStr">
        <is>
          <t>GBP</t>
        </is>
      </c>
      <c r="I152" s="7" t="n">
        <v>-9327355.814999999</v>
      </c>
      <c r="J152" s="8" t="n">
        <v>46251.42027777778</v>
      </c>
      <c r="K152" t="inlineStr">
        <is>
          <t>CF260817 00146</t>
        </is>
      </c>
      <c r="L152" t="inlineStr">
        <is>
          <t>GL.NOSTRO.EUR.BRYG.009</t>
        </is>
      </c>
      <c r="M152" t="inlineStr">
        <is>
          <t>Sablewood Commercial Bank</t>
        </is>
      </c>
      <c r="N152" t="inlineStr">
        <is>
          <t>BRYGCASH</t>
        </is>
      </c>
      <c r="O152" t="inlineStr">
        <is>
          <t>NEW</t>
        </is>
      </c>
      <c r="Q152" t="inlineStr">
        <is>
          <t>NETTER</t>
        </is>
      </c>
    </row>
    <row r="153">
      <c r="A153" t="inlineStr">
        <is>
          <t>700726936098</t>
        </is>
      </c>
      <c r="B153" t="inlineStr">
        <is>
          <t>TCX</t>
        </is>
      </c>
      <c r="C153" t="inlineStr">
        <is>
          <t>BRMD</t>
        </is>
      </c>
      <c r="D153" s="6" t="n">
        <v>46251</v>
      </c>
      <c r="E153" t="inlineStr">
        <is>
          <t>CR</t>
        </is>
      </c>
      <c r="F153" t="inlineStr">
        <is>
          <t>SAR</t>
        </is>
      </c>
      <c r="G153" s="7" t="n">
        <v>1680947.505</v>
      </c>
      <c r="H153" t="inlineStr">
        <is>
          <t>GBP</t>
        </is>
      </c>
      <c r="I153" s="7" t="n">
        <v>351318.029</v>
      </c>
      <c r="J153" s="8" t="n">
        <v>46251.46872685185</v>
      </c>
      <c r="K153" t="inlineStr">
        <is>
          <t>CF260817 00147</t>
        </is>
      </c>
      <c r="L153" t="inlineStr">
        <is>
          <t>GL.NOSTRO.SAR.BRMD.006</t>
        </is>
      </c>
      <c r="M153" t="inlineStr">
        <is>
          <t>Nightjar Trust</t>
        </is>
      </c>
      <c r="N153" t="inlineStr">
        <is>
          <t>BRMDCASH</t>
        </is>
      </c>
      <c r="O153" t="inlineStr">
        <is>
          <t>NEW</t>
        </is>
      </c>
      <c r="Q153" t="inlineStr">
        <is>
          <t>NETTER</t>
        </is>
      </c>
    </row>
    <row r="154">
      <c r="A154" t="inlineStr">
        <is>
          <t>468341071172</t>
        </is>
      </c>
      <c r="B154" t="inlineStr">
        <is>
          <t>TCX</t>
        </is>
      </c>
      <c r="C154" t="inlineStr">
        <is>
          <t>BRCC</t>
        </is>
      </c>
      <c r="D154" s="6" t="n">
        <v>46251</v>
      </c>
      <c r="E154" t="inlineStr">
        <is>
          <t>DR</t>
        </is>
      </c>
      <c r="F154" t="inlineStr">
        <is>
          <t>EUR</t>
        </is>
      </c>
      <c r="G154" s="7" t="n">
        <v>-952208561.2920001</v>
      </c>
      <c r="H154" t="inlineStr">
        <is>
          <t>GBP</t>
        </is>
      </c>
      <c r="I154" s="7" t="n">
        <v>-816994945.589</v>
      </c>
      <c r="J154" s="8" t="n">
        <v>46251.77885416667</v>
      </c>
      <c r="K154" t="inlineStr">
        <is>
          <t>CF260817 00148</t>
        </is>
      </c>
      <c r="L154" t="inlineStr">
        <is>
          <t>GL.NOSTRO.EUR.BRCC.006</t>
        </is>
      </c>
      <c r="M154" t="inlineStr">
        <is>
          <t>Elmwood Settlement Bank</t>
        </is>
      </c>
      <c r="N154" t="inlineStr">
        <is>
          <t>BRCCTRSY</t>
        </is>
      </c>
      <c r="O154" t="inlineStr">
        <is>
          <t>AMEND</t>
        </is>
      </c>
      <c r="Q154" t="inlineStr">
        <is>
          <t>GROSS</t>
        </is>
      </c>
    </row>
    <row r="155">
      <c r="A155" t="inlineStr">
        <is>
          <t>499062838623</t>
        </is>
      </c>
      <c r="B155" t="inlineStr">
        <is>
          <t>TCX</t>
        </is>
      </c>
      <c r="C155" t="inlineStr">
        <is>
          <t>BRBX</t>
        </is>
      </c>
      <c r="D155" s="6" t="n">
        <v>46251</v>
      </c>
      <c r="E155" t="inlineStr">
        <is>
          <t>CR</t>
        </is>
      </c>
      <c r="F155" t="inlineStr">
        <is>
          <t>USD</t>
        </is>
      </c>
      <c r="G155" s="7" t="n">
        <v>41411540.854</v>
      </c>
      <c r="H155" t="inlineStr">
        <is>
          <t>GBP</t>
        </is>
      </c>
      <c r="I155" s="7" t="n">
        <v>32466648.03</v>
      </c>
      <c r="J155" s="8" t="n">
        <v>46251.30894675926</v>
      </c>
      <c r="K155" t="inlineStr">
        <is>
          <t>CF260817 00149</t>
        </is>
      </c>
      <c r="L155" t="inlineStr">
        <is>
          <t>GL.NOSTRO.USD.BRBX.002</t>
        </is>
      </c>
      <c r="M155" t="inlineStr">
        <is>
          <t>Nightjar Trust</t>
        </is>
      </c>
      <c r="N155" t="inlineStr">
        <is>
          <t>BRBXCASH</t>
        </is>
      </c>
      <c r="O155" t="inlineStr">
        <is>
          <t>AMEND</t>
        </is>
      </c>
      <c r="Q155" t="inlineStr">
        <is>
          <t>NETTER</t>
        </is>
      </c>
    </row>
    <row r="156">
      <c r="A156" t="inlineStr">
        <is>
          <t>794226063698</t>
        </is>
      </c>
      <c r="B156" t="inlineStr">
        <is>
          <t>TCP</t>
        </is>
      </c>
      <c r="C156" t="inlineStr">
        <is>
          <t>BRMD</t>
        </is>
      </c>
      <c r="D156" s="6" t="n">
        <v>46251</v>
      </c>
      <c r="E156" t="inlineStr">
        <is>
          <t>CR</t>
        </is>
      </c>
      <c r="F156" t="inlineStr">
        <is>
          <t>AED</t>
        </is>
      </c>
      <c r="G156" s="7" t="n">
        <v>33703209.489</v>
      </c>
      <c r="H156" t="inlineStr">
        <is>
          <t>GBP</t>
        </is>
      </c>
      <c r="I156" s="7" t="n">
        <v>7178783.621</v>
      </c>
      <c r="J156" s="8" t="n">
        <v>46251.55078703703</v>
      </c>
      <c r="K156" t="inlineStr">
        <is>
          <t>CF260817 00150</t>
        </is>
      </c>
      <c r="L156" t="inlineStr">
        <is>
          <t>GL.NOSTRO.AED.BRMD.007</t>
        </is>
      </c>
      <c r="M156" t="inlineStr">
        <is>
          <t>Nightjar Trust</t>
        </is>
      </c>
      <c r="N156" t="inlineStr">
        <is>
          <t>BRMDMM</t>
        </is>
      </c>
      <c r="O156" t="inlineStr">
        <is>
          <t>NEW</t>
        </is>
      </c>
      <c r="P156" t="inlineStr">
        <is>
          <t>NT26081700100</t>
        </is>
      </c>
      <c r="Q156" t="inlineStr">
        <is>
          <t>INTERNAL</t>
        </is>
      </c>
    </row>
    <row r="157">
      <c r="A157" t="inlineStr">
        <is>
          <t>968942362772</t>
        </is>
      </c>
      <c r="B157" t="inlineStr">
        <is>
          <t>TCG</t>
        </is>
      </c>
      <c r="C157" t="inlineStr">
        <is>
          <t>BRYG</t>
        </is>
      </c>
      <c r="D157" s="6" t="n">
        <v>46251</v>
      </c>
      <c r="E157" t="inlineStr">
        <is>
          <t>CR</t>
        </is>
      </c>
      <c r="F157" t="inlineStr">
        <is>
          <t>EUR</t>
        </is>
      </c>
      <c r="G157" s="7" t="n">
        <v>808355176.5420001</v>
      </c>
      <c r="H157" t="inlineStr">
        <is>
          <t>GBP</t>
        </is>
      </c>
      <c r="I157" s="7" t="n">
        <v>693568741.473</v>
      </c>
      <c r="J157" s="8" t="n">
        <v>46251.4875462963</v>
      </c>
      <c r="K157" t="inlineStr">
        <is>
          <t>CF260817 00151</t>
        </is>
      </c>
      <c r="L157" t="inlineStr">
        <is>
          <t>GL.NOSTRO.EUR.BRYG.004</t>
        </is>
      </c>
      <c r="M157" t="inlineStr">
        <is>
          <t>Elmwood Bank</t>
        </is>
      </c>
      <c r="N157" t="inlineStr">
        <is>
          <t>BRYGTRSY</t>
        </is>
      </c>
      <c r="O157" t="inlineStr">
        <is>
          <t>AMEND</t>
        </is>
      </c>
      <c r="Q157" t="inlineStr">
        <is>
          <t>NETTER</t>
        </is>
      </c>
    </row>
    <row r="158">
      <c r="A158" t="inlineStr">
        <is>
          <t>132544340094</t>
        </is>
      </c>
      <c r="B158" t="inlineStr">
        <is>
          <t>TCP</t>
        </is>
      </c>
      <c r="C158" t="inlineStr">
        <is>
          <t>BRYG</t>
        </is>
      </c>
      <c r="D158" s="6" t="n">
        <v>46251</v>
      </c>
      <c r="E158" t="inlineStr">
        <is>
          <t>CR</t>
        </is>
      </c>
      <c r="F158" t="inlineStr">
        <is>
          <t>CZK</t>
        </is>
      </c>
      <c r="G158" s="7" t="n">
        <v>148052.988</v>
      </c>
      <c r="H158" t="inlineStr">
        <is>
          <t>GBP</t>
        </is>
      </c>
      <c r="I158" s="7" t="n">
        <v>5018.996</v>
      </c>
      <c r="J158" s="8" t="n">
        <v>46251.38055555556</v>
      </c>
      <c r="K158" t="inlineStr">
        <is>
          <t>CF260817 00152</t>
        </is>
      </c>
      <c r="L158" t="inlineStr">
        <is>
          <t>GL.NOSTRO.CZK.BRYG.008</t>
        </is>
      </c>
      <c r="M158" t="inlineStr">
        <is>
          <t>Nightjar Bank</t>
        </is>
      </c>
      <c r="N158" t="inlineStr">
        <is>
          <t>BRYGMM</t>
        </is>
      </c>
      <c r="O158" t="inlineStr">
        <is>
          <t>NEW</t>
        </is>
      </c>
      <c r="Q158" t="inlineStr">
        <is>
          <t>NETTER</t>
        </is>
      </c>
    </row>
    <row r="159">
      <c r="A159" t="inlineStr">
        <is>
          <t>499062838623</t>
        </is>
      </c>
      <c r="B159" t="inlineStr">
        <is>
          <t>TCQ</t>
        </is>
      </c>
      <c r="C159" t="inlineStr">
        <is>
          <t>BRBX</t>
        </is>
      </c>
      <c r="D159" s="6" t="n">
        <v>46251</v>
      </c>
      <c r="E159" t="inlineStr">
        <is>
          <t>DR</t>
        </is>
      </c>
      <c r="F159" t="inlineStr">
        <is>
          <t>USD</t>
        </is>
      </c>
      <c r="G159" s="7" t="n">
        <v>-759573309.319</v>
      </c>
      <c r="H159" t="inlineStr">
        <is>
          <t>GBP</t>
        </is>
      </c>
      <c r="I159" s="7" t="n">
        <v>-595505474.506</v>
      </c>
      <c r="J159" s="8" t="n">
        <v>46251.48824074074</v>
      </c>
      <c r="K159" t="inlineStr">
        <is>
          <t>CF260817 00153</t>
        </is>
      </c>
      <c r="L159" t="inlineStr">
        <is>
          <t>GL.NOSTRO.USD.BRBX.003</t>
        </is>
      </c>
      <c r="M159" t="inlineStr">
        <is>
          <t>Nightjar Trust</t>
        </is>
      </c>
      <c r="N159" t="inlineStr">
        <is>
          <t>BRBXMM</t>
        </is>
      </c>
      <c r="O159" t="inlineStr">
        <is>
          <t>CANCEL</t>
        </is>
      </c>
      <c r="Q159" t="inlineStr">
        <is>
          <t>NETTER</t>
        </is>
      </c>
    </row>
    <row r="160">
      <c r="A160" t="inlineStr">
        <is>
          <t>284925023085</t>
        </is>
      </c>
      <c r="B160" t="inlineStr">
        <is>
          <t>TCQ</t>
        </is>
      </c>
      <c r="C160" t="inlineStr">
        <is>
          <t>BRMD</t>
        </is>
      </c>
      <c r="D160" s="6" t="n">
        <v>46251</v>
      </c>
      <c r="E160" t="inlineStr">
        <is>
          <t>DR</t>
        </is>
      </c>
      <c r="F160" t="inlineStr">
        <is>
          <t>MXN</t>
        </is>
      </c>
      <c r="G160" s="7" t="n">
        <v>-1044920.588</v>
      </c>
      <c r="H160" t="inlineStr">
        <is>
          <t>GBP</t>
        </is>
      </c>
      <c r="I160" s="7" t="n">
        <v>-44722.601</v>
      </c>
      <c r="J160" s="8" t="n">
        <v>46251.59096064815</v>
      </c>
      <c r="K160" t="inlineStr">
        <is>
          <t>CF260817 00154</t>
        </is>
      </c>
      <c r="L160" t="inlineStr">
        <is>
          <t>GL.NOSTRO.MXN.BRMD.009</t>
        </is>
      </c>
      <c r="M160" t="inlineStr">
        <is>
          <t>Pinehurst Bank</t>
        </is>
      </c>
      <c r="N160" t="inlineStr">
        <is>
          <t>BRMDCASH</t>
        </is>
      </c>
      <c r="O160" t="inlineStr">
        <is>
          <t>NEW</t>
        </is>
      </c>
      <c r="Q160" t="inlineStr">
        <is>
          <t>INTERNAL</t>
        </is>
      </c>
    </row>
    <row r="161">
      <c r="A161" t="inlineStr">
        <is>
          <t>499062838623</t>
        </is>
      </c>
      <c r="B161" t="inlineStr">
        <is>
          <t>TCX</t>
        </is>
      </c>
      <c r="C161" t="inlineStr">
        <is>
          <t>BRBX</t>
        </is>
      </c>
      <c r="D161" s="6" t="n">
        <v>46251</v>
      </c>
      <c r="E161" t="inlineStr">
        <is>
          <t>DR</t>
        </is>
      </c>
      <c r="F161" t="inlineStr">
        <is>
          <t>USD</t>
        </is>
      </c>
      <c r="G161" s="7" t="n">
        <v>-417865.161</v>
      </c>
      <c r="H161" t="inlineStr">
        <is>
          <t>GBP</t>
        </is>
      </c>
      <c r="I161" s="7" t="n">
        <v>-327606.286</v>
      </c>
      <c r="J161" s="8" t="n">
        <v>46251.44333333334</v>
      </c>
      <c r="K161" t="inlineStr">
        <is>
          <t>CF260817 00155</t>
        </is>
      </c>
      <c r="L161" t="inlineStr">
        <is>
          <t>GL.NOSTRO.USD.BRBX.007</t>
        </is>
      </c>
      <c r="M161" t="inlineStr">
        <is>
          <t>Sablewood Clearing</t>
        </is>
      </c>
      <c r="N161" t="inlineStr">
        <is>
          <t>BRBXTRSY</t>
        </is>
      </c>
      <c r="O161" t="inlineStr">
        <is>
          <t>AMEND</t>
        </is>
      </c>
      <c r="Q161" t="inlineStr">
        <is>
          <t>GROSS</t>
        </is>
      </c>
    </row>
    <row r="162">
      <c r="A162" t="inlineStr">
        <is>
          <t>132544340094</t>
        </is>
      </c>
      <c r="B162" t="inlineStr">
        <is>
          <t>TCC</t>
        </is>
      </c>
      <c r="C162" t="inlineStr">
        <is>
          <t>BRYG</t>
        </is>
      </c>
      <c r="D162" s="6" t="n">
        <v>46251</v>
      </c>
      <c r="E162" t="inlineStr">
        <is>
          <t>CR</t>
        </is>
      </c>
      <c r="F162" t="inlineStr">
        <is>
          <t>CZK</t>
        </is>
      </c>
      <c r="G162" s="7" t="n">
        <v>31264026.33</v>
      </c>
      <c r="H162" t="inlineStr">
        <is>
          <t>GBP</t>
        </is>
      </c>
      <c r="I162" s="7" t="n">
        <v>1059850.493</v>
      </c>
      <c r="J162" s="8" t="n">
        <v>46251.38844907407</v>
      </c>
      <c r="K162" t="inlineStr">
        <is>
          <t>CF260817 00156</t>
        </is>
      </c>
      <c r="L162" t="inlineStr">
        <is>
          <t>GL.NOSTRO.CZK.BRYG.006</t>
        </is>
      </c>
      <c r="M162" t="inlineStr">
        <is>
          <t>Vetchling Settlement Bank</t>
        </is>
      </c>
      <c r="N162" t="inlineStr">
        <is>
          <t>BRYGCASH</t>
        </is>
      </c>
      <c r="O162" t="inlineStr">
        <is>
          <t>NEW</t>
        </is>
      </c>
      <c r="Q162" t="inlineStr">
        <is>
          <t>NETTER</t>
        </is>
      </c>
    </row>
    <row r="163">
      <c r="A163" t="inlineStr">
        <is>
          <t>794226063698</t>
        </is>
      </c>
      <c r="B163" t="inlineStr">
        <is>
          <t>TCC</t>
        </is>
      </c>
      <c r="C163" t="inlineStr">
        <is>
          <t>BRMD</t>
        </is>
      </c>
      <c r="D163" s="6" t="n">
        <v>46251</v>
      </c>
      <c r="E163" t="inlineStr">
        <is>
          <t>CR</t>
        </is>
      </c>
      <c r="F163" t="inlineStr">
        <is>
          <t>AED</t>
        </is>
      </c>
      <c r="G163" s="7" t="n">
        <v>340419515.527</v>
      </c>
      <c r="H163" t="inlineStr">
        <is>
          <t>GBP</t>
        </is>
      </c>
      <c r="I163" s="7" t="n">
        <v>72509356.807</v>
      </c>
      <c r="J163" s="8" t="n">
        <v>46251.68430555556</v>
      </c>
      <c r="K163" t="inlineStr">
        <is>
          <t>CF260817 00157</t>
        </is>
      </c>
      <c r="L163" t="inlineStr">
        <is>
          <t>GL.NOSTRO.AED.BRMD.008</t>
        </is>
      </c>
      <c r="M163" t="inlineStr">
        <is>
          <t>Zephyr Commercial Bank</t>
        </is>
      </c>
      <c r="N163" t="inlineStr">
        <is>
          <t>BRMDTRSY</t>
        </is>
      </c>
      <c r="O163" t="inlineStr">
        <is>
          <t>NEW</t>
        </is>
      </c>
      <c r="Q163" t="inlineStr">
        <is>
          <t>NETTER</t>
        </is>
      </c>
    </row>
    <row r="164">
      <c r="A164" t="inlineStr">
        <is>
          <t>265771593142</t>
        </is>
      </c>
      <c r="B164" t="inlineStr">
        <is>
          <t>TCQ</t>
        </is>
      </c>
      <c r="C164" t="inlineStr">
        <is>
          <t>BRYG</t>
        </is>
      </c>
      <c r="D164" s="6" t="n">
        <v>46251</v>
      </c>
      <c r="E164" t="inlineStr">
        <is>
          <t>CR</t>
        </is>
      </c>
      <c r="F164" t="inlineStr">
        <is>
          <t>EUR</t>
        </is>
      </c>
      <c r="G164" s="7" t="n">
        <v>12760280.412</v>
      </c>
      <c r="H164" t="inlineStr">
        <is>
          <t>GBP</t>
        </is>
      </c>
      <c r="I164" s="7" t="n">
        <v>10948320.593</v>
      </c>
      <c r="J164" s="8" t="n">
        <v>46251.47771990741</v>
      </c>
      <c r="K164" t="inlineStr">
        <is>
          <t>CF260817 00158</t>
        </is>
      </c>
      <c r="L164" t="inlineStr">
        <is>
          <t>GL.NOSTRO.EUR.BRYG.002</t>
        </is>
      </c>
      <c r="M164" t="inlineStr">
        <is>
          <t>Mallow Commercial Bank</t>
        </is>
      </c>
      <c r="N164" t="inlineStr">
        <is>
          <t>BRYGMM</t>
        </is>
      </c>
      <c r="O164" t="inlineStr">
        <is>
          <t>AMEND</t>
        </is>
      </c>
      <c r="Q164" t="inlineStr">
        <is>
          <t>NETTER</t>
        </is>
      </c>
    </row>
    <row r="165">
      <c r="A165" t="inlineStr">
        <is>
          <t>359365220160</t>
        </is>
      </c>
      <c r="B165" t="inlineStr">
        <is>
          <t>TCP</t>
        </is>
      </c>
      <c r="C165" t="inlineStr">
        <is>
          <t>BRGX</t>
        </is>
      </c>
      <c r="D165" s="6" t="n">
        <v>46251</v>
      </c>
      <c r="E165" t="inlineStr">
        <is>
          <t>DR</t>
        </is>
      </c>
      <c r="F165" t="inlineStr">
        <is>
          <t>EUR</t>
        </is>
      </c>
      <c r="G165" s="7" t="n">
        <v>-2119666.927</v>
      </c>
      <c r="H165" t="inlineStr">
        <is>
          <t>GBP</t>
        </is>
      </c>
      <c r="I165" s="7" t="n">
        <v>-1818674.223</v>
      </c>
      <c r="J165" s="8" t="n">
        <v>46251.43372685185</v>
      </c>
      <c r="K165" t="inlineStr">
        <is>
          <t>CF260817 00159</t>
        </is>
      </c>
      <c r="L165" t="inlineStr">
        <is>
          <t>GL.NOSTRO.EUR.BRGX.008</t>
        </is>
      </c>
      <c r="M165" t="inlineStr">
        <is>
          <t>Redstart Trust</t>
        </is>
      </c>
      <c r="N165" t="inlineStr">
        <is>
          <t>BRGXCASH</t>
        </is>
      </c>
      <c r="O165" t="inlineStr">
        <is>
          <t>NEW</t>
        </is>
      </c>
      <c r="Q165" t="inlineStr">
        <is>
          <t>NETTER</t>
        </is>
      </c>
    </row>
    <row r="166">
      <c r="A166" t="inlineStr">
        <is>
          <t>499062838623</t>
        </is>
      </c>
      <c r="B166" t="inlineStr">
        <is>
          <t>TCP</t>
        </is>
      </c>
      <c r="C166" t="inlineStr">
        <is>
          <t>BRBX</t>
        </is>
      </c>
      <c r="D166" s="6" t="n">
        <v>46251</v>
      </c>
      <c r="E166" t="inlineStr">
        <is>
          <t>CR</t>
        </is>
      </c>
      <c r="F166" t="inlineStr">
        <is>
          <t>USD</t>
        </is>
      </c>
      <c r="G166" s="7" t="n">
        <v>15168564.723</v>
      </c>
      <c r="H166" t="inlineStr">
        <is>
          <t>GBP</t>
        </is>
      </c>
      <c r="I166" s="7" t="n">
        <v>11892154.743</v>
      </c>
      <c r="J166" s="8" t="n">
        <v>46251.40384259259</v>
      </c>
      <c r="K166" t="inlineStr">
        <is>
          <t>CF260817 00160</t>
        </is>
      </c>
      <c r="L166" t="inlineStr">
        <is>
          <t>GL.NOSTRO.USD.BRBX.007</t>
        </is>
      </c>
      <c r="M166" t="inlineStr">
        <is>
          <t>Elmwood Settlement Bank</t>
        </is>
      </c>
      <c r="N166" t="inlineStr">
        <is>
          <t>BRBXCASH</t>
        </is>
      </c>
      <c r="O166" t="inlineStr">
        <is>
          <t>NEW</t>
        </is>
      </c>
      <c r="Q166" t="inlineStr">
        <is>
          <t>GROSS</t>
        </is>
      </c>
    </row>
    <row r="167">
      <c r="A167" t="inlineStr">
        <is>
          <t>284925023085</t>
        </is>
      </c>
      <c r="B167" t="inlineStr">
        <is>
          <t>TCX</t>
        </is>
      </c>
      <c r="C167" t="inlineStr">
        <is>
          <t>BRMD</t>
        </is>
      </c>
      <c r="D167" s="6" t="n">
        <v>46251</v>
      </c>
      <c r="E167" t="inlineStr">
        <is>
          <t>DR</t>
        </is>
      </c>
      <c r="F167" t="inlineStr">
        <is>
          <t>MXN</t>
        </is>
      </c>
      <c r="G167" s="7" t="n">
        <v>-749097211.908</v>
      </c>
      <c r="H167" t="inlineStr">
        <is>
          <t>GBP</t>
        </is>
      </c>
      <c r="I167" s="7" t="n">
        <v>-32061360.67</v>
      </c>
      <c r="J167" s="8" t="n">
        <v>46251.59157407407</v>
      </c>
      <c r="K167" t="inlineStr">
        <is>
          <t>CF260817 00161</t>
        </is>
      </c>
      <c r="L167" t="inlineStr">
        <is>
          <t>GL.NOSTRO.MXN.BRMD.006</t>
        </is>
      </c>
      <c r="M167" t="inlineStr">
        <is>
          <t>Redstart Trust</t>
        </is>
      </c>
      <c r="N167" t="inlineStr">
        <is>
          <t>BRMDCASH</t>
        </is>
      </c>
      <c r="O167" t="inlineStr">
        <is>
          <t>NEW</t>
        </is>
      </c>
      <c r="P167" t="inlineStr">
        <is>
          <t>NT26081700082</t>
        </is>
      </c>
      <c r="Q167" t="inlineStr">
        <is>
          <t>NETTER</t>
        </is>
      </c>
    </row>
    <row r="168">
      <c r="A168" t="inlineStr">
        <is>
          <t>171857983160</t>
        </is>
      </c>
      <c r="B168" t="inlineStr">
        <is>
          <t>TCQ</t>
        </is>
      </c>
      <c r="C168" t="inlineStr">
        <is>
          <t>BRBX</t>
        </is>
      </c>
      <c r="D168" s="6" t="n">
        <v>46251</v>
      </c>
      <c r="E168" t="inlineStr">
        <is>
          <t>CR</t>
        </is>
      </c>
      <c r="F168" t="inlineStr">
        <is>
          <t>AUD</t>
        </is>
      </c>
      <c r="G168" s="7" t="n">
        <v>881086.6360000001</v>
      </c>
      <c r="H168" t="inlineStr">
        <is>
          <t>GBP</t>
        </is>
      </c>
      <c r="I168" s="7" t="n">
        <v>451997.444</v>
      </c>
      <c r="J168" s="8" t="n">
        <v>46251.65533564815</v>
      </c>
      <c r="K168" t="inlineStr">
        <is>
          <t>CF260817 00162</t>
        </is>
      </c>
      <c r="L168" t="inlineStr">
        <is>
          <t>GL.NOSTRO.AUD.BRBX.005</t>
        </is>
      </c>
      <c r="M168" t="inlineStr">
        <is>
          <t>Ironbark Commercial Bank</t>
        </is>
      </c>
      <c r="N168" t="inlineStr">
        <is>
          <t>BRBXTRSY</t>
        </is>
      </c>
      <c r="O168" t="inlineStr">
        <is>
          <t>NEW</t>
        </is>
      </c>
      <c r="P168" t="inlineStr">
        <is>
          <t>NT26081700109</t>
        </is>
      </c>
      <c r="Q168" t="inlineStr">
        <is>
          <t>INTERNAL</t>
        </is>
      </c>
    </row>
    <row r="169">
      <c r="A169" t="inlineStr">
        <is>
          <t>499062838623</t>
        </is>
      </c>
      <c r="B169" t="inlineStr">
        <is>
          <t>TCG</t>
        </is>
      </c>
      <c r="C169" t="inlineStr">
        <is>
          <t>BRBX</t>
        </is>
      </c>
      <c r="D169" s="6" t="n">
        <v>46251</v>
      </c>
      <c r="E169" t="inlineStr">
        <is>
          <t>DR</t>
        </is>
      </c>
      <c r="F169" t="inlineStr">
        <is>
          <t>USD</t>
        </is>
      </c>
      <c r="G169" s="7" t="n">
        <v>-15435069.957</v>
      </c>
      <c r="H169" t="inlineStr">
        <is>
          <t>GBP</t>
        </is>
      </c>
      <c r="I169" s="7" t="n">
        <v>-12101094.846</v>
      </c>
      <c r="J169" s="8" t="n">
        <v>46251.62400462963</v>
      </c>
      <c r="K169" t="inlineStr">
        <is>
          <t>CF260817 00163</t>
        </is>
      </c>
      <c r="L169" t="inlineStr">
        <is>
          <t>GL.NOSTRO.USD.BRBX.003</t>
        </is>
      </c>
      <c r="M169" t="inlineStr">
        <is>
          <t>Oriel Trust</t>
        </is>
      </c>
      <c r="N169" t="inlineStr">
        <is>
          <t>BRBXTRSY</t>
        </is>
      </c>
      <c r="O169" t="inlineStr">
        <is>
          <t>NEW</t>
        </is>
      </c>
      <c r="Q169" t="inlineStr">
        <is>
          <t>NETTER</t>
        </is>
      </c>
    </row>
    <row r="170">
      <c r="A170" t="inlineStr">
        <is>
          <t>968942362772</t>
        </is>
      </c>
      <c r="B170" t="inlineStr">
        <is>
          <t>TCQ</t>
        </is>
      </c>
      <c r="C170" t="inlineStr">
        <is>
          <t>BRYG</t>
        </is>
      </c>
      <c r="D170" s="6" t="n">
        <v>46251</v>
      </c>
      <c r="E170" t="inlineStr">
        <is>
          <t>CR</t>
        </is>
      </c>
      <c r="F170" t="inlineStr">
        <is>
          <t>EUR</t>
        </is>
      </c>
      <c r="G170" s="7" t="n">
        <v>17480.98</v>
      </c>
      <c r="H170" t="inlineStr">
        <is>
          <t>GBP</t>
        </is>
      </c>
      <c r="I170" s="7" t="n">
        <v>14998.681</v>
      </c>
      <c r="J170" s="8" t="n">
        <v>46251.44350694444</v>
      </c>
      <c r="K170" t="inlineStr">
        <is>
          <t>CF260817 00164</t>
        </is>
      </c>
      <c r="L170" t="inlineStr">
        <is>
          <t>GL.NOSTRO.EUR.BRYG.007</t>
        </is>
      </c>
      <c r="M170" t="inlineStr">
        <is>
          <t>Juniper Bank</t>
        </is>
      </c>
      <c r="N170" t="inlineStr">
        <is>
          <t>BRYGMM</t>
        </is>
      </c>
      <c r="O170" t="inlineStr">
        <is>
          <t>NEW</t>
        </is>
      </c>
      <c r="Q170" t="inlineStr">
        <is>
          <t>GROSS</t>
        </is>
      </c>
    </row>
    <row r="171">
      <c r="A171" t="inlineStr">
        <is>
          <t>359365220160</t>
        </is>
      </c>
      <c r="B171" t="inlineStr">
        <is>
          <t>TCQ</t>
        </is>
      </c>
      <c r="C171" t="inlineStr">
        <is>
          <t>BRGX</t>
        </is>
      </c>
      <c r="D171" s="6" t="n">
        <v>46251</v>
      </c>
      <c r="E171" t="inlineStr">
        <is>
          <t>CR</t>
        </is>
      </c>
      <c r="F171" t="inlineStr">
        <is>
          <t>EUR</t>
        </is>
      </c>
      <c r="G171" s="7" t="n">
        <v>64607289.729</v>
      </c>
      <c r="H171" t="inlineStr">
        <is>
          <t>GBP</t>
        </is>
      </c>
      <c r="I171" s="7" t="n">
        <v>55433054.587</v>
      </c>
      <c r="J171" s="8" t="n">
        <v>46251.27721064815</v>
      </c>
      <c r="K171" t="inlineStr">
        <is>
          <t>CF260817 00165</t>
        </is>
      </c>
      <c r="L171" t="inlineStr">
        <is>
          <t>GL.NOSTRO.EUR.BRGX.009</t>
        </is>
      </c>
      <c r="M171" t="inlineStr">
        <is>
          <t>Juniper Bank</t>
        </is>
      </c>
      <c r="N171" t="inlineStr">
        <is>
          <t>BRGXCASH</t>
        </is>
      </c>
      <c r="O171" t="inlineStr">
        <is>
          <t>NEW</t>
        </is>
      </c>
      <c r="Q171" t="inlineStr">
        <is>
          <t>GROSS</t>
        </is>
      </c>
    </row>
    <row r="172">
      <c r="A172" t="inlineStr">
        <is>
          <t>968942362772</t>
        </is>
      </c>
      <c r="B172" t="inlineStr">
        <is>
          <t>TCP</t>
        </is>
      </c>
      <c r="C172" t="inlineStr">
        <is>
          <t>BRYG</t>
        </is>
      </c>
      <c r="D172" s="6" t="n">
        <v>46251</v>
      </c>
      <c r="E172" t="inlineStr">
        <is>
          <t>CR</t>
        </is>
      </c>
      <c r="F172" t="inlineStr">
        <is>
          <t>EUR</t>
        </is>
      </c>
      <c r="G172" s="7" t="n">
        <v>620060370.954</v>
      </c>
      <c r="H172" t="inlineStr">
        <is>
          <t>GBP</t>
        </is>
      </c>
      <c r="I172" s="7" t="n">
        <v>532011798.279</v>
      </c>
      <c r="J172" s="8" t="n">
        <v>46251.58517361111</v>
      </c>
      <c r="K172" t="inlineStr">
        <is>
          <t>CF260817 00166</t>
        </is>
      </c>
      <c r="L172" t="inlineStr">
        <is>
          <t>GL.NOSTRO.EUR.BRYG.008</t>
        </is>
      </c>
      <c r="M172" t="inlineStr">
        <is>
          <t>Sablewood Settlement Bank</t>
        </is>
      </c>
      <c r="N172" t="inlineStr">
        <is>
          <t>BRYGMM</t>
        </is>
      </c>
      <c r="O172" t="inlineStr">
        <is>
          <t>NEW</t>
        </is>
      </c>
      <c r="P172" t="inlineStr">
        <is>
          <t>NT26081700089</t>
        </is>
      </c>
      <c r="Q172" t="inlineStr">
        <is>
          <t>NETTER</t>
        </is>
      </c>
    </row>
    <row r="173">
      <c r="A173" t="inlineStr">
        <is>
          <t>700726936098</t>
        </is>
      </c>
      <c r="B173" t="inlineStr">
        <is>
          <t>TCC</t>
        </is>
      </c>
      <c r="C173" t="inlineStr">
        <is>
          <t>BRMD</t>
        </is>
      </c>
      <c r="D173" s="6" t="n">
        <v>46251</v>
      </c>
      <c r="E173" t="inlineStr">
        <is>
          <t>CR</t>
        </is>
      </c>
      <c r="F173" t="inlineStr">
        <is>
          <t>SAR</t>
        </is>
      </c>
      <c r="G173" s="7" t="n">
        <v>66463665.578</v>
      </c>
      <c r="H173" t="inlineStr">
        <is>
          <t>GBP</t>
        </is>
      </c>
      <c r="I173" s="7" t="n">
        <v>13890906.106</v>
      </c>
      <c r="J173" s="8" t="n">
        <v>46251.39609953704</v>
      </c>
      <c r="K173" t="inlineStr">
        <is>
          <t>CF260817 00167</t>
        </is>
      </c>
      <c r="L173" t="inlineStr">
        <is>
          <t>GL.NOSTRO.SAR.BRMD.005</t>
        </is>
      </c>
      <c r="M173" t="inlineStr">
        <is>
          <t>Sablewood Bank</t>
        </is>
      </c>
      <c r="N173" t="inlineStr">
        <is>
          <t>BRMDCASH</t>
        </is>
      </c>
      <c r="O173" t="inlineStr">
        <is>
          <t>NEW</t>
        </is>
      </c>
      <c r="P173" t="inlineStr">
        <is>
          <t>NT26081700075</t>
        </is>
      </c>
      <c r="Q173" t="inlineStr">
        <is>
          <t>GROSS</t>
        </is>
      </c>
    </row>
    <row r="174">
      <c r="A174" t="inlineStr">
        <is>
          <t>171857983160</t>
        </is>
      </c>
      <c r="B174" t="inlineStr">
        <is>
          <t>TCC</t>
        </is>
      </c>
      <c r="C174" t="inlineStr">
        <is>
          <t>BRBX</t>
        </is>
      </c>
      <c r="D174" s="6" t="n">
        <v>46251</v>
      </c>
      <c r="E174" t="inlineStr">
        <is>
          <t>CR</t>
        </is>
      </c>
      <c r="F174" t="inlineStr">
        <is>
          <t>AUD</t>
        </is>
      </c>
      <c r="G174" s="7" t="n">
        <v>6510164.915</v>
      </c>
      <c r="H174" t="inlineStr">
        <is>
          <t>GBP</t>
        </is>
      </c>
      <c r="I174" s="7" t="n">
        <v>3339714.601</v>
      </c>
      <c r="J174" s="8" t="n">
        <v>46251.49100694444</v>
      </c>
      <c r="K174" t="inlineStr">
        <is>
          <t>CF260817 00168</t>
        </is>
      </c>
      <c r="L174" t="inlineStr">
        <is>
          <t>GL.NOSTRO.AUD.BRBX.004</t>
        </is>
      </c>
      <c r="M174" t="inlineStr">
        <is>
          <t>Ironbark Trust</t>
        </is>
      </c>
      <c r="N174" t="inlineStr">
        <is>
          <t>BRBXMM</t>
        </is>
      </c>
      <c r="O174" t="inlineStr">
        <is>
          <t>NEW</t>
        </is>
      </c>
      <c r="Q174" t="inlineStr">
        <is>
          <t>NETTER</t>
        </is>
      </c>
    </row>
    <row r="175">
      <c r="A175" t="inlineStr">
        <is>
          <t>794226063698</t>
        </is>
      </c>
      <c r="B175" t="inlineStr">
        <is>
          <t>TCC</t>
        </is>
      </c>
      <c r="C175" t="inlineStr">
        <is>
          <t>BRMD</t>
        </is>
      </c>
      <c r="D175" s="6" t="n">
        <v>46251</v>
      </c>
      <c r="E175" t="inlineStr">
        <is>
          <t>DR</t>
        </is>
      </c>
      <c r="F175" t="inlineStr">
        <is>
          <t>AED</t>
        </is>
      </c>
      <c r="G175" s="7" t="n">
        <v>-52516.19</v>
      </c>
      <c r="H175" t="inlineStr">
        <is>
          <t>GBP</t>
        </is>
      </c>
      <c r="I175" s="7" t="n">
        <v>-11185.948</v>
      </c>
      <c r="J175" s="8" t="n">
        <v>46251.41493055555</v>
      </c>
      <c r="K175" t="inlineStr">
        <is>
          <t>CF260817 00169</t>
        </is>
      </c>
      <c r="L175" t="inlineStr">
        <is>
          <t>GL.NOSTRO.AED.BRMD.002</t>
        </is>
      </c>
      <c r="M175" t="inlineStr">
        <is>
          <t>Umberton Commercial Bank</t>
        </is>
      </c>
      <c r="N175" t="inlineStr">
        <is>
          <t>BRMD</t>
        </is>
      </c>
      <c r="O175" t="inlineStr">
        <is>
          <t>NEW</t>
        </is>
      </c>
      <c r="Q175" t="inlineStr">
        <is>
          <t>NETTER</t>
        </is>
      </c>
    </row>
    <row r="176">
      <c r="A176" t="inlineStr">
        <is>
          <t>953625291146</t>
        </is>
      </c>
      <c r="B176" t="inlineStr">
        <is>
          <t>TCX</t>
        </is>
      </c>
      <c r="C176" t="inlineStr">
        <is>
          <t>BRGL</t>
        </is>
      </c>
      <c r="D176" s="6" t="n">
        <v>46251</v>
      </c>
      <c r="E176" t="inlineStr">
        <is>
          <t>CR</t>
        </is>
      </c>
      <c r="F176" t="inlineStr">
        <is>
          <t>USD</t>
        </is>
      </c>
      <c r="G176" s="7" t="n">
        <v>997288090.906</v>
      </c>
      <c r="H176" t="inlineStr">
        <is>
          <t>GBP</t>
        </is>
      </c>
      <c r="I176" s="7" t="n">
        <v>781873863.27</v>
      </c>
      <c r="J176" s="8" t="n">
        <v>46251.36445601852</v>
      </c>
      <c r="K176" t="inlineStr">
        <is>
          <t>CF260817 00170</t>
        </is>
      </c>
      <c r="L176" t="inlineStr">
        <is>
          <t>GL.NOSTRO.USD.BRGL.008</t>
        </is>
      </c>
      <c r="M176" t="inlineStr">
        <is>
          <t>Elmwood Settlement Bank</t>
        </is>
      </c>
      <c r="N176" t="inlineStr">
        <is>
          <t>BRGLCASH</t>
        </is>
      </c>
      <c r="O176" t="inlineStr">
        <is>
          <t>NEW</t>
        </is>
      </c>
      <c r="P176" t="inlineStr">
        <is>
          <t>NT26081700078</t>
        </is>
      </c>
      <c r="Q176" t="inlineStr">
        <is>
          <t>INTERNAL</t>
        </is>
      </c>
    </row>
    <row r="177">
      <c r="A177" t="inlineStr">
        <is>
          <t>284925023085</t>
        </is>
      </c>
      <c r="B177" t="inlineStr">
        <is>
          <t>TCX</t>
        </is>
      </c>
      <c r="C177" t="inlineStr">
        <is>
          <t>BRMD</t>
        </is>
      </c>
      <c r="D177" s="6" t="n">
        <v>46251</v>
      </c>
      <c r="E177" t="inlineStr">
        <is>
          <t>DR</t>
        </is>
      </c>
      <c r="F177" t="inlineStr">
        <is>
          <t>MXN</t>
        </is>
      </c>
      <c r="G177" s="7" t="n">
        <v>-3337260.951</v>
      </c>
      <c r="H177" t="inlineStr">
        <is>
          <t>GBP</t>
        </is>
      </c>
      <c r="I177" s="7" t="n">
        <v>-142834.769</v>
      </c>
      <c r="J177" s="8" t="n">
        <v>46251.4759837963</v>
      </c>
      <c r="K177" t="inlineStr">
        <is>
          <t>CF260817 00171</t>
        </is>
      </c>
      <c r="L177" t="inlineStr">
        <is>
          <t>GL.NOSTRO.MXN.BRMD.001</t>
        </is>
      </c>
      <c r="M177" t="inlineStr">
        <is>
          <t>Thornbury Bank</t>
        </is>
      </c>
      <c r="N177" t="inlineStr">
        <is>
          <t>BRMDCASH</t>
        </is>
      </c>
      <c r="O177" t="inlineStr">
        <is>
          <t>NEW</t>
        </is>
      </c>
      <c r="P177" t="inlineStr">
        <is>
          <t>NT26081700093</t>
        </is>
      </c>
      <c r="Q177" t="inlineStr">
        <is>
          <t>GROSS</t>
        </is>
      </c>
    </row>
    <row r="178">
      <c r="A178" t="inlineStr">
        <is>
          <t>150316825069</t>
        </is>
      </c>
      <c r="B178" t="inlineStr">
        <is>
          <t>TCP</t>
        </is>
      </c>
      <c r="C178" t="inlineStr">
        <is>
          <t>BRGX</t>
        </is>
      </c>
      <c r="D178" s="6" t="n">
        <v>46251</v>
      </c>
      <c r="E178" t="inlineStr">
        <is>
          <t>DR</t>
        </is>
      </c>
      <c r="F178" t="inlineStr">
        <is>
          <t>GBP</t>
        </is>
      </c>
      <c r="G178" s="7" t="n">
        <v>-21530542.825</v>
      </c>
      <c r="H178" t="inlineStr">
        <is>
          <t>GBP</t>
        </is>
      </c>
      <c r="I178" s="7" t="n">
        <v>-21530542.825</v>
      </c>
      <c r="J178" s="8" t="n">
        <v>46251.44957175926</v>
      </c>
      <c r="K178" t="inlineStr">
        <is>
          <t>CF260817 00172</t>
        </is>
      </c>
      <c r="L178" t="inlineStr">
        <is>
          <t>GL.NOSTRO.GBP.BRGX.001</t>
        </is>
      </c>
      <c r="M178" t="inlineStr">
        <is>
          <t>Vetchling Settlement Bank</t>
        </is>
      </c>
      <c r="N178" t="inlineStr">
        <is>
          <t>BRGXMM</t>
        </is>
      </c>
      <c r="O178" t="inlineStr">
        <is>
          <t>NEW</t>
        </is>
      </c>
      <c r="Q178" t="inlineStr">
        <is>
          <t>NETTER</t>
        </is>
      </c>
    </row>
    <row r="179">
      <c r="A179" t="inlineStr">
        <is>
          <t>968942362772</t>
        </is>
      </c>
      <c r="B179" t="inlineStr">
        <is>
          <t>TCQ</t>
        </is>
      </c>
      <c r="C179" t="inlineStr">
        <is>
          <t>BRYG</t>
        </is>
      </c>
      <c r="D179" s="6" t="n">
        <v>46251</v>
      </c>
      <c r="E179" t="inlineStr">
        <is>
          <t>CR</t>
        </is>
      </c>
      <c r="F179" t="inlineStr">
        <is>
          <t>EUR</t>
        </is>
      </c>
      <c r="G179" s="7" t="n">
        <v>7849276.366</v>
      </c>
      <c r="H179" t="inlineStr">
        <is>
          <t>GBP</t>
        </is>
      </c>
      <c r="I179" s="7" t="n">
        <v>6734679.122</v>
      </c>
      <c r="J179" s="8" t="n">
        <v>46251.58728009259</v>
      </c>
      <c r="K179" t="inlineStr">
        <is>
          <t>CF260817 00173</t>
        </is>
      </c>
      <c r="L179" t="inlineStr">
        <is>
          <t>GL.NOSTRO.EUR.BRYG.009</t>
        </is>
      </c>
      <c r="M179" t="inlineStr">
        <is>
          <t>Umberton Commercial Bank</t>
        </is>
      </c>
      <c r="N179" t="inlineStr">
        <is>
          <t>BRYGCASH</t>
        </is>
      </c>
      <c r="O179" t="inlineStr">
        <is>
          <t>NEW</t>
        </is>
      </c>
      <c r="P179" t="inlineStr">
        <is>
          <t>NT26081700075</t>
        </is>
      </c>
      <c r="Q179" t="inlineStr">
        <is>
          <t>GROSS</t>
        </is>
      </c>
    </row>
    <row r="180">
      <c r="A180" t="inlineStr">
        <is>
          <t>499062838623</t>
        </is>
      </c>
      <c r="B180" t="inlineStr">
        <is>
          <t>TCC</t>
        </is>
      </c>
      <c r="C180" t="inlineStr">
        <is>
          <t>BRBX</t>
        </is>
      </c>
      <c r="D180" s="6" t="n">
        <v>46251</v>
      </c>
      <c r="E180" t="inlineStr">
        <is>
          <t>DR</t>
        </is>
      </c>
      <c r="F180" t="inlineStr">
        <is>
          <t>USD</t>
        </is>
      </c>
      <c r="G180" s="7" t="n">
        <v>-56886366878.996</v>
      </c>
      <c r="H180" t="inlineStr">
        <is>
          <t>GBP</t>
        </is>
      </c>
      <c r="I180" s="7" t="n">
        <v>-44598911633.133</v>
      </c>
      <c r="J180" s="8" t="n">
        <v>46251.37105324074</v>
      </c>
      <c r="K180" t="inlineStr">
        <is>
          <t>CF260817 00174</t>
        </is>
      </c>
      <c r="L180" t="inlineStr">
        <is>
          <t>GL.NOSTRO.USD.BRBX.002</t>
        </is>
      </c>
      <c r="M180" t="inlineStr">
        <is>
          <t>Ironbark Trust</t>
        </is>
      </c>
      <c r="N180" t="inlineStr">
        <is>
          <t>BRBXTRSY</t>
        </is>
      </c>
      <c r="O180" t="inlineStr">
        <is>
          <t>NEW</t>
        </is>
      </c>
      <c r="Q180" t="inlineStr">
        <is>
          <t>GROSS</t>
        </is>
      </c>
    </row>
    <row r="181">
      <c r="A181" t="inlineStr">
        <is>
          <t>150316825069</t>
        </is>
      </c>
      <c r="B181" t="inlineStr">
        <is>
          <t>TCC</t>
        </is>
      </c>
      <c r="C181" t="inlineStr">
        <is>
          <t>BRGX</t>
        </is>
      </c>
      <c r="D181" s="6" t="n">
        <v>46251</v>
      </c>
      <c r="E181" t="inlineStr">
        <is>
          <t>CR</t>
        </is>
      </c>
      <c r="F181" t="inlineStr">
        <is>
          <t>GBP</t>
        </is>
      </c>
      <c r="G181" s="7" t="n">
        <v>21797000.766</v>
      </c>
      <c r="H181" t="inlineStr">
        <is>
          <t>GBP</t>
        </is>
      </c>
      <c r="I181" s="7" t="n">
        <v>21797000.766</v>
      </c>
      <c r="J181" s="8" t="n">
        <v>46251.77097222222</v>
      </c>
      <c r="K181" t="inlineStr">
        <is>
          <t>CF260817 00175</t>
        </is>
      </c>
      <c r="L181" t="inlineStr">
        <is>
          <t>GL.NOSTRO.GBP.BRGX.003</t>
        </is>
      </c>
      <c r="M181" t="inlineStr">
        <is>
          <t>Sablewood Bank</t>
        </is>
      </c>
      <c r="N181" t="inlineStr">
        <is>
          <t>BRGXTRSY</t>
        </is>
      </c>
      <c r="O181" t="inlineStr">
        <is>
          <t>NEW</t>
        </is>
      </c>
      <c r="Q181" t="inlineStr">
        <is>
          <t>GROSS</t>
        </is>
      </c>
    </row>
    <row r="182">
      <c r="A182" t="inlineStr">
        <is>
          <t>621381112674</t>
        </is>
      </c>
      <c r="B182" t="inlineStr">
        <is>
          <t>TCP</t>
        </is>
      </c>
      <c r="C182" t="inlineStr">
        <is>
          <t>BRAA</t>
        </is>
      </c>
      <c r="D182" s="6" t="n">
        <v>46251</v>
      </c>
      <c r="E182" t="inlineStr">
        <is>
          <t>CR</t>
        </is>
      </c>
      <c r="F182" t="inlineStr">
        <is>
          <t>PLN</t>
        </is>
      </c>
      <c r="G182" s="7" t="n">
        <v>166287852.524</v>
      </c>
      <c r="H182" t="inlineStr">
        <is>
          <t>GBP</t>
        </is>
      </c>
      <c r="I182" s="7" t="n">
        <v>32924994.8</v>
      </c>
      <c r="J182" s="8" t="n">
        <v>46251.46605324074</v>
      </c>
      <c r="K182" t="inlineStr">
        <is>
          <t>CF260817 00176</t>
        </is>
      </c>
      <c r="L182" t="inlineStr">
        <is>
          <t>GL.NOSTRO.PLN.BRAA.009</t>
        </is>
      </c>
      <c r="M182" t="inlineStr">
        <is>
          <t>Vetchling Settlement Bank</t>
        </is>
      </c>
      <c r="N182" t="inlineStr">
        <is>
          <t>BRAAMM</t>
        </is>
      </c>
      <c r="O182" t="inlineStr">
        <is>
          <t>NEW</t>
        </is>
      </c>
      <c r="Q182" t="inlineStr">
        <is>
          <t>GROSS</t>
        </is>
      </c>
    </row>
    <row r="183">
      <c r="A183" t="inlineStr">
        <is>
          <t>468341071172</t>
        </is>
      </c>
      <c r="B183" t="inlineStr">
        <is>
          <t>TCX</t>
        </is>
      </c>
      <c r="C183" t="inlineStr">
        <is>
          <t>BRCC</t>
        </is>
      </c>
      <c r="D183" s="6" t="n">
        <v>46251</v>
      </c>
      <c r="E183" t="inlineStr">
        <is>
          <t>DR</t>
        </is>
      </c>
      <c r="F183" t="inlineStr">
        <is>
          <t>EUR</t>
        </is>
      </c>
      <c r="G183" s="7" t="n">
        <v>-47935917.431</v>
      </c>
      <c r="H183" t="inlineStr">
        <is>
          <t>GBP</t>
        </is>
      </c>
      <c r="I183" s="7" t="n">
        <v>-41129017.156</v>
      </c>
      <c r="J183" s="8" t="n">
        <v>46251.66650462963</v>
      </c>
      <c r="K183" t="inlineStr">
        <is>
          <t>CF260817 00177</t>
        </is>
      </c>
      <c r="L183" t="inlineStr">
        <is>
          <t>GL.NOSTRO.EUR.BRCC.004</t>
        </is>
      </c>
      <c r="M183" t="inlineStr">
        <is>
          <t>Sablewood Commercial Bank</t>
        </is>
      </c>
      <c r="N183" t="inlineStr">
        <is>
          <t>BRCC</t>
        </is>
      </c>
      <c r="O183" t="inlineStr">
        <is>
          <t>NEW</t>
        </is>
      </c>
      <c r="P183" t="inlineStr">
        <is>
          <t>NT26081700081</t>
        </is>
      </c>
      <c r="Q183" t="inlineStr">
        <is>
          <t>NETTER</t>
        </is>
      </c>
    </row>
    <row r="184">
      <c r="A184" t="inlineStr">
        <is>
          <t>499062838623</t>
        </is>
      </c>
      <c r="B184" t="inlineStr">
        <is>
          <t>TCG</t>
        </is>
      </c>
      <c r="C184" t="inlineStr">
        <is>
          <t>BRBX</t>
        </is>
      </c>
      <c r="D184" s="6" t="n">
        <v>46251</v>
      </c>
      <c r="E184" t="inlineStr">
        <is>
          <t>DR</t>
        </is>
      </c>
      <c r="F184" t="inlineStr">
        <is>
          <t>USD</t>
        </is>
      </c>
      <c r="G184" s="7" t="n">
        <v>-92399964.16500001</v>
      </c>
      <c r="H184" t="inlineStr">
        <is>
          <t>GBP</t>
        </is>
      </c>
      <c r="I184" s="7" t="n">
        <v>-72441571.905</v>
      </c>
      <c r="J184" s="8" t="n">
        <v>46251.77600694444</v>
      </c>
      <c r="K184" t="inlineStr">
        <is>
          <t>CF260817 00178</t>
        </is>
      </c>
      <c r="L184" t="inlineStr">
        <is>
          <t>GL.NOSTRO.USD.BRBX.003</t>
        </is>
      </c>
      <c r="M184" t="inlineStr">
        <is>
          <t>Mallow Clearing</t>
        </is>
      </c>
      <c r="N184" t="inlineStr">
        <is>
          <t>BRBXMM</t>
        </is>
      </c>
      <c r="O184" t="inlineStr">
        <is>
          <t>NEW</t>
        </is>
      </c>
      <c r="Q184" t="inlineStr">
        <is>
          <t>INTERNAL</t>
        </is>
      </c>
    </row>
    <row r="185">
      <c r="A185" t="inlineStr">
        <is>
          <t>700726936098</t>
        </is>
      </c>
      <c r="B185" t="inlineStr">
        <is>
          <t>TCX</t>
        </is>
      </c>
      <c r="C185" t="inlineStr">
        <is>
          <t>BRMD</t>
        </is>
      </c>
      <c r="D185" s="6" t="n">
        <v>46251</v>
      </c>
      <c r="E185" t="inlineStr">
        <is>
          <t>CR</t>
        </is>
      </c>
      <c r="F185" t="inlineStr">
        <is>
          <t>SAR</t>
        </is>
      </c>
      <c r="G185" s="7" t="n">
        <v>384930.945</v>
      </c>
      <c r="H185" t="inlineStr">
        <is>
          <t>GBP</t>
        </is>
      </c>
      <c r="I185" s="7" t="n">
        <v>80450.568</v>
      </c>
      <c r="J185" s="8" t="n">
        <v>46251.62534722222</v>
      </c>
      <c r="K185" t="inlineStr">
        <is>
          <t>CF260817 00179</t>
        </is>
      </c>
      <c r="L185" t="inlineStr">
        <is>
          <t>GL.NOSTRO.SAR.BRMD.009</t>
        </is>
      </c>
      <c r="M185" t="inlineStr">
        <is>
          <t>Harrow Clearing</t>
        </is>
      </c>
      <c r="N185" t="inlineStr">
        <is>
          <t>BRMDTRSY</t>
        </is>
      </c>
      <c r="O185" t="inlineStr">
        <is>
          <t>CANCEL</t>
        </is>
      </c>
      <c r="Q185" t="inlineStr">
        <is>
          <t>NETTER</t>
        </is>
      </c>
    </row>
    <row r="186">
      <c r="A186" t="inlineStr">
        <is>
          <t>968942362772</t>
        </is>
      </c>
      <c r="B186" t="inlineStr">
        <is>
          <t>TCC</t>
        </is>
      </c>
      <c r="C186" t="inlineStr">
        <is>
          <t>BRYG</t>
        </is>
      </c>
      <c r="D186" s="6" t="n">
        <v>46251</v>
      </c>
      <c r="E186" t="inlineStr">
        <is>
          <t>CR</t>
        </is>
      </c>
      <c r="F186" t="inlineStr">
        <is>
          <t>EUR</t>
        </is>
      </c>
      <c r="G186" s="7" t="n">
        <v>75797633.816</v>
      </c>
      <c r="H186" t="inlineStr">
        <is>
          <t>GBP</t>
        </is>
      </c>
      <c r="I186" s="7" t="n">
        <v>65034369.814</v>
      </c>
      <c r="J186" s="8" t="n">
        <v>46251.42319444445</v>
      </c>
      <c r="K186" t="inlineStr">
        <is>
          <t>CF260817 00180</t>
        </is>
      </c>
      <c r="L186" t="inlineStr">
        <is>
          <t>GL.NOSTRO.EUR.BRYG.008</t>
        </is>
      </c>
      <c r="M186" t="inlineStr">
        <is>
          <t>Harrow Clearing</t>
        </is>
      </c>
      <c r="N186" t="inlineStr">
        <is>
          <t>BRYGTRSY</t>
        </is>
      </c>
      <c r="O186" t="inlineStr">
        <is>
          <t>NEW</t>
        </is>
      </c>
      <c r="P186" t="inlineStr">
        <is>
          <t>NT26081700080</t>
        </is>
      </c>
      <c r="Q186" t="inlineStr">
        <is>
          <t>GROSS</t>
        </is>
      </c>
    </row>
    <row r="187">
      <c r="A187" t="inlineStr">
        <is>
          <t>468341071172</t>
        </is>
      </c>
      <c r="B187" t="inlineStr">
        <is>
          <t>TCQ</t>
        </is>
      </c>
      <c r="C187" t="inlineStr">
        <is>
          <t>BRCC</t>
        </is>
      </c>
      <c r="D187" s="6" t="n">
        <v>46251</v>
      </c>
      <c r="E187" t="inlineStr">
        <is>
          <t>DR</t>
        </is>
      </c>
      <c r="F187" t="inlineStr">
        <is>
          <t>EUR</t>
        </is>
      </c>
      <c r="G187" s="7" t="n">
        <v>-846857292.1569999</v>
      </c>
      <c r="H187" t="inlineStr">
        <is>
          <t>GBP</t>
        </is>
      </c>
      <c r="I187" s="7" t="n">
        <v>-726603556.671</v>
      </c>
      <c r="J187" s="8" t="n">
        <v>46251.46003472222</v>
      </c>
      <c r="K187" t="inlineStr">
        <is>
          <t>CF260817 00181</t>
        </is>
      </c>
      <c r="L187" t="inlineStr">
        <is>
          <t>GL.NOSTRO.EUR.BRCC.004</t>
        </is>
      </c>
      <c r="M187" t="inlineStr">
        <is>
          <t>Harrow Clearing</t>
        </is>
      </c>
      <c r="N187" t="inlineStr">
        <is>
          <t>BRCCMM</t>
        </is>
      </c>
      <c r="O187" t="inlineStr">
        <is>
          <t>NEW</t>
        </is>
      </c>
      <c r="Q187" t="inlineStr">
        <is>
          <t>INTERNAL</t>
        </is>
      </c>
    </row>
    <row r="188">
      <c r="A188" t="inlineStr">
        <is>
          <t>700726936098</t>
        </is>
      </c>
      <c r="B188" t="inlineStr">
        <is>
          <t>TCP</t>
        </is>
      </c>
      <c r="C188" t="inlineStr">
        <is>
          <t>BRMD</t>
        </is>
      </c>
      <c r="D188" s="6" t="n">
        <v>46251</v>
      </c>
      <c r="E188" t="inlineStr">
        <is>
          <t>CR</t>
        </is>
      </c>
      <c r="F188" t="inlineStr">
        <is>
          <t>SAR</t>
        </is>
      </c>
      <c r="G188" s="7" t="n">
        <v>5079.777</v>
      </c>
      <c r="H188" t="inlineStr">
        <is>
          <t>GBP</t>
        </is>
      </c>
      <c r="I188" s="7" t="n">
        <v>1061.673</v>
      </c>
      <c r="J188" s="8" t="n">
        <v>46251.34954861111</v>
      </c>
      <c r="K188" t="inlineStr">
        <is>
          <t>CF260817 00182</t>
        </is>
      </c>
      <c r="L188" t="inlineStr">
        <is>
          <t>GL.NOSTRO.SAR.BRMD.003</t>
        </is>
      </c>
      <c r="M188" t="inlineStr">
        <is>
          <t>Yarrow Clearing</t>
        </is>
      </c>
      <c r="N188" t="inlineStr">
        <is>
          <t>BRMDCASH</t>
        </is>
      </c>
      <c r="O188" t="inlineStr">
        <is>
          <t>NEW</t>
        </is>
      </c>
      <c r="Q188" t="inlineStr">
        <is>
          <t>NETTER</t>
        </is>
      </c>
    </row>
    <row r="189">
      <c r="A189" t="inlineStr">
        <is>
          <t>794226063698</t>
        </is>
      </c>
      <c r="B189" t="inlineStr">
        <is>
          <t>TCC</t>
        </is>
      </c>
      <c r="C189" t="inlineStr">
        <is>
          <t>BRMD</t>
        </is>
      </c>
      <c r="D189" s="6" t="n">
        <v>46251</v>
      </c>
      <c r="E189" t="inlineStr">
        <is>
          <t>CR</t>
        </is>
      </c>
      <c r="F189" t="inlineStr">
        <is>
          <t>AED</t>
        </is>
      </c>
      <c r="G189" s="7" t="n">
        <v>4659295822.18</v>
      </c>
      <c r="H189" t="inlineStr">
        <is>
          <t>GBP</t>
        </is>
      </c>
      <c r="I189" s="7" t="n">
        <v>992430010.124</v>
      </c>
      <c r="J189" s="8" t="n">
        <v>46251.37534722222</v>
      </c>
      <c r="K189" t="inlineStr">
        <is>
          <t>CF260817 00183</t>
        </is>
      </c>
      <c r="L189" t="inlineStr">
        <is>
          <t>GL.NOSTRO.AED.BRMD.007</t>
        </is>
      </c>
      <c r="M189" t="inlineStr">
        <is>
          <t>Fernway Settlement Bank</t>
        </is>
      </c>
      <c r="N189" t="inlineStr">
        <is>
          <t>BRMDMM</t>
        </is>
      </c>
      <c r="O189" t="inlineStr">
        <is>
          <t>NEW</t>
        </is>
      </c>
      <c r="P189" t="inlineStr">
        <is>
          <t>NT26081700089</t>
        </is>
      </c>
      <c r="Q189" t="inlineStr">
        <is>
          <t>NETTER</t>
        </is>
      </c>
    </row>
    <row r="190">
      <c r="A190" t="inlineStr">
        <is>
          <t>359365220160</t>
        </is>
      </c>
      <c r="B190" t="inlineStr">
        <is>
          <t>TCC</t>
        </is>
      </c>
      <c r="C190" t="inlineStr">
        <is>
          <t>BRGX</t>
        </is>
      </c>
      <c r="D190" s="6" t="n">
        <v>46251</v>
      </c>
      <c r="E190" t="inlineStr">
        <is>
          <t>DR</t>
        </is>
      </c>
      <c r="F190" t="inlineStr">
        <is>
          <t>EUR</t>
        </is>
      </c>
      <c r="G190" s="7" t="n">
        <v>-71584522.31299999</v>
      </c>
      <c r="H190" t="inlineStr">
        <is>
          <t>GBP</t>
        </is>
      </c>
      <c r="I190" s="7" t="n">
        <v>-61419520.145</v>
      </c>
      <c r="J190" s="8" t="n">
        <v>46251.59813657407</v>
      </c>
      <c r="K190" t="inlineStr">
        <is>
          <t>CF260817 00184</t>
        </is>
      </c>
      <c r="L190" t="inlineStr">
        <is>
          <t>GL.NOSTRO.EUR.BRGX.004</t>
        </is>
      </c>
      <c r="M190" t="inlineStr">
        <is>
          <t>Elmwood Trust</t>
        </is>
      </c>
      <c r="N190" t="inlineStr">
        <is>
          <t>BRGXMM</t>
        </is>
      </c>
      <c r="O190" t="inlineStr">
        <is>
          <t>NEW</t>
        </is>
      </c>
      <c r="Q190" t="inlineStr">
        <is>
          <t>GROSS</t>
        </is>
      </c>
    </row>
    <row r="191">
      <c r="A191" t="inlineStr">
        <is>
          <t>265771593142</t>
        </is>
      </c>
      <c r="B191" t="inlineStr">
        <is>
          <t>TCX</t>
        </is>
      </c>
      <c r="C191" t="inlineStr">
        <is>
          <t>BRYG</t>
        </is>
      </c>
      <c r="D191" s="6" t="n">
        <v>46251</v>
      </c>
      <c r="E191" t="inlineStr">
        <is>
          <t>CR</t>
        </is>
      </c>
      <c r="F191" t="inlineStr">
        <is>
          <t>EUR</t>
        </is>
      </c>
      <c r="G191" s="7" t="n">
        <v>32241090.001</v>
      </c>
      <c r="H191" t="inlineStr">
        <is>
          <t>GBP</t>
        </is>
      </c>
      <c r="I191" s="7" t="n">
        <v>27662855.221</v>
      </c>
      <c r="J191" s="8" t="n">
        <v>46251.6427662037</v>
      </c>
      <c r="K191" t="inlineStr">
        <is>
          <t>CF260817 00185</t>
        </is>
      </c>
      <c r="L191" t="inlineStr">
        <is>
          <t>GL.NOSTRO.EUR.BRYG.002</t>
        </is>
      </c>
      <c r="M191" t="inlineStr">
        <is>
          <t>Pinehurst Bank</t>
        </is>
      </c>
      <c r="N191" t="inlineStr">
        <is>
          <t>BRYGCASH</t>
        </is>
      </c>
      <c r="O191" t="inlineStr">
        <is>
          <t>NEW</t>
        </is>
      </c>
      <c r="P191" t="inlineStr">
        <is>
          <t>NT26081700084</t>
        </is>
      </c>
      <c r="Q191" t="inlineStr">
        <is>
          <t>GROSS</t>
        </is>
      </c>
    </row>
    <row r="192">
      <c r="A192" t="inlineStr">
        <is>
          <t>468341071172</t>
        </is>
      </c>
      <c r="B192" t="inlineStr">
        <is>
          <t>TCC</t>
        </is>
      </c>
      <c r="C192" t="inlineStr">
        <is>
          <t>BRCC</t>
        </is>
      </c>
      <c r="D192" s="6" t="n">
        <v>46251</v>
      </c>
      <c r="E192" t="inlineStr">
        <is>
          <t>CR</t>
        </is>
      </c>
      <c r="F192" t="inlineStr">
        <is>
          <t>EUR</t>
        </is>
      </c>
      <c r="G192" s="7" t="n">
        <v>634421.447</v>
      </c>
      <c r="H192" t="inlineStr">
        <is>
          <t>GBP</t>
        </is>
      </c>
      <c r="I192" s="7" t="n">
        <v>544333.602</v>
      </c>
      <c r="J192" s="8" t="n">
        <v>46251.45752314815</v>
      </c>
      <c r="K192" t="inlineStr">
        <is>
          <t>CF260817 00186</t>
        </is>
      </c>
      <c r="L192" t="inlineStr">
        <is>
          <t>GL.NOSTRO.EUR.BRCC.004</t>
        </is>
      </c>
      <c r="M192" t="inlineStr">
        <is>
          <t>Ironbark Trust</t>
        </is>
      </c>
      <c r="N192" t="inlineStr">
        <is>
          <t>BRCCTRSY</t>
        </is>
      </c>
      <c r="O192" t="inlineStr">
        <is>
          <t>NEW</t>
        </is>
      </c>
      <c r="Q192" t="inlineStr">
        <is>
          <t>NETTER</t>
        </is>
      </c>
    </row>
    <row r="193">
      <c r="A193" t="inlineStr">
        <is>
          <t>150316825069</t>
        </is>
      </c>
      <c r="B193" t="inlineStr">
        <is>
          <t>TCX</t>
        </is>
      </c>
      <c r="C193" t="inlineStr">
        <is>
          <t>BRGX</t>
        </is>
      </c>
      <c r="D193" s="6" t="n">
        <v>46251</v>
      </c>
      <c r="E193" t="inlineStr">
        <is>
          <t>DR</t>
        </is>
      </c>
      <c r="F193" t="inlineStr">
        <is>
          <t>GBP</t>
        </is>
      </c>
      <c r="G193" s="7" t="n">
        <v>-4431485.085</v>
      </c>
      <c r="H193" t="inlineStr">
        <is>
          <t>GBP</t>
        </is>
      </c>
      <c r="I193" s="7" t="n">
        <v>-4431485.085</v>
      </c>
      <c r="J193" s="8" t="n">
        <v>46251.44611111111</v>
      </c>
      <c r="K193" t="inlineStr">
        <is>
          <t>CF260817 00187</t>
        </is>
      </c>
      <c r="L193" t="inlineStr">
        <is>
          <t>GL.NOSTRO.GBP.BRGX.007</t>
        </is>
      </c>
      <c r="M193" t="inlineStr">
        <is>
          <t>Cedar Commercial Bank</t>
        </is>
      </c>
      <c r="N193" t="inlineStr">
        <is>
          <t>BRGXCASH</t>
        </is>
      </c>
      <c r="O193" t="inlineStr">
        <is>
          <t>CANCEL</t>
        </is>
      </c>
      <c r="Q193" t="inlineStr">
        <is>
          <t>GROSS</t>
        </is>
      </c>
    </row>
    <row r="194">
      <c r="A194" t="inlineStr">
        <is>
          <t>120047354818</t>
        </is>
      </c>
      <c r="B194" t="inlineStr">
        <is>
          <t>TCX</t>
        </is>
      </c>
      <c r="C194" t="inlineStr">
        <is>
          <t>BRNK</t>
        </is>
      </c>
      <c r="D194" s="6" t="n">
        <v>46251</v>
      </c>
      <c r="E194" t="inlineStr">
        <is>
          <t>DR</t>
        </is>
      </c>
      <c r="F194" t="inlineStr">
        <is>
          <t>USD</t>
        </is>
      </c>
      <c r="G194" s="7" t="n">
        <v>-892238.708</v>
      </c>
      <c r="H194" t="inlineStr">
        <is>
          <t>GBP</t>
        </is>
      </c>
      <c r="I194" s="7" t="n">
        <v>-699515.147</v>
      </c>
      <c r="J194" s="8" t="n">
        <v>46251.58997685185</v>
      </c>
      <c r="K194" t="inlineStr">
        <is>
          <t>CF260817 00188</t>
        </is>
      </c>
      <c r="L194" t="inlineStr">
        <is>
          <t>GL.NOSTRO.USD.BRNK.005</t>
        </is>
      </c>
      <c r="M194" t="inlineStr">
        <is>
          <t>Granite Clearing</t>
        </is>
      </c>
      <c r="N194" t="inlineStr">
        <is>
          <t>BRNKMM</t>
        </is>
      </c>
      <c r="O194" t="inlineStr">
        <is>
          <t>NEW</t>
        </is>
      </c>
      <c r="Q194" t="inlineStr">
        <is>
          <t>NETTER</t>
        </is>
      </c>
    </row>
    <row r="195">
      <c r="A195" t="inlineStr">
        <is>
          <t>953625291146</t>
        </is>
      </c>
      <c r="B195" t="inlineStr">
        <is>
          <t>TCQ</t>
        </is>
      </c>
      <c r="C195" t="inlineStr">
        <is>
          <t>BRGL</t>
        </is>
      </c>
      <c r="D195" s="6" t="n">
        <v>46251</v>
      </c>
      <c r="E195" t="inlineStr">
        <is>
          <t>CR</t>
        </is>
      </c>
      <c r="F195" t="inlineStr">
        <is>
          <t>USD</t>
        </is>
      </c>
      <c r="G195" s="7" t="n">
        <v>47640278.738</v>
      </c>
      <c r="H195" t="inlineStr">
        <is>
          <t>GBP</t>
        </is>
      </c>
      <c r="I195" s="7" t="n">
        <v>37349978.531</v>
      </c>
      <c r="J195" s="8" t="n">
        <v>46251.46548611111</v>
      </c>
      <c r="K195" t="inlineStr">
        <is>
          <t>CF260817 00189</t>
        </is>
      </c>
      <c r="L195" t="inlineStr">
        <is>
          <t>GL.NOSTRO.USD.BRGL.003</t>
        </is>
      </c>
      <c r="M195" t="inlineStr">
        <is>
          <t>Juniper Bank</t>
        </is>
      </c>
      <c r="N195" t="inlineStr">
        <is>
          <t>BRGLCASH</t>
        </is>
      </c>
      <c r="O195" t="inlineStr">
        <is>
          <t>NEW</t>
        </is>
      </c>
      <c r="P195" t="inlineStr">
        <is>
          <t>NT26081700085</t>
        </is>
      </c>
      <c r="Q195" t="inlineStr">
        <is>
          <t>NETTER</t>
        </is>
      </c>
    </row>
    <row r="196">
      <c r="A196" t="inlineStr">
        <is>
          <t>499062838623</t>
        </is>
      </c>
      <c r="B196" t="inlineStr">
        <is>
          <t>TCC</t>
        </is>
      </c>
      <c r="C196" t="inlineStr">
        <is>
          <t>BRBX</t>
        </is>
      </c>
      <c r="D196" s="6" t="n">
        <v>46251</v>
      </c>
      <c r="E196" t="inlineStr">
        <is>
          <t>DR</t>
        </is>
      </c>
      <c r="F196" t="inlineStr">
        <is>
          <t>USD</t>
        </is>
      </c>
      <c r="G196" s="7" t="n">
        <v>-2638646.546</v>
      </c>
      <c r="H196" t="inlineStr">
        <is>
          <t>GBP</t>
        </is>
      </c>
      <c r="I196" s="7" t="n">
        <v>-2068698.892</v>
      </c>
      <c r="J196" s="8" t="n">
        <v>46251.49119212963</v>
      </c>
      <c r="K196" t="inlineStr">
        <is>
          <t>CF260817 00190</t>
        </is>
      </c>
      <c r="L196" t="inlineStr">
        <is>
          <t>GL.NOSTRO.USD.BRBX.001</t>
        </is>
      </c>
      <c r="M196" t="inlineStr">
        <is>
          <t>Ironbark Trust</t>
        </is>
      </c>
      <c r="N196" t="inlineStr">
        <is>
          <t>BRBX</t>
        </is>
      </c>
      <c r="O196" t="inlineStr">
        <is>
          <t>NEW</t>
        </is>
      </c>
      <c r="Q196" t="inlineStr">
        <is>
          <t>GROSS</t>
        </is>
      </c>
    </row>
    <row r="197">
      <c r="A197" t="inlineStr">
        <is>
          <t>794226063698</t>
        </is>
      </c>
      <c r="B197" t="inlineStr">
        <is>
          <t>TCQ</t>
        </is>
      </c>
      <c r="C197" t="inlineStr">
        <is>
          <t>BRMD</t>
        </is>
      </c>
      <c r="D197" s="6" t="n">
        <v>46251</v>
      </c>
      <c r="E197" t="inlineStr">
        <is>
          <t>CR</t>
        </is>
      </c>
      <c r="F197" t="inlineStr">
        <is>
          <t>AED</t>
        </is>
      </c>
      <c r="G197" s="7" t="n">
        <v>1992.156</v>
      </c>
      <c r="H197" t="inlineStr">
        <is>
          <t>GBP</t>
        </is>
      </c>
      <c r="I197" s="7" t="n">
        <v>424.329</v>
      </c>
      <c r="J197" s="8" t="n">
        <v>46251.57831018518</v>
      </c>
      <c r="K197" t="inlineStr">
        <is>
          <t>CF260817 00191</t>
        </is>
      </c>
      <c r="L197" t="inlineStr">
        <is>
          <t>GL.NOSTRO.AED.BRMD.002</t>
        </is>
      </c>
      <c r="M197" t="inlineStr">
        <is>
          <t>Cedar Commercial Bank</t>
        </is>
      </c>
      <c r="N197" t="inlineStr">
        <is>
          <t>BRMDMM</t>
        </is>
      </c>
      <c r="O197" t="inlineStr">
        <is>
          <t>NEW</t>
        </is>
      </c>
      <c r="P197" t="inlineStr">
        <is>
          <t>NT26081700103</t>
        </is>
      </c>
      <c r="Q197" t="inlineStr">
        <is>
          <t>NETTER</t>
        </is>
      </c>
    </row>
    <row r="198">
      <c r="A198" t="inlineStr">
        <is>
          <t>113829985108</t>
        </is>
      </c>
      <c r="B198" t="inlineStr">
        <is>
          <t>TCC</t>
        </is>
      </c>
      <c r="C198" t="inlineStr">
        <is>
          <t>BRGL</t>
        </is>
      </c>
      <c r="D198" s="6" t="n">
        <v>46251</v>
      </c>
      <c r="E198" t="inlineStr">
        <is>
          <t>CR</t>
        </is>
      </c>
      <c r="F198" t="inlineStr">
        <is>
          <t>EUR</t>
        </is>
      </c>
      <c r="G198" s="7" t="n">
        <v>30438968.975</v>
      </c>
      <c r="H198" t="inlineStr">
        <is>
          <t>GBP</t>
        </is>
      </c>
      <c r="I198" s="7" t="n">
        <v>26116635.381</v>
      </c>
      <c r="J198" s="8" t="n">
        <v>46251.52497685186</v>
      </c>
      <c r="K198" t="inlineStr">
        <is>
          <t>CF260817 00192</t>
        </is>
      </c>
      <c r="L198" t="inlineStr">
        <is>
          <t>GL.NOSTRO.EUR.BRGL.005</t>
        </is>
      </c>
      <c r="M198" t="inlineStr">
        <is>
          <t>Granite Clearing</t>
        </is>
      </c>
      <c r="N198" t="inlineStr">
        <is>
          <t>BRGLCASH</t>
        </is>
      </c>
      <c r="O198" t="inlineStr">
        <is>
          <t>NEW</t>
        </is>
      </c>
      <c r="P198" t="inlineStr">
        <is>
          <t>NT26081700111</t>
        </is>
      </c>
      <c r="Q198" t="inlineStr">
        <is>
          <t>INTERNAL</t>
        </is>
      </c>
    </row>
    <row r="199">
      <c r="A199" t="inlineStr">
        <is>
          <t>468341071172</t>
        </is>
      </c>
      <c r="B199" t="inlineStr">
        <is>
          <t>TCG</t>
        </is>
      </c>
      <c r="C199" t="inlineStr">
        <is>
          <t>BRCC</t>
        </is>
      </c>
      <c r="D199" s="6" t="n">
        <v>46251</v>
      </c>
      <c r="E199" t="inlineStr">
        <is>
          <t>CR</t>
        </is>
      </c>
      <c r="F199" t="inlineStr">
        <is>
          <t>EUR</t>
        </is>
      </c>
      <c r="G199" s="7" t="n">
        <v>6398440.282</v>
      </c>
      <c r="H199" t="inlineStr">
        <is>
          <t>GBP</t>
        </is>
      </c>
      <c r="I199" s="7" t="n">
        <v>5489861.762</v>
      </c>
      <c r="J199" s="8" t="n">
        <v>46251.39380787037</v>
      </c>
      <c r="K199" t="inlineStr">
        <is>
          <t>CF260817 00193</t>
        </is>
      </c>
      <c r="L199" t="inlineStr">
        <is>
          <t>GL.NOSTRO.EUR.BRCC.003</t>
        </is>
      </c>
      <c r="M199" t="inlineStr">
        <is>
          <t>Sablewood Commercial Bank</t>
        </is>
      </c>
      <c r="N199" t="inlineStr">
        <is>
          <t>BRCC</t>
        </is>
      </c>
      <c r="O199" t="inlineStr">
        <is>
          <t>NEW</t>
        </is>
      </c>
      <c r="Q199" t="inlineStr">
        <is>
          <t>GROSS</t>
        </is>
      </c>
    </row>
    <row r="200">
      <c r="A200" t="inlineStr">
        <is>
          <t>927538182434</t>
        </is>
      </c>
      <c r="B200" t="inlineStr">
        <is>
          <t>TCQ</t>
        </is>
      </c>
      <c r="C200" t="inlineStr">
        <is>
          <t>BRNK</t>
        </is>
      </c>
      <c r="D200" s="6" t="n">
        <v>46251</v>
      </c>
      <c r="E200" t="inlineStr">
        <is>
          <t>CR</t>
        </is>
      </c>
      <c r="F200" t="inlineStr">
        <is>
          <t>CNY</t>
        </is>
      </c>
      <c r="G200" s="7" t="n">
        <v>643303931.615</v>
      </c>
      <c r="H200" t="inlineStr">
        <is>
          <t>GBP</t>
        </is>
      </c>
      <c r="I200" s="7" t="n">
        <v>70120128.546</v>
      </c>
      <c r="J200" s="8" t="n">
        <v>46251.40552083333</v>
      </c>
      <c r="K200" t="inlineStr">
        <is>
          <t>CF260817 00194</t>
        </is>
      </c>
      <c r="L200" t="inlineStr">
        <is>
          <t>GL.NOSTRO.CNY.BRNK.006</t>
        </is>
      </c>
      <c r="M200" t="inlineStr">
        <is>
          <t>Thornbury Bank</t>
        </is>
      </c>
      <c r="N200" t="inlineStr">
        <is>
          <t>BRNK</t>
        </is>
      </c>
      <c r="O200" t="inlineStr">
        <is>
          <t>AMEND</t>
        </is>
      </c>
      <c r="P200" t="inlineStr">
        <is>
          <t>NT26081700102</t>
        </is>
      </c>
      <c r="Q200" t="inlineStr">
        <is>
          <t>INTERNAL</t>
        </is>
      </c>
    </row>
    <row r="201">
      <c r="A201" t="inlineStr">
        <is>
          <t>265771593142</t>
        </is>
      </c>
      <c r="B201" t="inlineStr">
        <is>
          <t>TCC</t>
        </is>
      </c>
      <c r="C201" t="inlineStr">
        <is>
          <t>BRYG</t>
        </is>
      </c>
      <c r="D201" s="6" t="n">
        <v>46251</v>
      </c>
      <c r="E201" t="inlineStr">
        <is>
          <t>CR</t>
        </is>
      </c>
      <c r="F201" t="inlineStr">
        <is>
          <t>EUR</t>
        </is>
      </c>
      <c r="G201" s="7" t="n">
        <v>1782331.391</v>
      </c>
      <c r="H201" t="inlineStr">
        <is>
          <t>GBP</t>
        </is>
      </c>
      <c r="I201" s="7" t="n">
        <v>1529240.333</v>
      </c>
      <c r="J201" s="8" t="n">
        <v>46251.72821759259</v>
      </c>
      <c r="K201" t="inlineStr">
        <is>
          <t>CF260817 00195</t>
        </is>
      </c>
      <c r="L201" t="inlineStr">
        <is>
          <t>GL.NOSTRO.EUR.BRYG.007</t>
        </is>
      </c>
      <c r="M201" t="inlineStr">
        <is>
          <t>Harrow Clearing</t>
        </is>
      </c>
      <c r="N201" t="inlineStr">
        <is>
          <t>BRYGCASH</t>
        </is>
      </c>
      <c r="O201" t="inlineStr">
        <is>
          <t>NEW</t>
        </is>
      </c>
      <c r="Q201" t="inlineStr">
        <is>
          <t>NETTER</t>
        </is>
      </c>
    </row>
    <row r="202">
      <c r="A202" t="inlineStr">
        <is>
          <t>794226063698</t>
        </is>
      </c>
      <c r="B202" t="inlineStr">
        <is>
          <t>TCQ</t>
        </is>
      </c>
      <c r="C202" t="inlineStr">
        <is>
          <t>BRMD</t>
        </is>
      </c>
      <c r="D202" s="6" t="n">
        <v>46251</v>
      </c>
      <c r="E202" t="inlineStr">
        <is>
          <t>CR</t>
        </is>
      </c>
      <c r="F202" t="inlineStr">
        <is>
          <t>AED</t>
        </is>
      </c>
      <c r="G202" s="7" t="n">
        <v>20957201.246</v>
      </c>
      <c r="H202" t="inlineStr">
        <is>
          <t>GBP</t>
        </is>
      </c>
      <c r="I202" s="7" t="n">
        <v>4463883.865</v>
      </c>
      <c r="J202" s="8" t="n">
        <v>46251.43940972222</v>
      </c>
      <c r="K202" t="inlineStr">
        <is>
          <t>CF260817 00196</t>
        </is>
      </c>
      <c r="L202" t="inlineStr">
        <is>
          <t>GL.NOSTRO.AED.BRMD.005</t>
        </is>
      </c>
      <c r="M202" t="inlineStr">
        <is>
          <t>Ironbark Trust</t>
        </is>
      </c>
      <c r="N202" t="inlineStr">
        <is>
          <t>BRMDMM</t>
        </is>
      </c>
      <c r="O202" t="inlineStr">
        <is>
          <t>NEW</t>
        </is>
      </c>
      <c r="Q202" t="inlineStr">
        <is>
          <t>GROSS</t>
        </is>
      </c>
    </row>
    <row r="203">
      <c r="A203" t="inlineStr">
        <is>
          <t>150316825069</t>
        </is>
      </c>
      <c r="B203" t="inlineStr">
        <is>
          <t>TCX</t>
        </is>
      </c>
      <c r="C203" t="inlineStr">
        <is>
          <t>BRGX</t>
        </is>
      </c>
      <c r="D203" s="6" t="n">
        <v>46251</v>
      </c>
      <c r="E203" t="inlineStr">
        <is>
          <t>DR</t>
        </is>
      </c>
      <c r="F203" t="inlineStr">
        <is>
          <t>GBP</t>
        </is>
      </c>
      <c r="G203" s="7" t="n">
        <v>-470545.409</v>
      </c>
      <c r="H203" t="inlineStr">
        <is>
          <t>GBP</t>
        </is>
      </c>
      <c r="I203" s="7" t="n">
        <v>-470545.409</v>
      </c>
      <c r="J203" s="8" t="n">
        <v>46251.58384259259</v>
      </c>
      <c r="K203" t="inlineStr">
        <is>
          <t>CF260817 00197</t>
        </is>
      </c>
      <c r="L203" t="inlineStr">
        <is>
          <t>GL.NOSTRO.GBP.BRGX.006</t>
        </is>
      </c>
      <c r="M203" t="inlineStr">
        <is>
          <t>Pinehurst Bank</t>
        </is>
      </c>
      <c r="N203" t="inlineStr">
        <is>
          <t>BRGX</t>
        </is>
      </c>
      <c r="O203" t="inlineStr">
        <is>
          <t>NEW</t>
        </is>
      </c>
      <c r="Q203" t="inlineStr">
        <is>
          <t>GROSS</t>
        </is>
      </c>
    </row>
    <row r="204">
      <c r="A204" t="inlineStr">
        <is>
          <t>113829985108</t>
        </is>
      </c>
      <c r="B204" t="inlineStr">
        <is>
          <t>TCC</t>
        </is>
      </c>
      <c r="C204" t="inlineStr">
        <is>
          <t>BRGL</t>
        </is>
      </c>
      <c r="D204" s="6" t="n">
        <v>46251</v>
      </c>
      <c r="E204" t="inlineStr">
        <is>
          <t>CR</t>
        </is>
      </c>
      <c r="F204" t="inlineStr">
        <is>
          <t>EUR</t>
        </is>
      </c>
      <c r="G204" s="7" t="n">
        <v>426824333.084</v>
      </c>
      <c r="H204" t="inlineStr">
        <is>
          <t>GBP</t>
        </is>
      </c>
      <c r="I204" s="7" t="n">
        <v>366215277.786</v>
      </c>
      <c r="J204" s="8" t="n">
        <v>46251.40510416667</v>
      </c>
      <c r="K204" t="inlineStr">
        <is>
          <t>CF260817 00198</t>
        </is>
      </c>
      <c r="L204" t="inlineStr">
        <is>
          <t>GL.NOSTRO.EUR.BRGL.001</t>
        </is>
      </c>
      <c r="M204" t="inlineStr">
        <is>
          <t>Alder Clearing</t>
        </is>
      </c>
      <c r="N204" t="inlineStr">
        <is>
          <t>BRGLMM</t>
        </is>
      </c>
      <c r="O204" t="inlineStr">
        <is>
          <t>NEW</t>
        </is>
      </c>
      <c r="P204" t="inlineStr">
        <is>
          <t>NT26081700080</t>
        </is>
      </c>
      <c r="Q204" t="inlineStr">
        <is>
          <t>NETTER</t>
        </is>
      </c>
    </row>
    <row r="205">
      <c r="A205" t="inlineStr">
        <is>
          <t>359365220160</t>
        </is>
      </c>
      <c r="B205" t="inlineStr">
        <is>
          <t>TCC</t>
        </is>
      </c>
      <c r="C205" t="inlineStr">
        <is>
          <t>BRGX</t>
        </is>
      </c>
      <c r="D205" s="6" t="n">
        <v>46251</v>
      </c>
      <c r="E205" t="inlineStr">
        <is>
          <t>DR</t>
        </is>
      </c>
      <c r="F205" t="inlineStr">
        <is>
          <t>EUR</t>
        </is>
      </c>
      <c r="G205" s="7" t="n">
        <v>-235705.102</v>
      </c>
      <c r="H205" t="inlineStr">
        <is>
          <t>GBP</t>
        </is>
      </c>
      <c r="I205" s="7" t="n">
        <v>-202234.978</v>
      </c>
      <c r="J205" s="8" t="n">
        <v>46251.41650462963</v>
      </c>
      <c r="K205" t="inlineStr">
        <is>
          <t>CF260817 00199</t>
        </is>
      </c>
      <c r="L205" t="inlineStr">
        <is>
          <t>GL.NOSTRO.EUR.BRGX.001</t>
        </is>
      </c>
      <c r="M205" t="inlineStr">
        <is>
          <t>Vetchling Commercial Bank</t>
        </is>
      </c>
      <c r="N205" t="inlineStr">
        <is>
          <t>BRGXTRSY</t>
        </is>
      </c>
      <c r="O205" t="inlineStr">
        <is>
          <t>NEW</t>
        </is>
      </c>
      <c r="Q205" t="inlineStr">
        <is>
          <t>GROSS</t>
        </is>
      </c>
    </row>
    <row r="206">
      <c r="A206" t="inlineStr">
        <is>
          <t>468341071172</t>
        </is>
      </c>
      <c r="B206" t="inlineStr">
        <is>
          <t>TCQ</t>
        </is>
      </c>
      <c r="C206" t="inlineStr">
        <is>
          <t>BRCC</t>
        </is>
      </c>
      <c r="D206" s="6" t="n">
        <v>46251</v>
      </c>
      <c r="E206" t="inlineStr">
        <is>
          <t>CR</t>
        </is>
      </c>
      <c r="F206" t="inlineStr">
        <is>
          <t>EUR</t>
        </is>
      </c>
      <c r="G206" s="7" t="n">
        <v>40594608.3</v>
      </c>
      <c r="H206" t="inlineStr">
        <is>
          <t>GBP</t>
        </is>
      </c>
      <c r="I206" s="7" t="n">
        <v>34830173.921</v>
      </c>
      <c r="J206" s="8" t="n">
        <v>46251.35556712963</v>
      </c>
      <c r="K206" t="inlineStr">
        <is>
          <t>CF260817 00200</t>
        </is>
      </c>
      <c r="L206" t="inlineStr">
        <is>
          <t>GL.NOSTRO.EUR.BRCC.009</t>
        </is>
      </c>
      <c r="M206" t="inlineStr">
        <is>
          <t>Umberton Clearing</t>
        </is>
      </c>
      <c r="N206" t="inlineStr">
        <is>
          <t>BRCCTRSY</t>
        </is>
      </c>
      <c r="O206" t="inlineStr">
        <is>
          <t>AMEND</t>
        </is>
      </c>
      <c r="Q206" t="inlineStr">
        <is>
          <t>NETTER</t>
        </is>
      </c>
    </row>
    <row r="207">
      <c r="A207" t="inlineStr">
        <is>
          <t>927538182434</t>
        </is>
      </c>
      <c r="B207" t="inlineStr">
        <is>
          <t>TCP</t>
        </is>
      </c>
      <c r="C207" t="inlineStr">
        <is>
          <t>BRNK</t>
        </is>
      </c>
      <c r="D207" s="6" t="n">
        <v>46251</v>
      </c>
      <c r="E207" t="inlineStr">
        <is>
          <t>DR</t>
        </is>
      </c>
      <c r="F207" t="inlineStr">
        <is>
          <t>CNY</t>
        </is>
      </c>
      <c r="G207" s="7" t="n">
        <v>-658820985.124</v>
      </c>
      <c r="H207" t="inlineStr">
        <is>
          <t>GBP</t>
        </is>
      </c>
      <c r="I207" s="7" t="n">
        <v>-71811487.37899999</v>
      </c>
      <c r="J207" s="8" t="n">
        <v>46251.72840277778</v>
      </c>
      <c r="K207" t="inlineStr">
        <is>
          <t>CF260817 00201</t>
        </is>
      </c>
      <c r="L207" t="inlineStr">
        <is>
          <t>GL.NOSTRO.CNY.BRNK.004</t>
        </is>
      </c>
      <c r="M207" t="inlineStr">
        <is>
          <t>Harrow Clearing</t>
        </is>
      </c>
      <c r="N207" t="inlineStr">
        <is>
          <t>BRNKTRSY</t>
        </is>
      </c>
      <c r="O207" t="inlineStr">
        <is>
          <t>NEW</t>
        </is>
      </c>
      <c r="Q207" t="inlineStr">
        <is>
          <t>GROSS</t>
        </is>
      </c>
    </row>
    <row r="208">
      <c r="A208" t="inlineStr">
        <is>
          <t>700726936098</t>
        </is>
      </c>
      <c r="B208" t="inlineStr">
        <is>
          <t>TCQ</t>
        </is>
      </c>
      <c r="C208" t="inlineStr">
        <is>
          <t>BRMD</t>
        </is>
      </c>
      <c r="D208" s="6" t="n">
        <v>46251</v>
      </c>
      <c r="E208" t="inlineStr">
        <is>
          <t>DR</t>
        </is>
      </c>
      <c r="F208" t="inlineStr">
        <is>
          <t>SAR</t>
        </is>
      </c>
      <c r="G208" s="7" t="n">
        <v>-3776552.526</v>
      </c>
      <c r="H208" t="inlineStr">
        <is>
          <t>GBP</t>
        </is>
      </c>
      <c r="I208" s="7" t="n">
        <v>-789299.478</v>
      </c>
      <c r="J208" s="8" t="n">
        <v>46251.38288194445</v>
      </c>
      <c r="K208" t="inlineStr">
        <is>
          <t>CF260817 00202</t>
        </is>
      </c>
      <c r="L208" t="inlineStr">
        <is>
          <t>GL.NOSTRO.SAR.BRMD.009</t>
        </is>
      </c>
      <c r="M208" t="inlineStr">
        <is>
          <t>Umberton Commercial Bank</t>
        </is>
      </c>
      <c r="N208" t="inlineStr">
        <is>
          <t>BRMD</t>
        </is>
      </c>
      <c r="O208" t="inlineStr">
        <is>
          <t>NEW</t>
        </is>
      </c>
      <c r="P208" t="inlineStr">
        <is>
          <t>NT26081700114</t>
        </is>
      </c>
      <c r="Q208" t="inlineStr">
        <is>
          <t>GROSS</t>
        </is>
      </c>
    </row>
    <row r="209">
      <c r="A209" t="inlineStr">
        <is>
          <t>150316825069</t>
        </is>
      </c>
      <c r="B209" t="inlineStr">
        <is>
          <t>TCQ</t>
        </is>
      </c>
      <c r="C209" t="inlineStr">
        <is>
          <t>BRGX</t>
        </is>
      </c>
      <c r="D209" s="6" t="n">
        <v>46251</v>
      </c>
      <c r="E209" t="inlineStr">
        <is>
          <t>CR</t>
        </is>
      </c>
      <c r="F209" t="inlineStr">
        <is>
          <t>GBP</t>
        </is>
      </c>
      <c r="G209" s="7" t="n">
        <v>13455164271.09</v>
      </c>
      <c r="H209" t="inlineStr">
        <is>
          <t>GBP</t>
        </is>
      </c>
      <c r="I209" s="7" t="n">
        <v>13455164271.09</v>
      </c>
      <c r="J209" s="8" t="n">
        <v>46251.39934027778</v>
      </c>
      <c r="K209" t="inlineStr">
        <is>
          <t>CF260817 00203</t>
        </is>
      </c>
      <c r="L209" t="inlineStr">
        <is>
          <t>GL.NOSTRO.GBP.BRGX.004</t>
        </is>
      </c>
      <c r="M209" t="inlineStr">
        <is>
          <t>Dunlin Trust</t>
        </is>
      </c>
      <c r="N209" t="inlineStr">
        <is>
          <t>BRGXTRSY</t>
        </is>
      </c>
      <c r="O209" t="inlineStr">
        <is>
          <t>NEW</t>
        </is>
      </c>
      <c r="Q209" t="inlineStr">
        <is>
          <t>NETTER</t>
        </is>
      </c>
    </row>
    <row r="210">
      <c r="A210" t="inlineStr">
        <is>
          <t>621381112674</t>
        </is>
      </c>
      <c r="B210" t="inlineStr">
        <is>
          <t>TCQ</t>
        </is>
      </c>
      <c r="C210" t="inlineStr">
        <is>
          <t>BRAA</t>
        </is>
      </c>
      <c r="D210" s="6" t="n">
        <v>46251</v>
      </c>
      <c r="E210" t="inlineStr">
        <is>
          <t>DR</t>
        </is>
      </c>
      <c r="F210" t="inlineStr">
        <is>
          <t>PLN</t>
        </is>
      </c>
      <c r="G210" s="7" t="n">
        <v>-65070109.529</v>
      </c>
      <c r="H210" t="inlineStr">
        <is>
          <t>GBP</t>
        </is>
      </c>
      <c r="I210" s="7" t="n">
        <v>-12883881.687</v>
      </c>
      <c r="J210" s="8" t="n">
        <v>46251.55819444444</v>
      </c>
      <c r="K210" t="inlineStr">
        <is>
          <t>CF260817 00204</t>
        </is>
      </c>
      <c r="L210" t="inlineStr">
        <is>
          <t>GL.NOSTRO.PLN.BRAA.008</t>
        </is>
      </c>
      <c r="M210" t="inlineStr">
        <is>
          <t>Cedar Commercial Bank</t>
        </is>
      </c>
      <c r="N210" t="inlineStr">
        <is>
          <t>BRAATRSY</t>
        </is>
      </c>
      <c r="O210" t="inlineStr">
        <is>
          <t>NEW</t>
        </is>
      </c>
      <c r="Q210" t="inlineStr">
        <is>
          <t>GROSS</t>
        </is>
      </c>
    </row>
    <row r="211">
      <c r="A211" t="inlineStr">
        <is>
          <t>171857983160</t>
        </is>
      </c>
      <c r="B211" t="inlineStr">
        <is>
          <t>TCG</t>
        </is>
      </c>
      <c r="C211" t="inlineStr">
        <is>
          <t>BRBX</t>
        </is>
      </c>
      <c r="D211" s="6" t="n">
        <v>46251</v>
      </c>
      <c r="E211" t="inlineStr">
        <is>
          <t>DR</t>
        </is>
      </c>
      <c r="F211" t="inlineStr">
        <is>
          <t>AUD</t>
        </is>
      </c>
      <c r="G211" s="7" t="n">
        <v>-701795938.693</v>
      </c>
      <c r="H211" t="inlineStr">
        <is>
          <t>GBP</t>
        </is>
      </c>
      <c r="I211" s="7" t="n">
        <v>-360021316.55</v>
      </c>
      <c r="J211" s="8" t="n">
        <v>46251.43726851852</v>
      </c>
      <c r="K211" t="inlineStr">
        <is>
          <t>CF260817 00205</t>
        </is>
      </c>
      <c r="L211" t="inlineStr">
        <is>
          <t>GL.NOSTRO.AUD.BRBX.006</t>
        </is>
      </c>
      <c r="M211" t="inlineStr">
        <is>
          <t>Wrenfield Settlement Bank</t>
        </is>
      </c>
      <c r="N211" t="inlineStr">
        <is>
          <t>BRBXTRSY</t>
        </is>
      </c>
      <c r="O211" t="inlineStr">
        <is>
          <t>NEW</t>
        </is>
      </c>
      <c r="P211" t="inlineStr">
        <is>
          <t>NT26081700101</t>
        </is>
      </c>
      <c r="Q211" t="inlineStr">
        <is>
          <t>NETTER</t>
        </is>
      </c>
    </row>
    <row r="212">
      <c r="A212" t="inlineStr">
        <is>
          <t>898317028833</t>
        </is>
      </c>
      <c r="B212" t="inlineStr">
        <is>
          <t>TCQ</t>
        </is>
      </c>
      <c r="C212" t="inlineStr">
        <is>
          <t>BRAA</t>
        </is>
      </c>
      <c r="D212" s="6" t="n">
        <v>46251</v>
      </c>
      <c r="E212" t="inlineStr">
        <is>
          <t>CR</t>
        </is>
      </c>
      <c r="F212" t="inlineStr">
        <is>
          <t>GBP</t>
        </is>
      </c>
      <c r="G212" s="7" t="n">
        <v>4639103.794</v>
      </c>
      <c r="H212" t="inlineStr">
        <is>
          <t>GBP</t>
        </is>
      </c>
      <c r="I212" s="7" t="n">
        <v>4639103.794</v>
      </c>
      <c r="J212" s="8" t="n">
        <v>46251.43240740741</v>
      </c>
      <c r="K212" t="inlineStr">
        <is>
          <t>CF260817 00206</t>
        </is>
      </c>
      <c r="L212" t="inlineStr">
        <is>
          <t>GL.NOSTRO.GBP.BRAA.001</t>
        </is>
      </c>
      <c r="M212" t="inlineStr">
        <is>
          <t>Zephyr Commercial Bank</t>
        </is>
      </c>
      <c r="N212" t="inlineStr">
        <is>
          <t>BRAACASH</t>
        </is>
      </c>
      <c r="O212" t="inlineStr">
        <is>
          <t>NEW</t>
        </is>
      </c>
      <c r="P212" t="inlineStr">
        <is>
          <t>NT26081700094</t>
        </is>
      </c>
      <c r="Q212" t="inlineStr">
        <is>
          <t>INTERNAL</t>
        </is>
      </c>
    </row>
    <row r="213">
      <c r="A213" t="inlineStr">
        <is>
          <t>953625291146</t>
        </is>
      </c>
      <c r="B213" t="inlineStr">
        <is>
          <t>TCX</t>
        </is>
      </c>
      <c r="C213" t="inlineStr">
        <is>
          <t>BRGL</t>
        </is>
      </c>
      <c r="D213" s="6" t="n">
        <v>46251</v>
      </c>
      <c r="E213" t="inlineStr">
        <is>
          <t>DR</t>
        </is>
      </c>
      <c r="F213" t="inlineStr">
        <is>
          <t>USD</t>
        </is>
      </c>
      <c r="G213" s="7" t="n">
        <v>-171310523.685</v>
      </c>
      <c r="H213" t="inlineStr">
        <is>
          <t>GBP</t>
        </is>
      </c>
      <c r="I213" s="7" t="n">
        <v>-134307450.569</v>
      </c>
      <c r="J213" s="8" t="n">
        <v>46251.75509259259</v>
      </c>
      <c r="K213" t="inlineStr">
        <is>
          <t>CF260817 00207</t>
        </is>
      </c>
      <c r="L213" t="inlineStr">
        <is>
          <t>GL.NOSTRO.USD.BRGL.009</t>
        </is>
      </c>
      <c r="M213" t="inlineStr">
        <is>
          <t>Mallow Commercial Bank</t>
        </is>
      </c>
      <c r="N213" t="inlineStr">
        <is>
          <t>BRGLTRSY</t>
        </is>
      </c>
      <c r="O213" t="inlineStr">
        <is>
          <t>NEW</t>
        </is>
      </c>
      <c r="Q213" t="inlineStr">
        <is>
          <t>GROSS</t>
        </is>
      </c>
    </row>
    <row r="214">
      <c r="A214" t="inlineStr">
        <is>
          <t>824840705580</t>
        </is>
      </c>
      <c r="B214" t="inlineStr">
        <is>
          <t>TCC</t>
        </is>
      </c>
      <c r="C214" t="inlineStr">
        <is>
          <t>BRGL</t>
        </is>
      </c>
      <c r="D214" s="6" t="n">
        <v>46251</v>
      </c>
      <c r="E214" t="inlineStr">
        <is>
          <t>CR</t>
        </is>
      </c>
      <c r="F214" t="inlineStr">
        <is>
          <t>EUR</t>
        </is>
      </c>
      <c r="G214" s="7" t="n">
        <v>6440015.776</v>
      </c>
      <c r="H214" t="inlineStr">
        <is>
          <t>GBP</t>
        </is>
      </c>
      <c r="I214" s="7" t="n">
        <v>5525533.536</v>
      </c>
      <c r="J214" s="8" t="n">
        <v>46251.63177083333</v>
      </c>
      <c r="K214" t="inlineStr">
        <is>
          <t>CF260817 00208</t>
        </is>
      </c>
      <c r="L214" t="inlineStr">
        <is>
          <t>GL.NOSTRO.EUR.BRGL.003</t>
        </is>
      </c>
      <c r="M214" t="inlineStr">
        <is>
          <t>Wrenfield Commercial Bank</t>
        </is>
      </c>
      <c r="N214" t="inlineStr">
        <is>
          <t>BRGL</t>
        </is>
      </c>
      <c r="O214" t="inlineStr">
        <is>
          <t>NEW</t>
        </is>
      </c>
      <c r="Q214" t="inlineStr">
        <is>
          <t>NETTER</t>
        </is>
      </c>
    </row>
    <row r="215">
      <c r="A215" t="inlineStr">
        <is>
          <t>171857983160</t>
        </is>
      </c>
      <c r="B215" t="inlineStr">
        <is>
          <t>TCQ</t>
        </is>
      </c>
      <c r="C215" t="inlineStr">
        <is>
          <t>BRBX</t>
        </is>
      </c>
      <c r="D215" s="6" t="n">
        <v>46251</v>
      </c>
      <c r="E215" t="inlineStr">
        <is>
          <t>CR</t>
        </is>
      </c>
      <c r="F215" t="inlineStr">
        <is>
          <t>AUD</t>
        </is>
      </c>
      <c r="G215" s="7" t="n">
        <v>71573041.031</v>
      </c>
      <c r="H215" t="inlineStr">
        <is>
          <t>GBP</t>
        </is>
      </c>
      <c r="I215" s="7" t="n">
        <v>36716970.049</v>
      </c>
      <c r="J215" s="8" t="n">
        <v>46251.44076388889</v>
      </c>
      <c r="K215" t="inlineStr">
        <is>
          <t>CF260817 00209</t>
        </is>
      </c>
      <c r="L215" t="inlineStr">
        <is>
          <t>GL.NOSTRO.AUD.BRBX.003</t>
        </is>
      </c>
      <c r="M215" t="inlineStr">
        <is>
          <t>Pinehurst Settlement Bank</t>
        </is>
      </c>
      <c r="N215" t="inlineStr">
        <is>
          <t>BRBXMM</t>
        </is>
      </c>
      <c r="O215" t="inlineStr">
        <is>
          <t>NEW</t>
        </is>
      </c>
      <c r="Q215" t="inlineStr">
        <is>
          <t>NETTER</t>
        </is>
      </c>
    </row>
    <row r="216">
      <c r="A216" t="inlineStr">
        <is>
          <t>284925023085</t>
        </is>
      </c>
      <c r="B216" t="inlineStr">
        <is>
          <t>TCG</t>
        </is>
      </c>
      <c r="C216" t="inlineStr">
        <is>
          <t>BRMD</t>
        </is>
      </c>
      <c r="D216" s="6" t="n">
        <v>46251</v>
      </c>
      <c r="E216" t="inlineStr">
        <is>
          <t>DR</t>
        </is>
      </c>
      <c r="F216" t="inlineStr">
        <is>
          <t>MXN</t>
        </is>
      </c>
      <c r="G216" s="7" t="n">
        <v>-5922680.421</v>
      </c>
      <c r="H216" t="inlineStr">
        <is>
          <t>GBP</t>
        </is>
      </c>
      <c r="I216" s="7" t="n">
        <v>-253490.722</v>
      </c>
      <c r="J216" s="8" t="n">
        <v>46251.36265046296</v>
      </c>
      <c r="K216" t="inlineStr">
        <is>
          <t>CF260817 00210</t>
        </is>
      </c>
      <c r="L216" t="inlineStr">
        <is>
          <t>GL.NOSTRO.MXN.BRMD.008</t>
        </is>
      </c>
      <c r="M216" t="inlineStr">
        <is>
          <t>Dunlin Bank</t>
        </is>
      </c>
      <c r="N216" t="inlineStr">
        <is>
          <t>BRMDTRSY</t>
        </is>
      </c>
      <c r="O216" t="inlineStr">
        <is>
          <t>NEW</t>
        </is>
      </c>
      <c r="Q216" t="inlineStr">
        <is>
          <t>INTERNAL</t>
        </is>
      </c>
    </row>
    <row r="217">
      <c r="A217" t="inlineStr">
        <is>
          <t>824840705580</t>
        </is>
      </c>
      <c r="B217" t="inlineStr">
        <is>
          <t>TCG</t>
        </is>
      </c>
      <c r="C217" t="inlineStr">
        <is>
          <t>BRGL</t>
        </is>
      </c>
      <c r="D217" s="6" t="n">
        <v>46251</v>
      </c>
      <c r="E217" t="inlineStr">
        <is>
          <t>DR</t>
        </is>
      </c>
      <c r="F217" t="inlineStr">
        <is>
          <t>EUR</t>
        </is>
      </c>
      <c r="G217" s="7" t="n">
        <v>-174515774.043</v>
      </c>
      <c r="H217" t="inlineStr">
        <is>
          <t>GBP</t>
        </is>
      </c>
      <c r="I217" s="7" t="n">
        <v>-149734534.129</v>
      </c>
      <c r="J217" s="8" t="n">
        <v>46251.4224537037</v>
      </c>
      <c r="K217" t="inlineStr">
        <is>
          <t>CF260817 00211</t>
        </is>
      </c>
      <c r="L217" t="inlineStr">
        <is>
          <t>GL.NOSTRO.EUR.BRGL.008</t>
        </is>
      </c>
      <c r="M217" t="inlineStr">
        <is>
          <t>Wrenfield Commercial Bank</t>
        </is>
      </c>
      <c r="N217" t="inlineStr">
        <is>
          <t>BRGLMM</t>
        </is>
      </c>
      <c r="O217" t="inlineStr">
        <is>
          <t>NEW</t>
        </is>
      </c>
      <c r="P217" t="inlineStr">
        <is>
          <t>NT26081700075</t>
        </is>
      </c>
      <c r="Q217" t="inlineStr">
        <is>
          <t>NETTER</t>
        </is>
      </c>
    </row>
    <row r="218">
      <c r="A218" t="inlineStr">
        <is>
          <t>113829985108</t>
        </is>
      </c>
      <c r="B218" t="inlineStr">
        <is>
          <t>TCP</t>
        </is>
      </c>
      <c r="C218" t="inlineStr">
        <is>
          <t>BRGL</t>
        </is>
      </c>
      <c r="D218" s="6" t="n">
        <v>46251</v>
      </c>
      <c r="E218" t="inlineStr">
        <is>
          <t>CR</t>
        </is>
      </c>
      <c r="F218" t="inlineStr">
        <is>
          <t>EUR</t>
        </is>
      </c>
      <c r="G218" s="7" t="n">
        <v>305914.448</v>
      </c>
      <c r="H218" t="inlineStr">
        <is>
          <t>GBP</t>
        </is>
      </c>
      <c r="I218" s="7" t="n">
        <v>262474.596</v>
      </c>
      <c r="J218" s="8" t="n">
        <v>46251.35914351852</v>
      </c>
      <c r="K218" t="inlineStr">
        <is>
          <t>CF260817 00212</t>
        </is>
      </c>
      <c r="L218" t="inlineStr">
        <is>
          <t>GL.NOSTRO.EUR.BRGL.009</t>
        </is>
      </c>
      <c r="M218" t="inlineStr">
        <is>
          <t>Vetchling Bank</t>
        </is>
      </c>
      <c r="N218" t="inlineStr">
        <is>
          <t>BRGL</t>
        </is>
      </c>
      <c r="O218" t="inlineStr">
        <is>
          <t>NEW</t>
        </is>
      </c>
      <c r="Q218" t="inlineStr">
        <is>
          <t>NETTER</t>
        </is>
      </c>
    </row>
    <row r="219">
      <c r="A219" t="inlineStr">
        <is>
          <t>927538182434</t>
        </is>
      </c>
      <c r="B219" t="inlineStr">
        <is>
          <t>TCC</t>
        </is>
      </c>
      <c r="C219" t="inlineStr">
        <is>
          <t>BRNK</t>
        </is>
      </c>
      <c r="D219" s="6" t="n">
        <v>46251</v>
      </c>
      <c r="E219" t="inlineStr">
        <is>
          <t>DR</t>
        </is>
      </c>
      <c r="F219" t="inlineStr">
        <is>
          <t>CNY</t>
        </is>
      </c>
      <c r="G219" s="7" t="n">
        <v>-1137028.477</v>
      </c>
      <c r="H219" t="inlineStr">
        <is>
          <t>GBP</t>
        </is>
      </c>
      <c r="I219" s="7" t="n">
        <v>-123936.104</v>
      </c>
      <c r="J219" s="8" t="n">
        <v>46251.6122800926</v>
      </c>
      <c r="K219" t="inlineStr">
        <is>
          <t>CF260817 00213</t>
        </is>
      </c>
      <c r="L219" t="inlineStr">
        <is>
          <t>GL.NOSTRO.CNY.BRNK.006</t>
        </is>
      </c>
      <c r="M219" t="inlineStr">
        <is>
          <t>Sablewood Clearing</t>
        </is>
      </c>
      <c r="N219" t="inlineStr">
        <is>
          <t>BRNK</t>
        </is>
      </c>
      <c r="O219" t="inlineStr">
        <is>
          <t>NEW</t>
        </is>
      </c>
      <c r="Q219" t="inlineStr">
        <is>
          <t>NETTER</t>
        </is>
      </c>
    </row>
    <row r="220">
      <c r="A220" t="inlineStr">
        <is>
          <t>910703979141</t>
        </is>
      </c>
      <c r="B220" t="inlineStr">
        <is>
          <t>TCG</t>
        </is>
      </c>
      <c r="C220" t="inlineStr">
        <is>
          <t>BRCC</t>
        </is>
      </c>
      <c r="D220" s="6" t="n">
        <v>46251</v>
      </c>
      <c r="E220" t="inlineStr">
        <is>
          <t>CR</t>
        </is>
      </c>
      <c r="F220" t="inlineStr">
        <is>
          <t>CHF</t>
        </is>
      </c>
      <c r="G220" s="7" t="n">
        <v>52064784.116</v>
      </c>
      <c r="H220" t="inlineStr">
        <is>
          <t>GBP</t>
        </is>
      </c>
      <c r="I220" s="7" t="n">
        <v>46702111.352</v>
      </c>
      <c r="J220" s="8" t="n">
        <v>46251.75440972222</v>
      </c>
      <c r="K220" t="inlineStr">
        <is>
          <t>CF260817 00214</t>
        </is>
      </c>
      <c r="L220" t="inlineStr">
        <is>
          <t>GL.NOSTRO.CHF.BRCC.005</t>
        </is>
      </c>
      <c r="M220" t="inlineStr">
        <is>
          <t>Elmwood Settlement Bank</t>
        </is>
      </c>
      <c r="N220" t="inlineStr">
        <is>
          <t>BRCCMM</t>
        </is>
      </c>
      <c r="O220" t="inlineStr">
        <is>
          <t>NEW</t>
        </is>
      </c>
      <c r="P220" t="inlineStr">
        <is>
          <t>NT26081700094</t>
        </is>
      </c>
      <c r="Q220" t="inlineStr">
        <is>
          <t>INTERNAL</t>
        </is>
      </c>
    </row>
    <row r="221">
      <c r="A221" t="inlineStr">
        <is>
          <t>150316825069</t>
        </is>
      </c>
      <c r="B221" t="inlineStr">
        <is>
          <t>TCC</t>
        </is>
      </c>
      <c r="C221" t="inlineStr">
        <is>
          <t>BRGX</t>
        </is>
      </c>
      <c r="D221" s="6" t="n">
        <v>46251</v>
      </c>
      <c r="E221" t="inlineStr">
        <is>
          <t>CR</t>
        </is>
      </c>
      <c r="F221" t="inlineStr">
        <is>
          <t>GBP</t>
        </is>
      </c>
      <c r="G221" s="7" t="n">
        <v>3.117</v>
      </c>
      <c r="H221" t="inlineStr">
        <is>
          <t>GBP</t>
        </is>
      </c>
      <c r="I221" s="7" t="n">
        <v>3.117</v>
      </c>
      <c r="J221" s="8" t="n">
        <v>46251.36502314815</v>
      </c>
      <c r="K221" t="inlineStr">
        <is>
          <t>CF260817 00215</t>
        </is>
      </c>
      <c r="L221" t="inlineStr">
        <is>
          <t>GL.NOSTRO.GBP.BRGX.006</t>
        </is>
      </c>
      <c r="M221" t="inlineStr">
        <is>
          <t>Vetchling Settlement Bank</t>
        </is>
      </c>
      <c r="N221" t="inlineStr">
        <is>
          <t>BRGXCASH</t>
        </is>
      </c>
      <c r="O221" t="inlineStr">
        <is>
          <t>NEW</t>
        </is>
      </c>
      <c r="Q221" t="inlineStr">
        <is>
          <t>INTERNAL</t>
        </is>
      </c>
    </row>
    <row r="222">
      <c r="A222" t="inlineStr">
        <is>
          <t>968942362772</t>
        </is>
      </c>
      <c r="B222" t="inlineStr">
        <is>
          <t>TCG</t>
        </is>
      </c>
      <c r="C222" t="inlineStr">
        <is>
          <t>BRYG</t>
        </is>
      </c>
      <c r="D222" s="6" t="n">
        <v>46251</v>
      </c>
      <c r="E222" t="inlineStr">
        <is>
          <t>CR</t>
        </is>
      </c>
      <c r="F222" t="inlineStr">
        <is>
          <t>EUR</t>
        </is>
      </c>
      <c r="G222" s="7" t="n">
        <v>2353680.647</v>
      </c>
      <c r="H222" t="inlineStr">
        <is>
          <t>GBP</t>
        </is>
      </c>
      <c r="I222" s="7" t="n">
        <v>2019457.995</v>
      </c>
      <c r="J222" s="8" t="n">
        <v>46251.56457175926</v>
      </c>
      <c r="K222" t="inlineStr">
        <is>
          <t>CF260817 00216</t>
        </is>
      </c>
      <c r="L222" t="inlineStr">
        <is>
          <t>GL.NOSTRO.EUR.BRYG.006</t>
        </is>
      </c>
      <c r="M222" t="inlineStr">
        <is>
          <t>Granite Clearing</t>
        </is>
      </c>
      <c r="N222" t="inlineStr">
        <is>
          <t>BRYGMM</t>
        </is>
      </c>
      <c r="O222" t="inlineStr">
        <is>
          <t>NEW</t>
        </is>
      </c>
      <c r="P222" t="inlineStr">
        <is>
          <t>NT26081700086</t>
        </is>
      </c>
      <c r="Q222" t="inlineStr">
        <is>
          <t>NETTER</t>
        </is>
      </c>
    </row>
    <row r="223">
      <c r="A223" t="inlineStr">
        <is>
          <t>468341071172</t>
        </is>
      </c>
      <c r="B223" t="inlineStr">
        <is>
          <t>TCQ</t>
        </is>
      </c>
      <c r="C223" t="inlineStr">
        <is>
          <t>BRCC</t>
        </is>
      </c>
      <c r="D223" s="6" t="n">
        <v>46251</v>
      </c>
      <c r="E223" t="inlineStr">
        <is>
          <t>CR</t>
        </is>
      </c>
      <c r="F223" t="inlineStr">
        <is>
          <t>EUR</t>
        </is>
      </c>
      <c r="G223" s="7" t="n">
        <v>17816820.923</v>
      </c>
      <c r="H223" t="inlineStr">
        <is>
          <t>GBP</t>
        </is>
      </c>
      <c r="I223" s="7" t="n">
        <v>15286832.352</v>
      </c>
      <c r="J223" s="8" t="n">
        <v>46251.34403935185</v>
      </c>
      <c r="K223" t="inlineStr">
        <is>
          <t>CF260817 00217</t>
        </is>
      </c>
      <c r="L223" t="inlineStr">
        <is>
          <t>GL.NOSTRO.EUR.BRCC.008</t>
        </is>
      </c>
      <c r="M223" t="inlineStr">
        <is>
          <t>Redstart Trust</t>
        </is>
      </c>
      <c r="N223" t="inlineStr">
        <is>
          <t>BRCCTRSY</t>
        </is>
      </c>
      <c r="O223" t="inlineStr">
        <is>
          <t>NEW</t>
        </is>
      </c>
      <c r="P223" t="inlineStr">
        <is>
          <t>NT26081700100</t>
        </is>
      </c>
      <c r="Q223" t="inlineStr">
        <is>
          <t>NETTER</t>
        </is>
      </c>
    </row>
    <row r="224">
      <c r="A224" t="inlineStr">
        <is>
          <t>120047354818</t>
        </is>
      </c>
      <c r="B224" t="inlineStr">
        <is>
          <t>TCC</t>
        </is>
      </c>
      <c r="C224" t="inlineStr">
        <is>
          <t>BRNK</t>
        </is>
      </c>
      <c r="D224" s="6" t="n">
        <v>46251</v>
      </c>
      <c r="E224" t="inlineStr">
        <is>
          <t>DR</t>
        </is>
      </c>
      <c r="F224" t="inlineStr">
        <is>
          <t>USD</t>
        </is>
      </c>
      <c r="G224" s="7" t="n">
        <v>-90076907.807</v>
      </c>
      <c r="H224" t="inlineStr">
        <is>
          <t>GBP</t>
        </is>
      </c>
      <c r="I224" s="7" t="n">
        <v>-70620295.721</v>
      </c>
      <c r="J224" s="8" t="n">
        <v>46251.63048611111</v>
      </c>
      <c r="K224" t="inlineStr">
        <is>
          <t>CF260817 00218</t>
        </is>
      </c>
      <c r="L224" t="inlineStr">
        <is>
          <t>GL.NOSTRO.USD.BRNK.008</t>
        </is>
      </c>
      <c r="M224" t="inlineStr">
        <is>
          <t>Redstart Commercial Bank</t>
        </is>
      </c>
      <c r="N224" t="inlineStr">
        <is>
          <t>BRNKTRSY</t>
        </is>
      </c>
      <c r="O224" t="inlineStr">
        <is>
          <t>NEW</t>
        </is>
      </c>
      <c r="Q224" t="inlineStr">
        <is>
          <t>NETTER</t>
        </is>
      </c>
    </row>
    <row r="225">
      <c r="A225" t="inlineStr">
        <is>
          <t>499062838623</t>
        </is>
      </c>
      <c r="B225" t="inlineStr">
        <is>
          <t>TCP</t>
        </is>
      </c>
      <c r="C225" t="inlineStr">
        <is>
          <t>BRBX</t>
        </is>
      </c>
      <c r="D225" s="6" t="n">
        <v>46251</v>
      </c>
      <c r="E225" t="inlineStr">
        <is>
          <t>DR</t>
        </is>
      </c>
      <c r="F225" t="inlineStr">
        <is>
          <t>USD</t>
        </is>
      </c>
      <c r="G225" s="7" t="n">
        <v>-427413.704</v>
      </c>
      <c r="H225" t="inlineStr">
        <is>
          <t>GBP</t>
        </is>
      </c>
      <c r="I225" s="7" t="n">
        <v>-335092.344</v>
      </c>
      <c r="J225" s="8" t="n">
        <v>46251.66034722222</v>
      </c>
      <c r="K225" t="inlineStr">
        <is>
          <t>CF260817 00219</t>
        </is>
      </c>
      <c r="L225" t="inlineStr">
        <is>
          <t>GL.NOSTRO.USD.BRBX.009</t>
        </is>
      </c>
      <c r="M225" t="inlineStr">
        <is>
          <t>Ironbark Trust</t>
        </is>
      </c>
      <c r="N225" t="inlineStr">
        <is>
          <t>BRBXTRSY</t>
        </is>
      </c>
      <c r="O225" t="inlineStr">
        <is>
          <t>NEW</t>
        </is>
      </c>
      <c r="P225" t="inlineStr">
        <is>
          <t>NT26081700096</t>
        </is>
      </c>
      <c r="Q225" t="inlineStr">
        <is>
          <t>GROSS</t>
        </is>
      </c>
    </row>
    <row r="226">
      <c r="A226" t="inlineStr">
        <is>
          <t>953625291146</t>
        </is>
      </c>
      <c r="B226" t="inlineStr">
        <is>
          <t>TCQ</t>
        </is>
      </c>
      <c r="C226" t="inlineStr">
        <is>
          <t>BRGL</t>
        </is>
      </c>
      <c r="D226" s="6" t="n">
        <v>46251</v>
      </c>
      <c r="E226" t="inlineStr">
        <is>
          <t>DR</t>
        </is>
      </c>
      <c r="F226" t="inlineStr">
        <is>
          <t>USD</t>
        </is>
      </c>
      <c r="G226" s="7" t="n">
        <v>-24118471.571</v>
      </c>
      <c r="H226" t="inlineStr">
        <is>
          <t>GBP</t>
        </is>
      </c>
      <c r="I226" s="7" t="n">
        <v>-18908881.712</v>
      </c>
      <c r="J226" s="8" t="n">
        <v>46251.53715277778</v>
      </c>
      <c r="K226" t="inlineStr">
        <is>
          <t>CF260817 00220</t>
        </is>
      </c>
      <c r="L226" t="inlineStr">
        <is>
          <t>GL.NOSTRO.USD.BRGL.006</t>
        </is>
      </c>
      <c r="M226" t="inlineStr">
        <is>
          <t>Fernway Settlement Bank</t>
        </is>
      </c>
      <c r="N226" t="inlineStr">
        <is>
          <t>BRGLTRSY</t>
        </is>
      </c>
      <c r="O226" t="inlineStr">
        <is>
          <t>AMEND</t>
        </is>
      </c>
      <c r="P226" t="inlineStr">
        <is>
          <t>NT26081700082</t>
        </is>
      </c>
      <c r="Q226" t="inlineStr">
        <is>
          <t>GROSS</t>
        </is>
      </c>
    </row>
    <row r="227">
      <c r="A227" t="inlineStr">
        <is>
          <t>359365220160</t>
        </is>
      </c>
      <c r="B227" t="inlineStr">
        <is>
          <t>TCX</t>
        </is>
      </c>
      <c r="C227" t="inlineStr">
        <is>
          <t>BRGX</t>
        </is>
      </c>
      <c r="D227" s="6" t="n">
        <v>46251</v>
      </c>
      <c r="E227" t="inlineStr">
        <is>
          <t>CR</t>
        </is>
      </c>
      <c r="F227" t="inlineStr">
        <is>
          <t>EUR</t>
        </is>
      </c>
      <c r="G227" s="7" t="n">
        <v>600921.024</v>
      </c>
      <c r="H227" t="inlineStr">
        <is>
          <t>GBP</t>
        </is>
      </c>
      <c r="I227" s="7" t="n">
        <v>515590.239</v>
      </c>
      <c r="J227" s="8" t="n">
        <v>46251.69744212963</v>
      </c>
      <c r="K227" t="inlineStr">
        <is>
          <t>CF260817 00221</t>
        </is>
      </c>
      <c r="L227" t="inlineStr">
        <is>
          <t>GL.NOSTRO.EUR.BRGX.005</t>
        </is>
      </c>
      <c r="M227" t="inlineStr">
        <is>
          <t>Sablewood Bank</t>
        </is>
      </c>
      <c r="N227" t="inlineStr">
        <is>
          <t>BRGXTRSY</t>
        </is>
      </c>
      <c r="O227" t="inlineStr">
        <is>
          <t>AMEND</t>
        </is>
      </c>
      <c r="Q227" t="inlineStr">
        <is>
          <t>NETTER</t>
        </is>
      </c>
    </row>
    <row r="228">
      <c r="A228" t="inlineStr">
        <is>
          <t>953625291146</t>
        </is>
      </c>
      <c r="B228" t="inlineStr">
        <is>
          <t>TCG</t>
        </is>
      </c>
      <c r="C228" t="inlineStr">
        <is>
          <t>BRGL</t>
        </is>
      </c>
      <c r="D228" s="6" t="n">
        <v>46251</v>
      </c>
      <c r="E228" t="inlineStr">
        <is>
          <t>DR</t>
        </is>
      </c>
      <c r="F228" t="inlineStr">
        <is>
          <t>USD</t>
        </is>
      </c>
      <c r="G228" s="7" t="n">
        <v>-11787565.274</v>
      </c>
      <c r="H228" t="inlineStr">
        <is>
          <t>GBP</t>
        </is>
      </c>
      <c r="I228" s="7" t="n">
        <v>-9241451.175000001</v>
      </c>
      <c r="J228" s="8" t="n">
        <v>46251.61327546297</v>
      </c>
      <c r="K228" t="inlineStr">
        <is>
          <t>CF260817 00222</t>
        </is>
      </c>
      <c r="L228" t="inlineStr">
        <is>
          <t>GL.NOSTRO.USD.BRGL.008</t>
        </is>
      </c>
      <c r="M228" t="inlineStr">
        <is>
          <t>Dunlin Bank</t>
        </is>
      </c>
      <c r="N228" t="inlineStr">
        <is>
          <t>BRGL</t>
        </is>
      </c>
      <c r="O228" t="inlineStr">
        <is>
          <t>NEW</t>
        </is>
      </c>
      <c r="Q228" t="inlineStr">
        <is>
          <t>GROSS</t>
        </is>
      </c>
    </row>
    <row r="229">
      <c r="A229" t="inlineStr">
        <is>
          <t>953625291146</t>
        </is>
      </c>
      <c r="B229" t="inlineStr">
        <is>
          <t>TCG</t>
        </is>
      </c>
      <c r="C229" t="inlineStr">
        <is>
          <t>BRGL</t>
        </is>
      </c>
      <c r="D229" s="6" t="n">
        <v>46251</v>
      </c>
      <c r="E229" t="inlineStr">
        <is>
          <t>DR</t>
        </is>
      </c>
      <c r="F229" t="inlineStr">
        <is>
          <t>USD</t>
        </is>
      </c>
      <c r="G229" s="7" t="n">
        <v>-7127227.455</v>
      </c>
      <c r="H229" t="inlineStr">
        <is>
          <t>GBP</t>
        </is>
      </c>
      <c r="I229" s="7" t="n">
        <v>-5587746.325</v>
      </c>
      <c r="J229" s="8" t="n">
        <v>46251.59903935185</v>
      </c>
      <c r="K229" t="inlineStr">
        <is>
          <t>CF260817 00223</t>
        </is>
      </c>
      <c r="L229" t="inlineStr">
        <is>
          <t>GL.NOSTRO.USD.BRGL.004</t>
        </is>
      </c>
      <c r="M229" t="inlineStr">
        <is>
          <t>Umberton Clearing</t>
        </is>
      </c>
      <c r="N229" t="inlineStr">
        <is>
          <t>BRGLMM</t>
        </is>
      </c>
      <c r="O229" t="inlineStr">
        <is>
          <t>NEW</t>
        </is>
      </c>
      <c r="P229" t="inlineStr">
        <is>
          <t>NT26081700113</t>
        </is>
      </c>
      <c r="Q229" t="inlineStr">
        <is>
          <t>GROSS</t>
        </is>
      </c>
    </row>
    <row r="230">
      <c r="A230" t="inlineStr">
        <is>
          <t>284925023085</t>
        </is>
      </c>
      <c r="B230" t="inlineStr">
        <is>
          <t>TCG</t>
        </is>
      </c>
      <c r="C230" t="inlineStr">
        <is>
          <t>BRMD</t>
        </is>
      </c>
      <c r="D230" s="6" t="n">
        <v>46251</v>
      </c>
      <c r="E230" t="inlineStr">
        <is>
          <t>DR</t>
        </is>
      </c>
      <c r="F230" t="inlineStr">
        <is>
          <t>MXN</t>
        </is>
      </c>
      <c r="G230" s="7" t="n">
        <v>-2558699.967</v>
      </c>
      <c r="H230" t="inlineStr">
        <is>
          <t>GBP</t>
        </is>
      </c>
      <c r="I230" s="7" t="n">
        <v>-109512.359</v>
      </c>
      <c r="J230" s="8" t="n">
        <v>46251.46135416667</v>
      </c>
      <c r="K230" t="inlineStr">
        <is>
          <t>CF260817 00224</t>
        </is>
      </c>
      <c r="L230" t="inlineStr">
        <is>
          <t>GL.NOSTRO.MXN.BRMD.005</t>
        </is>
      </c>
      <c r="M230" t="inlineStr">
        <is>
          <t>Wrenfield Settlement Bank</t>
        </is>
      </c>
      <c r="N230" t="inlineStr">
        <is>
          <t>BRMDMM</t>
        </is>
      </c>
      <c r="O230" t="inlineStr">
        <is>
          <t>AMEND</t>
        </is>
      </c>
      <c r="P230" t="inlineStr">
        <is>
          <t>NT26081700078</t>
        </is>
      </c>
      <c r="Q230" t="inlineStr">
        <is>
          <t>NETTER</t>
        </is>
      </c>
    </row>
    <row r="231">
      <c r="A231" t="inlineStr">
        <is>
          <t>898317028833</t>
        </is>
      </c>
      <c r="B231" t="inlineStr">
        <is>
          <t>TCQ</t>
        </is>
      </c>
      <c r="C231" t="inlineStr">
        <is>
          <t>BRAA</t>
        </is>
      </c>
      <c r="D231" s="6" t="n">
        <v>46251</v>
      </c>
      <c r="E231" t="inlineStr">
        <is>
          <t>DR</t>
        </is>
      </c>
      <c r="F231" t="inlineStr">
        <is>
          <t>GBP</t>
        </is>
      </c>
      <c r="G231" s="7" t="n">
        <v>-203574.461</v>
      </c>
      <c r="H231" t="inlineStr">
        <is>
          <t>GBP</t>
        </is>
      </c>
      <c r="I231" s="7" t="n">
        <v>-203574.461</v>
      </c>
      <c r="J231" s="8" t="n">
        <v>46251.39196759259</v>
      </c>
      <c r="K231" t="inlineStr">
        <is>
          <t>CF260817 00225</t>
        </is>
      </c>
      <c r="L231" t="inlineStr">
        <is>
          <t>GL.NOSTRO.GBP.BRAA.007</t>
        </is>
      </c>
      <c r="M231" t="inlineStr">
        <is>
          <t>Cedar Commercial Bank</t>
        </is>
      </c>
      <c r="N231" t="inlineStr">
        <is>
          <t>BRAATRSY</t>
        </is>
      </c>
      <c r="O231" t="inlineStr">
        <is>
          <t>NEW</t>
        </is>
      </c>
      <c r="P231" t="inlineStr">
        <is>
          <t>NT26081700088</t>
        </is>
      </c>
      <c r="Q231" t="inlineStr">
        <is>
          <t>NETTER</t>
        </is>
      </c>
    </row>
    <row r="232">
      <c r="A232" t="inlineStr">
        <is>
          <t>898317028833</t>
        </is>
      </c>
      <c r="B232" t="inlineStr">
        <is>
          <t>TCQ</t>
        </is>
      </c>
      <c r="C232" t="inlineStr">
        <is>
          <t>BRAA</t>
        </is>
      </c>
      <c r="D232" s="6" t="n">
        <v>46251</v>
      </c>
      <c r="E232" t="inlineStr">
        <is>
          <t>DR</t>
        </is>
      </c>
      <c r="F232" t="inlineStr">
        <is>
          <t>GBP</t>
        </is>
      </c>
      <c r="G232" s="7" t="n">
        <v>-203407.624</v>
      </c>
      <c r="H232" t="inlineStr">
        <is>
          <t>GBP</t>
        </is>
      </c>
      <c r="I232" s="7" t="n">
        <v>-203407.624</v>
      </c>
      <c r="J232" s="8" t="n">
        <v>46251.44440972222</v>
      </c>
      <c r="K232" t="inlineStr">
        <is>
          <t>CF260817 00226</t>
        </is>
      </c>
      <c r="L232" t="inlineStr">
        <is>
          <t>GL.NOSTRO.GBP.BRAA.002</t>
        </is>
      </c>
      <c r="M232" t="inlineStr">
        <is>
          <t>Sablewood Bank</t>
        </is>
      </c>
      <c r="N232" t="inlineStr">
        <is>
          <t>BRAACASH</t>
        </is>
      </c>
      <c r="O232" t="inlineStr">
        <is>
          <t>NEW</t>
        </is>
      </c>
      <c r="P232" t="inlineStr">
        <is>
          <t>NT26081700112</t>
        </is>
      </c>
      <c r="Q232" t="inlineStr">
        <is>
          <t>NETTER</t>
        </is>
      </c>
    </row>
    <row r="233">
      <c r="A233" t="inlineStr">
        <is>
          <t>150316825069</t>
        </is>
      </c>
      <c r="B233" t="inlineStr">
        <is>
          <t>TCX</t>
        </is>
      </c>
      <c r="C233" t="inlineStr">
        <is>
          <t>BRGX</t>
        </is>
      </c>
      <c r="D233" s="6" t="n">
        <v>46251</v>
      </c>
      <c r="E233" t="inlineStr">
        <is>
          <t>DR</t>
        </is>
      </c>
      <c r="F233" t="inlineStr">
        <is>
          <t>GBP</t>
        </is>
      </c>
      <c r="G233" s="7" t="n">
        <v>-434451576.855</v>
      </c>
      <c r="H233" t="inlineStr">
        <is>
          <t>GBP</t>
        </is>
      </c>
      <c r="I233" s="7" t="n">
        <v>-434451576.855</v>
      </c>
      <c r="J233" s="8" t="n">
        <v>46251.55017361111</v>
      </c>
      <c r="K233" t="inlineStr">
        <is>
          <t>CF260817 00227</t>
        </is>
      </c>
      <c r="L233" t="inlineStr">
        <is>
          <t>GL.NOSTRO.GBP.BRGX.002</t>
        </is>
      </c>
      <c r="M233" t="inlineStr">
        <is>
          <t>Nightjar Trust</t>
        </is>
      </c>
      <c r="N233" t="inlineStr">
        <is>
          <t>BRGXCASH</t>
        </is>
      </c>
      <c r="O233" t="inlineStr">
        <is>
          <t>NEW</t>
        </is>
      </c>
      <c r="Q233" t="inlineStr">
        <is>
          <t>INTERNAL</t>
        </is>
      </c>
    </row>
    <row r="234">
      <c r="A234" t="inlineStr">
        <is>
          <t>150316825069</t>
        </is>
      </c>
      <c r="B234" t="inlineStr">
        <is>
          <t>TCG</t>
        </is>
      </c>
      <c r="C234" t="inlineStr">
        <is>
          <t>BRGX</t>
        </is>
      </c>
      <c r="D234" s="6" t="n">
        <v>46251</v>
      </c>
      <c r="E234" t="inlineStr">
        <is>
          <t>DR</t>
        </is>
      </c>
      <c r="F234" t="inlineStr">
        <is>
          <t>GBP</t>
        </is>
      </c>
      <c r="G234" s="7" t="n">
        <v>-173900629.693</v>
      </c>
      <c r="H234" t="inlineStr">
        <is>
          <t>GBP</t>
        </is>
      </c>
      <c r="I234" s="7" t="n">
        <v>-173900629.693</v>
      </c>
      <c r="J234" s="8" t="n">
        <v>46251.55012731482</v>
      </c>
      <c r="K234" t="inlineStr">
        <is>
          <t>CF260817 00228</t>
        </is>
      </c>
      <c r="L234" t="inlineStr">
        <is>
          <t>GL.NOSTRO.GBP.BRGX.003</t>
        </is>
      </c>
      <c r="M234" t="inlineStr">
        <is>
          <t>Harrow Clearing</t>
        </is>
      </c>
      <c r="N234" t="inlineStr">
        <is>
          <t>BRGX</t>
        </is>
      </c>
      <c r="O234" t="inlineStr">
        <is>
          <t>NEW</t>
        </is>
      </c>
      <c r="P234" t="inlineStr">
        <is>
          <t>NT26081700091</t>
        </is>
      </c>
      <c r="Q234" t="inlineStr">
        <is>
          <t>GROSS</t>
        </is>
      </c>
    </row>
    <row r="235">
      <c r="A235" t="inlineStr">
        <is>
          <t>132544340094</t>
        </is>
      </c>
      <c r="B235" t="inlineStr">
        <is>
          <t>TCP</t>
        </is>
      </c>
      <c r="C235" t="inlineStr">
        <is>
          <t>BRYG</t>
        </is>
      </c>
      <c r="D235" s="6" t="n">
        <v>46251</v>
      </c>
      <c r="E235" t="inlineStr">
        <is>
          <t>DR</t>
        </is>
      </c>
      <c r="F235" t="inlineStr">
        <is>
          <t>CZK</t>
        </is>
      </c>
      <c r="G235" s="7" t="n">
        <v>-819111075.5829999</v>
      </c>
      <c r="H235" t="inlineStr">
        <is>
          <t>GBP</t>
        </is>
      </c>
      <c r="I235" s="7" t="n">
        <v>-27767865.462</v>
      </c>
      <c r="J235" s="8" t="n">
        <v>46251.3934837963</v>
      </c>
      <c r="K235" t="inlineStr">
        <is>
          <t>CF260817 00229</t>
        </is>
      </c>
      <c r="L235" t="inlineStr">
        <is>
          <t>GL.NOSTRO.CZK.BRYG.003</t>
        </is>
      </c>
      <c r="M235" t="inlineStr">
        <is>
          <t>Cedar Commercial Bank</t>
        </is>
      </c>
      <c r="N235" t="inlineStr">
        <is>
          <t>BRYG</t>
        </is>
      </c>
      <c r="O235" t="inlineStr">
        <is>
          <t>NEW</t>
        </is>
      </c>
      <c r="Q235" t="inlineStr">
        <is>
          <t>NETTER</t>
        </is>
      </c>
    </row>
    <row r="236">
      <c r="A236" t="inlineStr">
        <is>
          <t>794226063698</t>
        </is>
      </c>
      <c r="B236" t="inlineStr">
        <is>
          <t>TCP</t>
        </is>
      </c>
      <c r="C236" t="inlineStr">
        <is>
          <t>BRMD</t>
        </is>
      </c>
      <c r="D236" s="6" t="n">
        <v>46251</v>
      </c>
      <c r="E236" t="inlineStr">
        <is>
          <t>DR</t>
        </is>
      </c>
      <c r="F236" t="inlineStr">
        <is>
          <t>AED</t>
        </is>
      </c>
      <c r="G236" s="7" t="n">
        <v>-95403805.038</v>
      </c>
      <c r="H236" t="inlineStr">
        <is>
          <t>GBP</t>
        </is>
      </c>
      <c r="I236" s="7" t="n">
        <v>-20321010.473</v>
      </c>
      <c r="J236" s="8" t="n">
        <v>46251.66251157408</v>
      </c>
      <c r="K236" t="inlineStr">
        <is>
          <t>CF260817 00230</t>
        </is>
      </c>
      <c r="L236" t="inlineStr">
        <is>
          <t>GL.NOSTRO.AED.BRMD.003</t>
        </is>
      </c>
      <c r="M236" t="inlineStr">
        <is>
          <t>Alder Clearing</t>
        </is>
      </c>
      <c r="N236" t="inlineStr">
        <is>
          <t>BRMD</t>
        </is>
      </c>
      <c r="O236" t="inlineStr">
        <is>
          <t>NEW</t>
        </is>
      </c>
      <c r="P236" t="inlineStr">
        <is>
          <t>NT26081700081</t>
        </is>
      </c>
      <c r="Q236" t="inlineStr">
        <is>
          <t>GROSS</t>
        </is>
      </c>
    </row>
    <row r="237">
      <c r="A237" t="inlineStr">
        <is>
          <t>794226063698</t>
        </is>
      </c>
      <c r="B237" t="inlineStr">
        <is>
          <t>TCP</t>
        </is>
      </c>
      <c r="C237" t="inlineStr">
        <is>
          <t>BRMD</t>
        </is>
      </c>
      <c r="D237" s="6" t="n">
        <v>46251</v>
      </c>
      <c r="E237" t="inlineStr">
        <is>
          <t>DR</t>
        </is>
      </c>
      <c r="F237" t="inlineStr">
        <is>
          <t>AED</t>
        </is>
      </c>
      <c r="G237" s="7" t="n">
        <v>-474.672</v>
      </c>
      <c r="H237" t="inlineStr">
        <is>
          <t>GBP</t>
        </is>
      </c>
      <c r="I237" s="7" t="n">
        <v>-101.105</v>
      </c>
      <c r="J237" s="8" t="n">
        <v>46251.66888888889</v>
      </c>
      <c r="K237" t="inlineStr">
        <is>
          <t>CF260817 00231</t>
        </is>
      </c>
      <c r="L237" t="inlineStr">
        <is>
          <t>GL.NOSTRO.AED.BRMD.004</t>
        </is>
      </c>
      <c r="M237" t="inlineStr">
        <is>
          <t>Elmwood Trust</t>
        </is>
      </c>
      <c r="N237" t="inlineStr">
        <is>
          <t>BRMDCASH</t>
        </is>
      </c>
      <c r="O237" t="inlineStr">
        <is>
          <t>CANCEL</t>
        </is>
      </c>
      <c r="Q237" t="inlineStr">
        <is>
          <t>NETTER</t>
        </is>
      </c>
    </row>
    <row r="238">
      <c r="A238" t="inlineStr">
        <is>
          <t>150316825069</t>
        </is>
      </c>
      <c r="B238" t="inlineStr">
        <is>
          <t>TCP</t>
        </is>
      </c>
      <c r="C238" t="inlineStr">
        <is>
          <t>BRGX</t>
        </is>
      </c>
      <c r="D238" s="6" t="n">
        <v>46251</v>
      </c>
      <c r="E238" t="inlineStr">
        <is>
          <t>CR</t>
        </is>
      </c>
      <c r="F238" t="inlineStr">
        <is>
          <t>GBP</t>
        </is>
      </c>
      <c r="G238" s="7" t="n">
        <v>433439096.569</v>
      </c>
      <c r="H238" t="inlineStr">
        <is>
          <t>GBP</t>
        </is>
      </c>
      <c r="I238" s="7" t="n">
        <v>433439096.569</v>
      </c>
      <c r="J238" s="8" t="n">
        <v>46251.56649305556</v>
      </c>
      <c r="K238" t="inlineStr">
        <is>
          <t>CF260817 00232</t>
        </is>
      </c>
      <c r="L238" t="inlineStr">
        <is>
          <t>GL.NOSTRO.GBP.BRGX.002</t>
        </is>
      </c>
      <c r="M238" t="inlineStr">
        <is>
          <t>Nightjar Bank</t>
        </is>
      </c>
      <c r="N238" t="inlineStr">
        <is>
          <t>BRGX</t>
        </is>
      </c>
      <c r="O238" t="inlineStr">
        <is>
          <t>NEW</t>
        </is>
      </c>
      <c r="P238" t="inlineStr">
        <is>
          <t>NT26081700077</t>
        </is>
      </c>
      <c r="Q238" t="inlineStr">
        <is>
          <t>GROSS</t>
        </is>
      </c>
    </row>
    <row r="239">
      <c r="A239" t="inlineStr">
        <is>
          <t>968942362772</t>
        </is>
      </c>
      <c r="B239" t="inlineStr">
        <is>
          <t>TCX</t>
        </is>
      </c>
      <c r="C239" t="inlineStr">
        <is>
          <t>BRYG</t>
        </is>
      </c>
      <c r="D239" s="6" t="n">
        <v>46251</v>
      </c>
      <c r="E239" t="inlineStr">
        <is>
          <t>CR</t>
        </is>
      </c>
      <c r="F239" t="inlineStr">
        <is>
          <t>EUR</t>
        </is>
      </c>
      <c r="G239" s="7" t="n">
        <v>40107008.742</v>
      </c>
      <c r="H239" t="inlineStr">
        <is>
          <t>GBP</t>
        </is>
      </c>
      <c r="I239" s="7" t="n">
        <v>34411813.501</v>
      </c>
      <c r="J239" s="8" t="n">
        <v>46251.38253472222</v>
      </c>
      <c r="K239" t="inlineStr">
        <is>
          <t>CF260817 00233</t>
        </is>
      </c>
      <c r="L239" t="inlineStr">
        <is>
          <t>GL.NOSTRO.EUR.BRYG.002</t>
        </is>
      </c>
      <c r="M239" t="inlineStr">
        <is>
          <t>Larkspur Clearing</t>
        </is>
      </c>
      <c r="N239" t="inlineStr">
        <is>
          <t>BRYGCASH</t>
        </is>
      </c>
      <c r="O239" t="inlineStr">
        <is>
          <t>NEW</t>
        </is>
      </c>
      <c r="Q239" t="inlineStr">
        <is>
          <t>INTERNAL</t>
        </is>
      </c>
    </row>
    <row r="240">
      <c r="A240" t="inlineStr">
        <is>
          <t>150316825069</t>
        </is>
      </c>
      <c r="B240" t="inlineStr">
        <is>
          <t>TCQ</t>
        </is>
      </c>
      <c r="C240" t="inlineStr">
        <is>
          <t>BRGX</t>
        </is>
      </c>
      <c r="D240" s="6" t="n">
        <v>46251</v>
      </c>
      <c r="E240" t="inlineStr">
        <is>
          <t>CR</t>
        </is>
      </c>
      <c r="F240" t="inlineStr">
        <is>
          <t>GBP</t>
        </is>
      </c>
      <c r="G240" s="7" t="n">
        <v>254992.148</v>
      </c>
      <c r="H240" t="inlineStr">
        <is>
          <t>GBP</t>
        </is>
      </c>
      <c r="I240" s="7" t="n">
        <v>254992.148</v>
      </c>
      <c r="J240" s="8" t="n">
        <v>46251.34356481482</v>
      </c>
      <c r="K240" t="inlineStr">
        <is>
          <t>CF260817 00234</t>
        </is>
      </c>
      <c r="L240" t="inlineStr">
        <is>
          <t>GL.NOSTRO.GBP.BRGX.007</t>
        </is>
      </c>
      <c r="M240" t="inlineStr">
        <is>
          <t>Yarrow Commercial Bank</t>
        </is>
      </c>
      <c r="N240" t="inlineStr">
        <is>
          <t>BRGXMM</t>
        </is>
      </c>
      <c r="O240" t="inlineStr">
        <is>
          <t>AMEND</t>
        </is>
      </c>
      <c r="Q240" t="inlineStr">
        <is>
          <t>GROSS</t>
        </is>
      </c>
    </row>
    <row r="241">
      <c r="A241" t="inlineStr">
        <is>
          <t>132544340094</t>
        </is>
      </c>
      <c r="B241" t="inlineStr">
        <is>
          <t>TCG</t>
        </is>
      </c>
      <c r="C241" t="inlineStr">
        <is>
          <t>BRYG</t>
        </is>
      </c>
      <c r="D241" s="6" t="n">
        <v>46251</v>
      </c>
      <c r="E241" t="inlineStr">
        <is>
          <t>CR</t>
        </is>
      </c>
      <c r="F241" t="inlineStr">
        <is>
          <t>CZK</t>
        </is>
      </c>
      <c r="G241" s="7" t="n">
        <v>787676991.187</v>
      </c>
      <c r="H241" t="inlineStr">
        <is>
          <t>GBP</t>
        </is>
      </c>
      <c r="I241" s="7" t="n">
        <v>26702250.001</v>
      </c>
      <c r="J241" s="8" t="n">
        <v>46251.36831018519</v>
      </c>
      <c r="K241" t="inlineStr">
        <is>
          <t>CF260817 00235</t>
        </is>
      </c>
      <c r="L241" t="inlineStr">
        <is>
          <t>GL.NOSTRO.CZK.BRYG.008</t>
        </is>
      </c>
      <c r="M241" t="inlineStr">
        <is>
          <t>Vetchling Bank</t>
        </is>
      </c>
      <c r="N241" t="inlineStr">
        <is>
          <t>BRYGMM</t>
        </is>
      </c>
      <c r="O241" t="inlineStr">
        <is>
          <t>NEW</t>
        </is>
      </c>
      <c r="Q241" t="inlineStr">
        <is>
          <t>INTERNAL</t>
        </is>
      </c>
    </row>
    <row r="242">
      <c r="A242" t="inlineStr">
        <is>
          <t>953625291146</t>
        </is>
      </c>
      <c r="B242" t="inlineStr">
        <is>
          <t>TCQ</t>
        </is>
      </c>
      <c r="C242" t="inlineStr">
        <is>
          <t>BRGL</t>
        </is>
      </c>
      <c r="D242" s="6" t="n">
        <v>46251</v>
      </c>
      <c r="E242" t="inlineStr">
        <is>
          <t>DR</t>
        </is>
      </c>
      <c r="F242" t="inlineStr">
        <is>
          <t>USD</t>
        </is>
      </c>
      <c r="G242" s="7" t="n">
        <v>-38527946.817</v>
      </c>
      <c r="H242" t="inlineStr">
        <is>
          <t>GBP</t>
        </is>
      </c>
      <c r="I242" s="7" t="n">
        <v>-30205910.305</v>
      </c>
      <c r="J242" s="8" t="n">
        <v>46251.73929398148</v>
      </c>
      <c r="K242" t="inlineStr">
        <is>
          <t>CF260817 00236</t>
        </is>
      </c>
      <c r="L242" t="inlineStr">
        <is>
          <t>GL.NOSTRO.USD.BRGL.006</t>
        </is>
      </c>
      <c r="M242" t="inlineStr">
        <is>
          <t>Yarrow Bank</t>
        </is>
      </c>
      <c r="N242" t="inlineStr">
        <is>
          <t>BRGL</t>
        </is>
      </c>
      <c r="O242" t="inlineStr">
        <is>
          <t>NEW</t>
        </is>
      </c>
      <c r="Q242" t="inlineStr">
        <is>
          <t>NETTER</t>
        </is>
      </c>
    </row>
    <row r="243">
      <c r="A243" t="inlineStr">
        <is>
          <t>265771593142</t>
        </is>
      </c>
      <c r="B243" t="inlineStr">
        <is>
          <t>TCG</t>
        </is>
      </c>
      <c r="C243" t="inlineStr">
        <is>
          <t>BRYG</t>
        </is>
      </c>
      <c r="D243" s="6" t="n">
        <v>46251</v>
      </c>
      <c r="E243" t="inlineStr">
        <is>
          <t>CR</t>
        </is>
      </c>
      <c r="F243" t="inlineStr">
        <is>
          <t>EUR</t>
        </is>
      </c>
      <c r="G243" s="7" t="n">
        <v>81977154.92</v>
      </c>
      <c r="H243" t="inlineStr">
        <is>
          <t>GBP</t>
        </is>
      </c>
      <c r="I243" s="7" t="n">
        <v>70336398.921</v>
      </c>
      <c r="J243" s="8" t="n">
        <v>46251.52685185185</v>
      </c>
      <c r="K243" t="inlineStr">
        <is>
          <t>CF260817 00237</t>
        </is>
      </c>
      <c r="L243" t="inlineStr">
        <is>
          <t>GL.NOSTRO.EUR.BRYG.007</t>
        </is>
      </c>
      <c r="M243" t="inlineStr">
        <is>
          <t>Redstart Commercial Bank</t>
        </is>
      </c>
      <c r="N243" t="inlineStr">
        <is>
          <t>BRYGTRSY</t>
        </is>
      </c>
      <c r="O243" t="inlineStr">
        <is>
          <t>NEW</t>
        </is>
      </c>
      <c r="P243" t="inlineStr">
        <is>
          <t>NT26081700096</t>
        </is>
      </c>
      <c r="Q243" t="inlineStr">
        <is>
          <t>NETTER</t>
        </is>
      </c>
    </row>
    <row r="244">
      <c r="A244" t="inlineStr">
        <is>
          <t>726928343448</t>
        </is>
      </c>
      <c r="B244" t="inlineStr">
        <is>
          <t>TCX</t>
        </is>
      </c>
      <c r="C244" t="inlineStr">
        <is>
          <t>BRGX</t>
        </is>
      </c>
      <c r="D244" s="6" t="n">
        <v>46251</v>
      </c>
      <c r="E244" t="inlineStr">
        <is>
          <t>CR</t>
        </is>
      </c>
      <c r="F244" t="inlineStr">
        <is>
          <t>EUR</t>
        </is>
      </c>
      <c r="G244" s="7" t="n">
        <v>661975.8689999999</v>
      </c>
      <c r="H244" t="inlineStr">
        <is>
          <t>GBP</t>
        </is>
      </c>
      <c r="I244" s="7" t="n">
        <v>567975.296</v>
      </c>
      <c r="J244" s="8" t="n">
        <v>46251.66284722222</v>
      </c>
      <c r="K244" t="inlineStr">
        <is>
          <t>CF260817 00238</t>
        </is>
      </c>
      <c r="L244" t="inlineStr">
        <is>
          <t>GL.NOSTRO.EUR.BRGX.008</t>
        </is>
      </c>
      <c r="M244" t="inlineStr">
        <is>
          <t>Redstart Commercial Bank</t>
        </is>
      </c>
      <c r="N244" t="inlineStr">
        <is>
          <t>BRGXCASH</t>
        </is>
      </c>
      <c r="O244" t="inlineStr">
        <is>
          <t>AMEND</t>
        </is>
      </c>
      <c r="Q244" t="inlineStr">
        <is>
          <t>NETTER</t>
        </is>
      </c>
    </row>
    <row r="245">
      <c r="A245" t="inlineStr">
        <is>
          <t>499062838623</t>
        </is>
      </c>
      <c r="B245" t="inlineStr">
        <is>
          <t>TCC</t>
        </is>
      </c>
      <c r="C245" t="inlineStr">
        <is>
          <t>BRBX</t>
        </is>
      </c>
      <c r="D245" s="6" t="n">
        <v>46251</v>
      </c>
      <c r="E245" t="inlineStr">
        <is>
          <t>DR</t>
        </is>
      </c>
      <c r="F245" t="inlineStr">
        <is>
          <t>USD</t>
        </is>
      </c>
      <c r="G245" s="7" t="n">
        <v>-142857701.754</v>
      </c>
      <c r="H245" t="inlineStr">
        <is>
          <t>GBP</t>
        </is>
      </c>
      <c r="I245" s="7" t="n">
        <v>-112000438.175</v>
      </c>
      <c r="J245" s="8" t="n">
        <v>46251.50758101852</v>
      </c>
      <c r="K245" t="inlineStr">
        <is>
          <t>CF260817 00239</t>
        </is>
      </c>
      <c r="L245" t="inlineStr">
        <is>
          <t>GL.NOSTRO.USD.BRBX.003</t>
        </is>
      </c>
      <c r="M245" t="inlineStr">
        <is>
          <t>Thornbury Bank</t>
        </is>
      </c>
      <c r="N245" t="inlineStr">
        <is>
          <t>BRBXCASH</t>
        </is>
      </c>
      <c r="O245" t="inlineStr">
        <is>
          <t>NEW</t>
        </is>
      </c>
      <c r="P245" t="inlineStr">
        <is>
          <t>NT26081700102</t>
        </is>
      </c>
      <c r="Q245" t="inlineStr">
        <is>
          <t>NETTER</t>
        </is>
      </c>
    </row>
    <row r="246">
      <c r="A246" t="inlineStr">
        <is>
          <t>468341071172</t>
        </is>
      </c>
      <c r="B246" t="inlineStr">
        <is>
          <t>TCP</t>
        </is>
      </c>
      <c r="C246" t="inlineStr">
        <is>
          <t>BRCC</t>
        </is>
      </c>
      <c r="D246" s="6" t="n">
        <v>46251</v>
      </c>
      <c r="E246" t="inlineStr">
        <is>
          <t>DR</t>
        </is>
      </c>
      <c r="F246" t="inlineStr">
        <is>
          <t>EUR</t>
        </is>
      </c>
      <c r="G246" s="7" t="n">
        <v>-23216270.981</v>
      </c>
      <c r="H246" t="inlineStr">
        <is>
          <t>GBP</t>
        </is>
      </c>
      <c r="I246" s="7" t="n">
        <v>-19919560.502</v>
      </c>
      <c r="J246" s="8" t="n">
        <v>46251.66715277778</v>
      </c>
      <c r="K246" t="inlineStr">
        <is>
          <t>CF260817 00240</t>
        </is>
      </c>
      <c r="L246" t="inlineStr">
        <is>
          <t>GL.NOSTRO.EUR.BRCC.004</t>
        </is>
      </c>
      <c r="M246" t="inlineStr">
        <is>
          <t>Oriel Trust</t>
        </is>
      </c>
      <c r="N246" t="inlineStr">
        <is>
          <t>BRCC</t>
        </is>
      </c>
      <c r="O246" t="inlineStr">
        <is>
          <t>CANCEL</t>
        </is>
      </c>
      <c r="Q246" t="inlineStr">
        <is>
          <t>GROSS</t>
        </is>
      </c>
    </row>
    <row r="247">
      <c r="A247" t="inlineStr">
        <is>
          <t>910703979141</t>
        </is>
      </c>
      <c r="B247" t="inlineStr">
        <is>
          <t>TCQ</t>
        </is>
      </c>
      <c r="C247" t="inlineStr">
        <is>
          <t>BRCC</t>
        </is>
      </c>
      <c r="D247" s="6" t="n">
        <v>46251</v>
      </c>
      <c r="E247" t="inlineStr">
        <is>
          <t>CR</t>
        </is>
      </c>
      <c r="F247" t="inlineStr">
        <is>
          <t>CHF</t>
        </is>
      </c>
      <c r="G247" s="7" t="n">
        <v>106.527</v>
      </c>
      <c r="H247" t="inlineStr">
        <is>
          <t>GBP</t>
        </is>
      </c>
      <c r="I247" s="7" t="n">
        <v>95.55500000000001</v>
      </c>
      <c r="J247" s="8" t="n">
        <v>46251.3578587963</v>
      </c>
      <c r="K247" t="inlineStr">
        <is>
          <t>CF260817 00241</t>
        </is>
      </c>
      <c r="L247" t="inlineStr">
        <is>
          <t>GL.NOSTRO.CHF.BRCC.008</t>
        </is>
      </c>
      <c r="M247" t="inlineStr">
        <is>
          <t>Zephyr Commercial Bank</t>
        </is>
      </c>
      <c r="N247" t="inlineStr">
        <is>
          <t>BRCC</t>
        </is>
      </c>
      <c r="O247" t="inlineStr">
        <is>
          <t>NEW</t>
        </is>
      </c>
      <c r="P247" t="inlineStr">
        <is>
          <t>NT26081700081</t>
        </is>
      </c>
      <c r="Q247" t="inlineStr">
        <is>
          <t>INTERNAL</t>
        </is>
      </c>
    </row>
    <row r="248">
      <c r="A248" t="inlineStr">
        <is>
          <t>468341071172</t>
        </is>
      </c>
      <c r="B248" t="inlineStr">
        <is>
          <t>TCC</t>
        </is>
      </c>
      <c r="C248" t="inlineStr">
        <is>
          <t>BRCC</t>
        </is>
      </c>
      <c r="D248" s="6" t="n">
        <v>46252</v>
      </c>
      <c r="E248" t="inlineStr">
        <is>
          <t>DR</t>
        </is>
      </c>
      <c r="F248" t="inlineStr">
        <is>
          <t>EUR</t>
        </is>
      </c>
      <c r="G248" s="7" t="n">
        <v>-8932547435.583</v>
      </c>
      <c r="H248" t="inlineStr">
        <is>
          <t>GBP</t>
        </is>
      </c>
      <c r="I248" s="7" t="n">
        <v>-7664125699.73</v>
      </c>
      <c r="J248" s="8" t="n">
        <v>46252.66451388889</v>
      </c>
      <c r="K248" t="inlineStr">
        <is>
          <t>CF260818 00242</t>
        </is>
      </c>
      <c r="L248" t="inlineStr">
        <is>
          <t>GL.NOSTRO.EUR.BRCC.004</t>
        </is>
      </c>
      <c r="M248" t="inlineStr">
        <is>
          <t>Alder Trust</t>
        </is>
      </c>
      <c r="N248" t="inlineStr">
        <is>
          <t>BRCCCASH</t>
        </is>
      </c>
      <c r="O248" t="inlineStr">
        <is>
          <t>NEW</t>
        </is>
      </c>
      <c r="Q248" t="inlineStr">
        <is>
          <t>NETTER</t>
        </is>
      </c>
    </row>
    <row r="249">
      <c r="A249" t="inlineStr">
        <is>
          <t>700726936098</t>
        </is>
      </c>
      <c r="B249" t="inlineStr">
        <is>
          <t>TCX</t>
        </is>
      </c>
      <c r="C249" t="inlineStr">
        <is>
          <t>BRMD</t>
        </is>
      </c>
      <c r="D249" s="6" t="n">
        <v>46252</v>
      </c>
      <c r="E249" t="inlineStr">
        <is>
          <t>CR</t>
        </is>
      </c>
      <c r="F249" t="inlineStr">
        <is>
          <t>SAR</t>
        </is>
      </c>
      <c r="G249" s="7" t="n">
        <v>268170136.824</v>
      </c>
      <c r="H249" t="inlineStr">
        <is>
          <t>GBP</t>
        </is>
      </c>
      <c r="I249" s="7" t="n">
        <v>56047558.596</v>
      </c>
      <c r="J249" s="8" t="n">
        <v>46252.30543981482</v>
      </c>
      <c r="K249" t="inlineStr">
        <is>
          <t>CF260818 00243</t>
        </is>
      </c>
      <c r="L249" t="inlineStr">
        <is>
          <t>GL.NOSTRO.SAR.BRMD.005</t>
        </is>
      </c>
      <c r="M249" t="inlineStr">
        <is>
          <t>Ironbark Commercial Bank</t>
        </is>
      </c>
      <c r="N249" t="inlineStr">
        <is>
          <t>BRMDCASH</t>
        </is>
      </c>
      <c r="O249" t="inlineStr">
        <is>
          <t>NEW</t>
        </is>
      </c>
      <c r="Q249" t="inlineStr">
        <is>
          <t>NETTER</t>
        </is>
      </c>
    </row>
    <row r="250">
      <c r="A250" t="inlineStr">
        <is>
          <t>150316825069</t>
        </is>
      </c>
      <c r="B250" t="inlineStr">
        <is>
          <t>TCC</t>
        </is>
      </c>
      <c r="C250" t="inlineStr">
        <is>
          <t>BRGX</t>
        </is>
      </c>
      <c r="D250" s="6" t="n">
        <v>46252</v>
      </c>
      <c r="E250" t="inlineStr">
        <is>
          <t>CR</t>
        </is>
      </c>
      <c r="F250" t="inlineStr">
        <is>
          <t>GBP</t>
        </is>
      </c>
      <c r="G250" s="7" t="n">
        <v>21113527.428</v>
      </c>
      <c r="H250" t="inlineStr">
        <is>
          <t>GBP</t>
        </is>
      </c>
      <c r="I250" s="7" t="n">
        <v>21113527.428</v>
      </c>
      <c r="J250" s="8" t="n">
        <v>46252.45179398148</v>
      </c>
      <c r="K250" t="inlineStr">
        <is>
          <t>CF260818 00244</t>
        </is>
      </c>
      <c r="L250" t="inlineStr">
        <is>
          <t>GL.NOSTRO.GBP.BRGX.002</t>
        </is>
      </c>
      <c r="M250" t="inlineStr">
        <is>
          <t>Sablewood Bank</t>
        </is>
      </c>
      <c r="N250" t="inlineStr">
        <is>
          <t>BRGXCASH</t>
        </is>
      </c>
      <c r="O250" t="inlineStr">
        <is>
          <t>NEW</t>
        </is>
      </c>
      <c r="P250" t="inlineStr">
        <is>
          <t>NT26081800316</t>
        </is>
      </c>
      <c r="Q250" t="inlineStr">
        <is>
          <t>GROSS</t>
        </is>
      </c>
    </row>
    <row r="251">
      <c r="A251" t="inlineStr">
        <is>
          <t>468341071172</t>
        </is>
      </c>
      <c r="B251" t="inlineStr">
        <is>
          <t>TCQ</t>
        </is>
      </c>
      <c r="C251" t="inlineStr">
        <is>
          <t>BRCC</t>
        </is>
      </c>
      <c r="D251" s="6" t="n">
        <v>46252</v>
      </c>
      <c r="E251" t="inlineStr">
        <is>
          <t>DR</t>
        </is>
      </c>
      <c r="F251" t="inlineStr">
        <is>
          <t>EUR</t>
        </is>
      </c>
      <c r="G251" s="7" t="n">
        <v>-1503814.263</v>
      </c>
      <c r="H251" t="inlineStr">
        <is>
          <t>GBP</t>
        </is>
      </c>
      <c r="I251" s="7" t="n">
        <v>-1290272.638</v>
      </c>
      <c r="J251" s="8" t="n">
        <v>46252.6512962963</v>
      </c>
      <c r="K251" t="inlineStr">
        <is>
          <t>CF260818 00245</t>
        </is>
      </c>
      <c r="L251" t="inlineStr">
        <is>
          <t>GL.NOSTRO.EUR.BRCC.006</t>
        </is>
      </c>
      <c r="M251" t="inlineStr">
        <is>
          <t>Wrenfield Commercial Bank</t>
        </is>
      </c>
      <c r="N251" t="inlineStr">
        <is>
          <t>BRCCTRSY</t>
        </is>
      </c>
      <c r="O251" t="inlineStr">
        <is>
          <t>NEW</t>
        </is>
      </c>
      <c r="P251" t="inlineStr">
        <is>
          <t>NT26081800278</t>
        </is>
      </c>
      <c r="Q251" t="inlineStr">
        <is>
          <t>NETTER</t>
        </is>
      </c>
    </row>
    <row r="252">
      <c r="A252" t="inlineStr">
        <is>
          <t>968942362772</t>
        </is>
      </c>
      <c r="B252" t="inlineStr">
        <is>
          <t>TCX</t>
        </is>
      </c>
      <c r="C252" t="inlineStr">
        <is>
          <t>BRYG</t>
        </is>
      </c>
      <c r="D252" s="6" t="n">
        <v>46252</v>
      </c>
      <c r="E252" t="inlineStr">
        <is>
          <t>CR</t>
        </is>
      </c>
      <c r="F252" t="inlineStr">
        <is>
          <t>EUR</t>
        </is>
      </c>
      <c r="G252" s="7" t="n">
        <v>16498658.652</v>
      </c>
      <c r="H252" t="inlineStr">
        <is>
          <t>GBP</t>
        </is>
      </c>
      <c r="I252" s="7" t="n">
        <v>14155849.123</v>
      </c>
      <c r="J252" s="8" t="n">
        <v>46252.46831018518</v>
      </c>
      <c r="K252" t="inlineStr">
        <is>
          <t>CF260818 00246</t>
        </is>
      </c>
      <c r="L252" t="inlineStr">
        <is>
          <t>GL.NOSTRO.EUR.BRYG.008</t>
        </is>
      </c>
      <c r="M252" t="inlineStr">
        <is>
          <t>Mallow Clearing</t>
        </is>
      </c>
      <c r="N252" t="inlineStr">
        <is>
          <t>BRYGMM</t>
        </is>
      </c>
      <c r="O252" t="inlineStr">
        <is>
          <t>NEW</t>
        </is>
      </c>
      <c r="P252" t="inlineStr">
        <is>
          <t>NT26081800299</t>
        </is>
      </c>
      <c r="Q252" t="inlineStr">
        <is>
          <t>NETTER</t>
        </is>
      </c>
    </row>
    <row r="253">
      <c r="A253" t="inlineStr">
        <is>
          <t>968942362772</t>
        </is>
      </c>
      <c r="B253" t="inlineStr">
        <is>
          <t>TCQ</t>
        </is>
      </c>
      <c r="C253" t="inlineStr">
        <is>
          <t>BRYG</t>
        </is>
      </c>
      <c r="D253" s="6" t="n">
        <v>46252</v>
      </c>
      <c r="E253" t="inlineStr">
        <is>
          <t>DR</t>
        </is>
      </c>
      <c r="F253" t="inlineStr">
        <is>
          <t>EUR</t>
        </is>
      </c>
      <c r="G253" s="7" t="n">
        <v>-13777.208</v>
      </c>
      <c r="H253" t="inlineStr">
        <is>
          <t>GBP</t>
        </is>
      </c>
      <c r="I253" s="7" t="n">
        <v>-11820.844</v>
      </c>
      <c r="J253" s="8" t="n">
        <v>46252.34513888889</v>
      </c>
      <c r="K253" t="inlineStr">
        <is>
          <t>CF260818 00247</t>
        </is>
      </c>
      <c r="L253" t="inlineStr">
        <is>
          <t>GL.NOSTRO.EUR.BRYG.003</t>
        </is>
      </c>
      <c r="M253" t="inlineStr">
        <is>
          <t>Harrow Clearing</t>
        </is>
      </c>
      <c r="N253" t="inlineStr">
        <is>
          <t>BRYGCASH</t>
        </is>
      </c>
      <c r="O253" t="inlineStr">
        <is>
          <t>NEW</t>
        </is>
      </c>
      <c r="P253" t="inlineStr">
        <is>
          <t>NT26081800291</t>
        </is>
      </c>
      <c r="Q253" t="inlineStr">
        <is>
          <t>NETTER</t>
        </is>
      </c>
    </row>
    <row r="254">
      <c r="A254" t="inlineStr">
        <is>
          <t>700726936098</t>
        </is>
      </c>
      <c r="B254" t="inlineStr">
        <is>
          <t>TCQ</t>
        </is>
      </c>
      <c r="C254" t="inlineStr">
        <is>
          <t>BRMD</t>
        </is>
      </c>
      <c r="D254" s="6" t="n">
        <v>46252</v>
      </c>
      <c r="E254" t="inlineStr">
        <is>
          <t>CR</t>
        </is>
      </c>
      <c r="F254" t="inlineStr">
        <is>
          <t>SAR</t>
        </is>
      </c>
      <c r="G254" s="7" t="n">
        <v>8494493.112</v>
      </c>
      <c r="H254" t="inlineStr">
        <is>
          <t>GBP</t>
        </is>
      </c>
      <c r="I254" s="7" t="n">
        <v>1775349.06</v>
      </c>
      <c r="J254" s="8" t="n">
        <v>46252.56760416667</v>
      </c>
      <c r="K254" t="inlineStr">
        <is>
          <t>CF260818 00248</t>
        </is>
      </c>
      <c r="L254" t="inlineStr">
        <is>
          <t>GL.NOSTRO.SAR.BRMD.007</t>
        </is>
      </c>
      <c r="M254" t="inlineStr">
        <is>
          <t>Wrenfield Commercial Bank</t>
        </is>
      </c>
      <c r="N254" t="inlineStr">
        <is>
          <t>BRMDTRSY</t>
        </is>
      </c>
      <c r="O254" t="inlineStr">
        <is>
          <t>NEW</t>
        </is>
      </c>
      <c r="P254" t="inlineStr">
        <is>
          <t>NT26081800281</t>
        </is>
      </c>
      <c r="Q254" t="inlineStr">
        <is>
          <t>NETTER</t>
        </is>
      </c>
    </row>
    <row r="255">
      <c r="A255" t="inlineStr">
        <is>
          <t>700726936098</t>
        </is>
      </c>
      <c r="B255" t="inlineStr">
        <is>
          <t>TCP</t>
        </is>
      </c>
      <c r="C255" t="inlineStr">
        <is>
          <t>BRMD</t>
        </is>
      </c>
      <c r="D255" s="6" t="n">
        <v>46252</v>
      </c>
      <c r="E255" t="inlineStr">
        <is>
          <t>CR</t>
        </is>
      </c>
      <c r="F255" t="inlineStr">
        <is>
          <t>SAR</t>
        </is>
      </c>
      <c r="G255" s="7" t="n">
        <v>19578140.057</v>
      </c>
      <c r="H255" t="inlineStr">
        <is>
          <t>GBP</t>
        </is>
      </c>
      <c r="I255" s="7" t="n">
        <v>4091831.272</v>
      </c>
      <c r="J255" s="8" t="n">
        <v>46252.44756944444</v>
      </c>
      <c r="K255" t="inlineStr">
        <is>
          <t>CF260818 00249</t>
        </is>
      </c>
      <c r="L255" t="inlineStr">
        <is>
          <t>GL.NOSTRO.SAR.BRMD.007</t>
        </is>
      </c>
      <c r="M255" t="inlineStr">
        <is>
          <t>Yarrow Clearing</t>
        </is>
      </c>
      <c r="N255" t="inlineStr">
        <is>
          <t>BRMD</t>
        </is>
      </c>
      <c r="O255" t="inlineStr">
        <is>
          <t>NEW</t>
        </is>
      </c>
      <c r="P255" t="inlineStr">
        <is>
          <t>NT26081800283</t>
        </is>
      </c>
      <c r="Q255" t="inlineStr">
        <is>
          <t>INTERNAL</t>
        </is>
      </c>
    </row>
    <row r="256">
      <c r="A256" t="inlineStr">
        <is>
          <t>898317028833</t>
        </is>
      </c>
      <c r="B256" t="inlineStr">
        <is>
          <t>TCG</t>
        </is>
      </c>
      <c r="C256" t="inlineStr">
        <is>
          <t>BRAA</t>
        </is>
      </c>
      <c r="D256" s="6" t="n">
        <v>46252</v>
      </c>
      <c r="E256" t="inlineStr">
        <is>
          <t>CR</t>
        </is>
      </c>
      <c r="F256" t="inlineStr">
        <is>
          <t>GBP</t>
        </is>
      </c>
      <c r="G256" s="7" t="n">
        <v>84711.77899999999</v>
      </c>
      <c r="H256" t="inlineStr">
        <is>
          <t>GBP</t>
        </is>
      </c>
      <c r="I256" s="7" t="n">
        <v>84711.77899999999</v>
      </c>
      <c r="J256" s="8" t="n">
        <v>46252.28920138889</v>
      </c>
      <c r="K256" t="inlineStr">
        <is>
          <t>CF260818 00250</t>
        </is>
      </c>
      <c r="L256" t="inlineStr">
        <is>
          <t>GL.NOSTRO.GBP.BRAA.003</t>
        </is>
      </c>
      <c r="M256" t="inlineStr">
        <is>
          <t>Pinehurst Clearing</t>
        </is>
      </c>
      <c r="N256" t="inlineStr">
        <is>
          <t>BRAAMM</t>
        </is>
      </c>
      <c r="O256" t="inlineStr">
        <is>
          <t>NEW</t>
        </is>
      </c>
      <c r="P256" t="inlineStr">
        <is>
          <t>NT26081800309</t>
        </is>
      </c>
      <c r="Q256" t="inlineStr">
        <is>
          <t>NETTER</t>
        </is>
      </c>
    </row>
    <row r="257">
      <c r="A257" t="inlineStr">
        <is>
          <t>927538182434</t>
        </is>
      </c>
      <c r="B257" t="inlineStr">
        <is>
          <t>TCP</t>
        </is>
      </c>
      <c r="C257" t="inlineStr">
        <is>
          <t>BRNK</t>
        </is>
      </c>
      <c r="D257" s="6" t="n">
        <v>46252</v>
      </c>
      <c r="E257" t="inlineStr">
        <is>
          <t>DR</t>
        </is>
      </c>
      <c r="F257" t="inlineStr">
        <is>
          <t>CNY</t>
        </is>
      </c>
      <c r="G257" s="7" t="n">
        <v>-10555.884</v>
      </c>
      <c r="H257" t="inlineStr">
        <is>
          <t>GBP</t>
        </is>
      </c>
      <c r="I257" s="7" t="n">
        <v>-1150.591</v>
      </c>
      <c r="J257" s="8" t="n">
        <v>46252.40934027778</v>
      </c>
      <c r="K257" t="inlineStr">
        <is>
          <t>CF260818 00251</t>
        </is>
      </c>
      <c r="L257" t="inlineStr">
        <is>
          <t>GL.NOSTRO.CNY.BRNK.003</t>
        </is>
      </c>
      <c r="M257" t="inlineStr">
        <is>
          <t>Nightjar Bank</t>
        </is>
      </c>
      <c r="N257" t="inlineStr">
        <is>
          <t>BRNKMM</t>
        </is>
      </c>
      <c r="O257" t="inlineStr">
        <is>
          <t>NEW</t>
        </is>
      </c>
      <c r="Q257" t="inlineStr">
        <is>
          <t>NETTER</t>
        </is>
      </c>
    </row>
    <row r="258">
      <c r="A258" t="inlineStr">
        <is>
          <t>284925023085</t>
        </is>
      </c>
      <c r="B258" t="inlineStr">
        <is>
          <t>TCC</t>
        </is>
      </c>
      <c r="C258" t="inlineStr">
        <is>
          <t>BRMD</t>
        </is>
      </c>
      <c r="D258" s="6" t="n">
        <v>46252</v>
      </c>
      <c r="E258" t="inlineStr">
        <is>
          <t>DR</t>
        </is>
      </c>
      <c r="F258" t="inlineStr">
        <is>
          <t>MXN</t>
        </is>
      </c>
      <c r="G258" s="7" t="n">
        <v>-14300444.716</v>
      </c>
      <c r="H258" t="inlineStr">
        <is>
          <t>GBP</t>
        </is>
      </c>
      <c r="I258" s="7" t="n">
        <v>-612059.034</v>
      </c>
      <c r="J258" s="8" t="n">
        <v>46252.73052083333</v>
      </c>
      <c r="K258" t="inlineStr">
        <is>
          <t>CF260818 00252</t>
        </is>
      </c>
      <c r="L258" t="inlineStr">
        <is>
          <t>GL.NOSTRO.MXN.BRMD.006</t>
        </is>
      </c>
      <c r="M258" t="inlineStr">
        <is>
          <t>Sablewood Settlement Bank</t>
        </is>
      </c>
      <c r="N258" t="inlineStr">
        <is>
          <t>BRMD</t>
        </is>
      </c>
      <c r="O258" t="inlineStr">
        <is>
          <t>AMEND</t>
        </is>
      </c>
      <c r="P258" t="inlineStr">
        <is>
          <t>NT26081800311</t>
        </is>
      </c>
      <c r="Q258" t="inlineStr">
        <is>
          <t>NETTER</t>
        </is>
      </c>
    </row>
    <row r="259">
      <c r="A259" t="inlineStr">
        <is>
          <t>794226063698</t>
        </is>
      </c>
      <c r="B259" t="inlineStr">
        <is>
          <t>TCG</t>
        </is>
      </c>
      <c r="C259" t="inlineStr">
        <is>
          <t>BRMD</t>
        </is>
      </c>
      <c r="D259" s="6" t="n">
        <v>46252</v>
      </c>
      <c r="E259" t="inlineStr">
        <is>
          <t>DR</t>
        </is>
      </c>
      <c r="F259" t="inlineStr">
        <is>
          <t>AED</t>
        </is>
      </c>
      <c r="G259" s="7" t="n">
        <v>-111714.632</v>
      </c>
      <c r="H259" t="inlineStr">
        <is>
          <t>GBP</t>
        </is>
      </c>
      <c r="I259" s="7" t="n">
        <v>-23795.217</v>
      </c>
      <c r="J259" s="8" t="n">
        <v>46252.47789351852</v>
      </c>
      <c r="K259" t="inlineStr">
        <is>
          <t>CF260818 00253</t>
        </is>
      </c>
      <c r="L259" t="inlineStr">
        <is>
          <t>GL.NOSTRO.AED.BRMD.005</t>
        </is>
      </c>
      <c r="M259" t="inlineStr">
        <is>
          <t>Mallow Clearing</t>
        </is>
      </c>
      <c r="N259" t="inlineStr">
        <is>
          <t>BRMD</t>
        </is>
      </c>
      <c r="O259" t="inlineStr">
        <is>
          <t>NEW</t>
        </is>
      </c>
      <c r="P259" t="inlineStr">
        <is>
          <t>NT26081800302</t>
        </is>
      </c>
      <c r="Q259" t="inlineStr">
        <is>
          <t>NETTER</t>
        </is>
      </c>
    </row>
    <row r="260">
      <c r="A260" t="inlineStr">
        <is>
          <t>910703979141</t>
        </is>
      </c>
      <c r="B260" t="inlineStr">
        <is>
          <t>TCQ</t>
        </is>
      </c>
      <c r="C260" t="inlineStr">
        <is>
          <t>BRCC</t>
        </is>
      </c>
      <c r="D260" s="6" t="n">
        <v>46252</v>
      </c>
      <c r="E260" t="inlineStr">
        <is>
          <t>DR</t>
        </is>
      </c>
      <c r="F260" t="inlineStr">
        <is>
          <t>CHF</t>
        </is>
      </c>
      <c r="G260" s="7" t="n">
        <v>-204873.83</v>
      </c>
      <c r="H260" t="inlineStr">
        <is>
          <t>GBP</t>
        </is>
      </c>
      <c r="I260" s="7" t="n">
        <v>-183771.826</v>
      </c>
      <c r="J260" s="8" t="n">
        <v>46252.68914351852</v>
      </c>
      <c r="K260" t="inlineStr">
        <is>
          <t>CF260818 00254</t>
        </is>
      </c>
      <c r="L260" t="inlineStr">
        <is>
          <t>GL.NOSTRO.CHF.BRCC.001</t>
        </is>
      </c>
      <c r="M260" t="inlineStr">
        <is>
          <t>Yarrow Commercial Bank</t>
        </is>
      </c>
      <c r="N260" t="inlineStr">
        <is>
          <t>BRCCTRSY</t>
        </is>
      </c>
      <c r="O260" t="inlineStr">
        <is>
          <t>NEW</t>
        </is>
      </c>
      <c r="Q260" t="inlineStr">
        <is>
          <t>GROSS</t>
        </is>
      </c>
    </row>
    <row r="261">
      <c r="A261" t="inlineStr">
        <is>
          <t>953625291146</t>
        </is>
      </c>
      <c r="B261" t="inlineStr">
        <is>
          <t>TCC</t>
        </is>
      </c>
      <c r="C261" t="inlineStr">
        <is>
          <t>BRGL</t>
        </is>
      </c>
      <c r="D261" s="6" t="n">
        <v>46252</v>
      </c>
      <c r="E261" t="inlineStr">
        <is>
          <t>CR</t>
        </is>
      </c>
      <c r="F261" t="inlineStr">
        <is>
          <t>USD</t>
        </is>
      </c>
      <c r="G261" s="7" t="n">
        <v>2107.577</v>
      </c>
      <c r="H261" t="inlineStr">
        <is>
          <t>GBP</t>
        </is>
      </c>
      <c r="I261" s="7" t="n">
        <v>1652.34</v>
      </c>
      <c r="J261" s="8" t="n">
        <v>46252.66626157407</v>
      </c>
      <c r="K261" t="inlineStr">
        <is>
          <t>CF260818 00255</t>
        </is>
      </c>
      <c r="L261" t="inlineStr">
        <is>
          <t>GL.NOSTRO.USD.BRGL.003</t>
        </is>
      </c>
      <c r="M261" t="inlineStr">
        <is>
          <t>Alder Trust</t>
        </is>
      </c>
      <c r="N261" t="inlineStr">
        <is>
          <t>BRGL</t>
        </is>
      </c>
      <c r="O261" t="inlineStr">
        <is>
          <t>NEW</t>
        </is>
      </c>
      <c r="P261" t="inlineStr">
        <is>
          <t>NT26081800290</t>
        </is>
      </c>
      <c r="Q261" t="inlineStr">
        <is>
          <t>NETTER</t>
        </is>
      </c>
    </row>
    <row r="262">
      <c r="A262" t="inlineStr">
        <is>
          <t>359365220160</t>
        </is>
      </c>
      <c r="B262" t="inlineStr">
        <is>
          <t>TCQ</t>
        </is>
      </c>
      <c r="C262" t="inlineStr">
        <is>
          <t>BRGX</t>
        </is>
      </c>
      <c r="D262" s="6" t="n">
        <v>46252</v>
      </c>
      <c r="E262" t="inlineStr">
        <is>
          <t>CR</t>
        </is>
      </c>
      <c r="F262" t="inlineStr">
        <is>
          <t>EUR</t>
        </is>
      </c>
      <c r="G262" s="7" t="n">
        <v>40600732.897</v>
      </c>
      <c r="H262" t="inlineStr">
        <is>
          <t>GBP</t>
        </is>
      </c>
      <c r="I262" s="7" t="n">
        <v>34835428.826</v>
      </c>
      <c r="J262" s="8" t="n">
        <v>46252.53165509259</v>
      </c>
      <c r="K262" t="inlineStr">
        <is>
          <t>CF260818 00256</t>
        </is>
      </c>
      <c r="L262" t="inlineStr">
        <is>
          <t>GL.NOSTRO.EUR.BRGX.002</t>
        </is>
      </c>
      <c r="M262" t="inlineStr">
        <is>
          <t>Zephyr Bank</t>
        </is>
      </c>
      <c r="N262" t="inlineStr">
        <is>
          <t>BRGXTRSY</t>
        </is>
      </c>
      <c r="O262" t="inlineStr">
        <is>
          <t>NEW</t>
        </is>
      </c>
      <c r="Q262" t="inlineStr">
        <is>
          <t>NETTER</t>
        </is>
      </c>
    </row>
    <row r="263">
      <c r="A263" t="inlineStr">
        <is>
          <t>910703979141</t>
        </is>
      </c>
      <c r="B263" t="inlineStr">
        <is>
          <t>TCP</t>
        </is>
      </c>
      <c r="C263" t="inlineStr">
        <is>
          <t>BRCC</t>
        </is>
      </c>
      <c r="D263" s="6" t="n">
        <v>46252</v>
      </c>
      <c r="E263" t="inlineStr">
        <is>
          <t>DR</t>
        </is>
      </c>
      <c r="F263" t="inlineStr">
        <is>
          <t>CHF</t>
        </is>
      </c>
      <c r="G263" s="7" t="n">
        <v>-331282542.131</v>
      </c>
      <c r="H263" t="inlineStr">
        <is>
          <t>GBP</t>
        </is>
      </c>
      <c r="I263" s="7" t="n">
        <v>-297160440.292</v>
      </c>
      <c r="J263" s="8" t="n">
        <v>46252.36575231481</v>
      </c>
      <c r="K263" t="inlineStr">
        <is>
          <t>CF260818 00257</t>
        </is>
      </c>
      <c r="L263" t="inlineStr">
        <is>
          <t>GL.NOSTRO.CHF.BRCC.004</t>
        </is>
      </c>
      <c r="M263" t="inlineStr">
        <is>
          <t>Elmwood Settlement Bank</t>
        </is>
      </c>
      <c r="N263" t="inlineStr">
        <is>
          <t>BRCCTRSY</t>
        </is>
      </c>
      <c r="O263" t="inlineStr">
        <is>
          <t>NEW</t>
        </is>
      </c>
      <c r="Q263" t="inlineStr">
        <is>
          <t>NETTER</t>
        </is>
      </c>
    </row>
    <row r="264">
      <c r="A264" t="inlineStr">
        <is>
          <t>794226063698</t>
        </is>
      </c>
      <c r="B264" t="inlineStr">
        <is>
          <t>TCG</t>
        </is>
      </c>
      <c r="C264" t="inlineStr">
        <is>
          <t>BRMD</t>
        </is>
      </c>
      <c r="D264" s="6" t="n">
        <v>46252</v>
      </c>
      <c r="E264" t="inlineStr">
        <is>
          <t>DR</t>
        </is>
      </c>
      <c r="F264" t="inlineStr">
        <is>
          <t>AED</t>
        </is>
      </c>
      <c r="G264" s="7" t="n">
        <v>-3591035.782</v>
      </c>
      <c r="H264" t="inlineStr">
        <is>
          <t>GBP</t>
        </is>
      </c>
      <c r="I264" s="7" t="n">
        <v>-764890.622</v>
      </c>
      <c r="J264" s="8" t="n">
        <v>46252.56434027778</v>
      </c>
      <c r="K264" t="inlineStr">
        <is>
          <t>CF260818 00258</t>
        </is>
      </c>
      <c r="L264" t="inlineStr">
        <is>
          <t>GL.NOSTRO.AED.BRMD.009</t>
        </is>
      </c>
      <c r="M264" t="inlineStr">
        <is>
          <t>Yarrow Clearing</t>
        </is>
      </c>
      <c r="N264" t="inlineStr">
        <is>
          <t>BRMD</t>
        </is>
      </c>
      <c r="O264" t="inlineStr">
        <is>
          <t>NEW</t>
        </is>
      </c>
      <c r="Q264" t="inlineStr">
        <is>
          <t>NETTER</t>
        </is>
      </c>
    </row>
    <row r="265">
      <c r="A265" t="inlineStr">
        <is>
          <t>468341071172</t>
        </is>
      </c>
      <c r="B265" t="inlineStr">
        <is>
          <t>TCC</t>
        </is>
      </c>
      <c r="C265" t="inlineStr">
        <is>
          <t>BRCC</t>
        </is>
      </c>
      <c r="D265" s="6" t="n">
        <v>46252</v>
      </c>
      <c r="E265" t="inlineStr">
        <is>
          <t>CR</t>
        </is>
      </c>
      <c r="F265" t="inlineStr">
        <is>
          <t>EUR</t>
        </is>
      </c>
      <c r="G265" s="7" t="n">
        <v>7900251.811</v>
      </c>
      <c r="H265" t="inlineStr">
        <is>
          <t>GBP</t>
        </is>
      </c>
      <c r="I265" s="7" t="n">
        <v>6778416.054</v>
      </c>
      <c r="J265" s="8" t="n">
        <v>46252.43190972223</v>
      </c>
      <c r="K265" t="inlineStr">
        <is>
          <t>CF260818 00259</t>
        </is>
      </c>
      <c r="L265" t="inlineStr">
        <is>
          <t>GL.NOSTRO.EUR.BRCC.003</t>
        </is>
      </c>
      <c r="M265" t="inlineStr">
        <is>
          <t>Elmwood Clearing</t>
        </is>
      </c>
      <c r="N265" t="inlineStr">
        <is>
          <t>BRCCMM</t>
        </is>
      </c>
      <c r="O265" t="inlineStr">
        <is>
          <t>NEW</t>
        </is>
      </c>
      <c r="P265" t="inlineStr">
        <is>
          <t>NT26081800299</t>
        </is>
      </c>
      <c r="Q265" t="inlineStr">
        <is>
          <t>GROSS</t>
        </is>
      </c>
    </row>
    <row r="266">
      <c r="A266" t="inlineStr">
        <is>
          <t>468341071172</t>
        </is>
      </c>
      <c r="B266" t="inlineStr">
        <is>
          <t>TCP</t>
        </is>
      </c>
      <c r="C266" t="inlineStr">
        <is>
          <t>BRCC</t>
        </is>
      </c>
      <c r="D266" s="6" t="n">
        <v>46252</v>
      </c>
      <c r="E266" t="inlineStr">
        <is>
          <t>DR</t>
        </is>
      </c>
      <c r="F266" t="inlineStr">
        <is>
          <t>EUR</t>
        </is>
      </c>
      <c r="G266" s="7" t="n">
        <v>-74363963.564</v>
      </c>
      <c r="H266" t="inlineStr">
        <is>
          <t>GBP</t>
        </is>
      </c>
      <c r="I266" s="7" t="n">
        <v>-63804280.738</v>
      </c>
      <c r="J266" s="8" t="n">
        <v>46252.38136574074</v>
      </c>
      <c r="K266" t="inlineStr">
        <is>
          <t>CF260818 00260</t>
        </is>
      </c>
      <c r="L266" t="inlineStr">
        <is>
          <t>GL.NOSTRO.EUR.BRCC.003</t>
        </is>
      </c>
      <c r="M266" t="inlineStr">
        <is>
          <t>Redstart Commercial Bank</t>
        </is>
      </c>
      <c r="N266" t="inlineStr">
        <is>
          <t>BRCCTRSY</t>
        </is>
      </c>
      <c r="O266" t="inlineStr">
        <is>
          <t>NEW</t>
        </is>
      </c>
      <c r="P266" t="inlineStr">
        <is>
          <t>NT26081800291</t>
        </is>
      </c>
      <c r="Q266" t="inlineStr">
        <is>
          <t>NETTER</t>
        </is>
      </c>
    </row>
    <row r="267">
      <c r="A267" t="inlineStr">
        <is>
          <t>171857983160</t>
        </is>
      </c>
      <c r="B267" t="inlineStr">
        <is>
          <t>TCX</t>
        </is>
      </c>
      <c r="C267" t="inlineStr">
        <is>
          <t>BRBX</t>
        </is>
      </c>
      <c r="D267" s="6" t="n">
        <v>46252</v>
      </c>
      <c r="E267" t="inlineStr">
        <is>
          <t>DR</t>
        </is>
      </c>
      <c r="F267" t="inlineStr">
        <is>
          <t>AUD</t>
        </is>
      </c>
      <c r="G267" s="7" t="n">
        <v>-55787.946</v>
      </c>
      <c r="H267" t="inlineStr">
        <is>
          <t>GBP</t>
        </is>
      </c>
      <c r="I267" s="7" t="n">
        <v>-28619.216</v>
      </c>
      <c r="J267" s="8" t="n">
        <v>46252.42858796296</v>
      </c>
      <c r="K267" t="inlineStr">
        <is>
          <t>CF260818 00261</t>
        </is>
      </c>
      <c r="L267" t="inlineStr">
        <is>
          <t>GL.NOSTRO.AUD.BRBX.009</t>
        </is>
      </c>
      <c r="M267" t="inlineStr">
        <is>
          <t>Dunlin Clearing</t>
        </is>
      </c>
      <c r="N267" t="inlineStr">
        <is>
          <t>BRBXMM</t>
        </is>
      </c>
      <c r="O267" t="inlineStr">
        <is>
          <t>NEW</t>
        </is>
      </c>
      <c r="Q267" t="inlineStr">
        <is>
          <t>NETTER</t>
        </is>
      </c>
    </row>
    <row r="268">
      <c r="A268" t="inlineStr">
        <is>
          <t>284925023085</t>
        </is>
      </c>
      <c r="B268" t="inlineStr">
        <is>
          <t>TCC</t>
        </is>
      </c>
      <c r="C268" t="inlineStr">
        <is>
          <t>BRMD</t>
        </is>
      </c>
      <c r="D268" s="6" t="n">
        <v>46252</v>
      </c>
      <c r="E268" t="inlineStr">
        <is>
          <t>CR</t>
        </is>
      </c>
      <c r="F268" t="inlineStr">
        <is>
          <t>MXN</t>
        </is>
      </c>
      <c r="G268" s="7" t="n">
        <v>47097412.471</v>
      </c>
      <c r="H268" t="inlineStr">
        <is>
          <t>GBP</t>
        </is>
      </c>
      <c r="I268" s="7" t="n">
        <v>2015769.254</v>
      </c>
      <c r="J268" s="8" t="n">
        <v>46252.0243287037</v>
      </c>
      <c r="K268" t="inlineStr">
        <is>
          <t>CF260818 00262</t>
        </is>
      </c>
      <c r="L268" t="inlineStr">
        <is>
          <t>GL.NOSTRO.MXN.BRMD.004</t>
        </is>
      </c>
      <c r="M268" t="inlineStr">
        <is>
          <t>Larkspur Clearing</t>
        </is>
      </c>
      <c r="N268" t="inlineStr">
        <is>
          <t>BRMD</t>
        </is>
      </c>
      <c r="O268" t="inlineStr">
        <is>
          <t>NEW</t>
        </is>
      </c>
      <c r="Q268" t="inlineStr">
        <is>
          <t>NETTER</t>
        </is>
      </c>
    </row>
    <row r="269">
      <c r="A269" t="inlineStr">
        <is>
          <t>898317028833</t>
        </is>
      </c>
      <c r="B269" t="inlineStr">
        <is>
          <t>TCQ</t>
        </is>
      </c>
      <c r="C269" t="inlineStr">
        <is>
          <t>BRAA</t>
        </is>
      </c>
      <c r="D269" s="6" t="n">
        <v>46252</v>
      </c>
      <c r="E269" t="inlineStr">
        <is>
          <t>DR</t>
        </is>
      </c>
      <c r="F269" t="inlineStr">
        <is>
          <t>GBP</t>
        </is>
      </c>
      <c r="G269" s="7" t="n">
        <v>-72414921.34</v>
      </c>
      <c r="H269" t="inlineStr">
        <is>
          <t>GBP</t>
        </is>
      </c>
      <c r="I269" s="7" t="n">
        <v>-72414921.34</v>
      </c>
      <c r="J269" s="8" t="n">
        <v>46252.36168981482</v>
      </c>
      <c r="K269" t="inlineStr">
        <is>
          <t>CF260818 00263</t>
        </is>
      </c>
      <c r="L269" t="inlineStr">
        <is>
          <t>GL.NOSTRO.GBP.BRAA.008</t>
        </is>
      </c>
      <c r="M269" t="inlineStr">
        <is>
          <t>Vetchling Commercial Bank</t>
        </is>
      </c>
      <c r="N269" t="inlineStr">
        <is>
          <t>BRAA</t>
        </is>
      </c>
      <c r="O269" t="inlineStr">
        <is>
          <t>NEW</t>
        </is>
      </c>
      <c r="Q269" t="inlineStr">
        <is>
          <t>NETTER</t>
        </is>
      </c>
    </row>
    <row r="270">
      <c r="A270" t="inlineStr">
        <is>
          <t>468341071172</t>
        </is>
      </c>
      <c r="B270" t="inlineStr">
        <is>
          <t>TCP</t>
        </is>
      </c>
      <c r="C270" t="inlineStr">
        <is>
          <t>BRCC</t>
        </is>
      </c>
      <c r="D270" s="6" t="n">
        <v>46252</v>
      </c>
      <c r="E270" t="inlineStr">
        <is>
          <t>CR</t>
        </is>
      </c>
      <c r="F270" t="inlineStr">
        <is>
          <t>EUR</t>
        </is>
      </c>
      <c r="G270" s="7" t="n">
        <v>12838259.664</v>
      </c>
      <c r="H270" t="inlineStr">
        <is>
          <t>GBP</t>
        </is>
      </c>
      <c r="I270" s="7" t="n">
        <v>11015226.792</v>
      </c>
      <c r="J270" s="8" t="n">
        <v>46252.64162037037</v>
      </c>
      <c r="K270" t="inlineStr">
        <is>
          <t>CF260818 00264</t>
        </is>
      </c>
      <c r="L270" t="inlineStr">
        <is>
          <t>GL.NOSTRO.EUR.BRCC.002</t>
        </is>
      </c>
      <c r="M270" t="inlineStr">
        <is>
          <t>Elmwood Clearing</t>
        </is>
      </c>
      <c r="N270" t="inlineStr">
        <is>
          <t>BRCC</t>
        </is>
      </c>
      <c r="O270" t="inlineStr">
        <is>
          <t>NEW</t>
        </is>
      </c>
      <c r="Q270" t="inlineStr">
        <is>
          <t>GROSS</t>
        </is>
      </c>
    </row>
    <row r="271">
      <c r="A271" t="inlineStr">
        <is>
          <t>794226063698</t>
        </is>
      </c>
      <c r="B271" t="inlineStr">
        <is>
          <t>TCP</t>
        </is>
      </c>
      <c r="C271" t="inlineStr">
        <is>
          <t>BRMD</t>
        </is>
      </c>
      <c r="D271" s="6" t="n">
        <v>46252</v>
      </c>
      <c r="E271" t="inlineStr">
        <is>
          <t>DR</t>
        </is>
      </c>
      <c r="F271" t="inlineStr">
        <is>
          <t>AED</t>
        </is>
      </c>
      <c r="G271" s="7" t="n">
        <v>-141220083.392</v>
      </c>
      <c r="H271" t="inlineStr">
        <is>
          <t>GBP</t>
        </is>
      </c>
      <c r="I271" s="7" t="n">
        <v>-30079877.762</v>
      </c>
      <c r="J271" s="8" t="n">
        <v>46252.64730324074</v>
      </c>
      <c r="K271" t="inlineStr">
        <is>
          <t>CF260818 00265</t>
        </is>
      </c>
      <c r="L271" t="inlineStr">
        <is>
          <t>GL.NOSTRO.AED.BRMD.002</t>
        </is>
      </c>
      <c r="M271" t="inlineStr">
        <is>
          <t>Vetchling Bank</t>
        </is>
      </c>
      <c r="N271" t="inlineStr">
        <is>
          <t>BRMD</t>
        </is>
      </c>
      <c r="O271" t="inlineStr">
        <is>
          <t>NEW</t>
        </is>
      </c>
      <c r="Q271" t="inlineStr">
        <is>
          <t>GROSS</t>
        </is>
      </c>
    </row>
    <row r="272">
      <c r="A272" t="inlineStr">
        <is>
          <t>113829985108</t>
        </is>
      </c>
      <c r="B272" t="inlineStr">
        <is>
          <t>TCC</t>
        </is>
      </c>
      <c r="C272" t="inlineStr">
        <is>
          <t>BRGL</t>
        </is>
      </c>
      <c r="D272" s="6" t="n">
        <v>46252</v>
      </c>
      <c r="E272" t="inlineStr">
        <is>
          <t>CR</t>
        </is>
      </c>
      <c r="F272" t="inlineStr">
        <is>
          <t>EUR</t>
        </is>
      </c>
      <c r="G272" s="7" t="n">
        <v>139249437.373</v>
      </c>
      <c r="H272" t="inlineStr">
        <is>
          <t>GBP</t>
        </is>
      </c>
      <c r="I272" s="7" t="n">
        <v>119476017.266</v>
      </c>
      <c r="J272" s="8" t="n">
        <v>46252.70741898148</v>
      </c>
      <c r="K272" t="inlineStr">
        <is>
          <t>CF260818 00266</t>
        </is>
      </c>
      <c r="L272" t="inlineStr">
        <is>
          <t>GL.NOSTRO.EUR.BRGL.001</t>
        </is>
      </c>
      <c r="M272" t="inlineStr">
        <is>
          <t>Dunlin Clearing</t>
        </is>
      </c>
      <c r="N272" t="inlineStr">
        <is>
          <t>BRGLMM</t>
        </is>
      </c>
      <c r="O272" t="inlineStr">
        <is>
          <t>NEW</t>
        </is>
      </c>
      <c r="P272" t="inlineStr">
        <is>
          <t>NT26081800306</t>
        </is>
      </c>
      <c r="Q272" t="inlineStr">
        <is>
          <t>GROSS</t>
        </is>
      </c>
    </row>
    <row r="273">
      <c r="A273" t="inlineStr">
        <is>
          <t>150316825069</t>
        </is>
      </c>
      <c r="B273" t="inlineStr">
        <is>
          <t>TCG</t>
        </is>
      </c>
      <c r="C273" t="inlineStr">
        <is>
          <t>BRGX</t>
        </is>
      </c>
      <c r="D273" s="6" t="n">
        <v>46252</v>
      </c>
      <c r="E273" t="inlineStr">
        <is>
          <t>CR</t>
        </is>
      </c>
      <c r="F273" t="inlineStr">
        <is>
          <t>GBP</t>
        </is>
      </c>
      <c r="G273" s="7" t="n">
        <v>175784696.934</v>
      </c>
      <c r="H273" t="inlineStr">
        <is>
          <t>GBP</t>
        </is>
      </c>
      <c r="I273" s="7" t="n">
        <v>175784696.934</v>
      </c>
      <c r="J273" s="8" t="n">
        <v>46252.59228009259</v>
      </c>
      <c r="K273" t="inlineStr">
        <is>
          <t>CF260818 00267</t>
        </is>
      </c>
      <c r="L273" t="inlineStr">
        <is>
          <t>GL.NOSTRO.GBP.BRGX.001</t>
        </is>
      </c>
      <c r="M273" t="inlineStr">
        <is>
          <t>Umberton Clearing</t>
        </is>
      </c>
      <c r="N273" t="inlineStr">
        <is>
          <t>BRGXMM</t>
        </is>
      </c>
      <c r="O273" t="inlineStr">
        <is>
          <t>NEW</t>
        </is>
      </c>
      <c r="P273" t="inlineStr">
        <is>
          <t>NT26081800294</t>
        </is>
      </c>
      <c r="Q273" t="inlineStr">
        <is>
          <t>INTERNAL</t>
        </is>
      </c>
    </row>
    <row r="274">
      <c r="A274" t="inlineStr">
        <is>
          <t>910703979141</t>
        </is>
      </c>
      <c r="B274" t="inlineStr">
        <is>
          <t>TCQ</t>
        </is>
      </c>
      <c r="C274" t="inlineStr">
        <is>
          <t>BRCC</t>
        </is>
      </c>
      <c r="D274" s="6" t="n">
        <v>46252</v>
      </c>
      <c r="E274" t="inlineStr">
        <is>
          <t>DR</t>
        </is>
      </c>
      <c r="F274" t="inlineStr">
        <is>
          <t>CHF</t>
        </is>
      </c>
      <c r="G274" s="7" t="n">
        <v>-437223281.852</v>
      </c>
      <c r="H274" t="inlineStr">
        <is>
          <t>GBP</t>
        </is>
      </c>
      <c r="I274" s="7" t="n">
        <v>-392189283.821</v>
      </c>
      <c r="J274" s="8" t="n">
        <v>46252.70541666666</v>
      </c>
      <c r="K274" t="inlineStr">
        <is>
          <t>CF260818 00268</t>
        </is>
      </c>
      <c r="L274" t="inlineStr">
        <is>
          <t>GL.NOSTRO.CHF.BRCC.003</t>
        </is>
      </c>
      <c r="M274" t="inlineStr">
        <is>
          <t>Bramble Bank</t>
        </is>
      </c>
      <c r="N274" t="inlineStr">
        <is>
          <t>BRCCMM</t>
        </is>
      </c>
      <c r="O274" t="inlineStr">
        <is>
          <t>AMEND</t>
        </is>
      </c>
      <c r="P274" t="inlineStr">
        <is>
          <t>NT26081800310</t>
        </is>
      </c>
      <c r="Q274" t="inlineStr">
        <is>
          <t>NETTER</t>
        </is>
      </c>
    </row>
    <row r="275">
      <c r="A275" t="inlineStr">
        <is>
          <t>898317028833</t>
        </is>
      </c>
      <c r="B275" t="inlineStr">
        <is>
          <t>TCG</t>
        </is>
      </c>
      <c r="C275" t="inlineStr">
        <is>
          <t>BRAA</t>
        </is>
      </c>
      <c r="D275" s="6" t="n">
        <v>46252</v>
      </c>
      <c r="E275" t="inlineStr">
        <is>
          <t>DR</t>
        </is>
      </c>
      <c r="F275" t="inlineStr">
        <is>
          <t>GBP</t>
        </is>
      </c>
      <c r="G275" s="7" t="n">
        <v>-266041495.894</v>
      </c>
      <c r="H275" t="inlineStr">
        <is>
          <t>GBP</t>
        </is>
      </c>
      <c r="I275" s="7" t="n">
        <v>-266041495.894</v>
      </c>
      <c r="J275" s="8" t="n">
        <v>46252.38019675926</v>
      </c>
      <c r="K275" t="inlineStr">
        <is>
          <t>CF260818 00269</t>
        </is>
      </c>
      <c r="L275" t="inlineStr">
        <is>
          <t>GL.NOSTRO.GBP.BRAA.008</t>
        </is>
      </c>
      <c r="M275" t="inlineStr">
        <is>
          <t>Ironbark Commercial Bank</t>
        </is>
      </c>
      <c r="N275" t="inlineStr">
        <is>
          <t>BRAA</t>
        </is>
      </c>
      <c r="O275" t="inlineStr">
        <is>
          <t>CANCEL</t>
        </is>
      </c>
      <c r="Q275" t="inlineStr">
        <is>
          <t>NETTER</t>
        </is>
      </c>
    </row>
    <row r="276">
      <c r="A276" t="inlineStr">
        <is>
          <t>794226063698</t>
        </is>
      </c>
      <c r="B276" t="inlineStr">
        <is>
          <t>TCX</t>
        </is>
      </c>
      <c r="C276" t="inlineStr">
        <is>
          <t>BRMD</t>
        </is>
      </c>
      <c r="D276" s="6" t="n">
        <v>46252</v>
      </c>
      <c r="E276" t="inlineStr">
        <is>
          <t>CR</t>
        </is>
      </c>
      <c r="F276" t="inlineStr">
        <is>
          <t>AED</t>
        </is>
      </c>
      <c r="G276" s="7" t="n">
        <v>15091316.267</v>
      </c>
      <c r="H276" t="inlineStr">
        <is>
          <t>GBP</t>
        </is>
      </c>
      <c r="I276" s="7" t="n">
        <v>3214450.365</v>
      </c>
      <c r="J276" s="8" t="n">
        <v>46252.57670138889</v>
      </c>
      <c r="K276" t="inlineStr">
        <is>
          <t>CF260818 00270</t>
        </is>
      </c>
      <c r="L276" t="inlineStr">
        <is>
          <t>GL.NOSTRO.AED.BRMD.003</t>
        </is>
      </c>
      <c r="M276" t="inlineStr">
        <is>
          <t>Ironbark Trust</t>
        </is>
      </c>
      <c r="N276" t="inlineStr">
        <is>
          <t>BRMDCASH</t>
        </is>
      </c>
      <c r="O276" t="inlineStr">
        <is>
          <t>AMEND</t>
        </is>
      </c>
      <c r="Q276" t="inlineStr">
        <is>
          <t>NETTER</t>
        </is>
      </c>
    </row>
    <row r="277">
      <c r="A277" t="inlineStr">
        <is>
          <t>150316825069</t>
        </is>
      </c>
      <c r="B277" t="inlineStr">
        <is>
          <t>TCX</t>
        </is>
      </c>
      <c r="C277" t="inlineStr">
        <is>
          <t>BRGX</t>
        </is>
      </c>
      <c r="D277" s="6" t="n">
        <v>46252</v>
      </c>
      <c r="E277" t="inlineStr">
        <is>
          <t>CR</t>
        </is>
      </c>
      <c r="F277" t="inlineStr">
        <is>
          <t>GBP</t>
        </is>
      </c>
      <c r="G277" s="7" t="n">
        <v>57983374.628</v>
      </c>
      <c r="H277" t="inlineStr">
        <is>
          <t>GBP</t>
        </is>
      </c>
      <c r="I277" s="7" t="n">
        <v>57983374.628</v>
      </c>
      <c r="J277" s="8" t="n">
        <v>46252.42578703703</v>
      </c>
      <c r="K277" t="inlineStr">
        <is>
          <t>CF260818 00271</t>
        </is>
      </c>
      <c r="L277" t="inlineStr">
        <is>
          <t>GL.NOSTRO.GBP.BRGX.007</t>
        </is>
      </c>
      <c r="M277" t="inlineStr">
        <is>
          <t>Elmwood Bank</t>
        </is>
      </c>
      <c r="N277" t="inlineStr">
        <is>
          <t>BRGXCASH</t>
        </is>
      </c>
      <c r="O277" t="inlineStr">
        <is>
          <t>NEW</t>
        </is>
      </c>
      <c r="P277" t="inlineStr">
        <is>
          <t>NT26081800279</t>
        </is>
      </c>
      <c r="Q277" t="inlineStr">
        <is>
          <t>NETTER</t>
        </is>
      </c>
    </row>
    <row r="278">
      <c r="A278" t="inlineStr">
        <is>
          <t>968942362772</t>
        </is>
      </c>
      <c r="B278" t="inlineStr">
        <is>
          <t>TCC</t>
        </is>
      </c>
      <c r="C278" t="inlineStr">
        <is>
          <t>BRYG</t>
        </is>
      </c>
      <c r="D278" s="6" t="n">
        <v>46252</v>
      </c>
      <c r="E278" t="inlineStr">
        <is>
          <t>DR</t>
        </is>
      </c>
      <c r="F278" t="inlineStr">
        <is>
          <t>EUR</t>
        </is>
      </c>
      <c r="G278" s="7" t="n">
        <v>-582897.376</v>
      </c>
      <c r="H278" t="inlineStr">
        <is>
          <t>GBP</t>
        </is>
      </c>
      <c r="I278" s="7" t="n">
        <v>-500125.949</v>
      </c>
      <c r="J278" s="8" t="n">
        <v>46252.75820601852</v>
      </c>
      <c r="K278" t="inlineStr">
        <is>
          <t>CF260818 00272</t>
        </is>
      </c>
      <c r="L278" t="inlineStr">
        <is>
          <t>GL.NOSTRO.EUR.BRYG.008</t>
        </is>
      </c>
      <c r="M278" t="inlineStr">
        <is>
          <t>Yarrow Clearing</t>
        </is>
      </c>
      <c r="N278" t="inlineStr">
        <is>
          <t>BRYGMM</t>
        </is>
      </c>
      <c r="O278" t="inlineStr">
        <is>
          <t>NEW</t>
        </is>
      </c>
      <c r="Q278" t="inlineStr">
        <is>
          <t>GROSS</t>
        </is>
      </c>
    </row>
    <row r="279">
      <c r="A279" t="inlineStr">
        <is>
          <t>132544340094</t>
        </is>
      </c>
      <c r="B279" t="inlineStr">
        <is>
          <t>TCC</t>
        </is>
      </c>
      <c r="C279" t="inlineStr">
        <is>
          <t>BRYG</t>
        </is>
      </c>
      <c r="D279" s="6" t="n">
        <v>46252</v>
      </c>
      <c r="E279" t="inlineStr">
        <is>
          <t>CR</t>
        </is>
      </c>
      <c r="F279" t="inlineStr">
        <is>
          <t>CZK</t>
        </is>
      </c>
      <c r="G279" s="7" t="n">
        <v>337569072.104</v>
      </c>
      <c r="H279" t="inlineStr">
        <is>
          <t>GBP</t>
        </is>
      </c>
      <c r="I279" s="7" t="n">
        <v>11443591.544</v>
      </c>
      <c r="J279" s="8" t="n">
        <v>46252.44844907407</v>
      </c>
      <c r="K279" t="inlineStr">
        <is>
          <t>CF260818 00273</t>
        </is>
      </c>
      <c r="L279" t="inlineStr">
        <is>
          <t>GL.NOSTRO.CZK.BRYG.003</t>
        </is>
      </c>
      <c r="M279" t="inlineStr">
        <is>
          <t>Dunlin Trust</t>
        </is>
      </c>
      <c r="N279" t="inlineStr">
        <is>
          <t>BRYGCASH</t>
        </is>
      </c>
      <c r="O279" t="inlineStr">
        <is>
          <t>NEW</t>
        </is>
      </c>
      <c r="Q279" t="inlineStr">
        <is>
          <t>NETTER</t>
        </is>
      </c>
    </row>
    <row r="280">
      <c r="A280" t="inlineStr">
        <is>
          <t>150316825069</t>
        </is>
      </c>
      <c r="B280" t="inlineStr">
        <is>
          <t>TCQ</t>
        </is>
      </c>
      <c r="C280" t="inlineStr">
        <is>
          <t>BRGX</t>
        </is>
      </c>
      <c r="D280" s="6" t="n">
        <v>46252</v>
      </c>
      <c r="E280" t="inlineStr">
        <is>
          <t>CR</t>
        </is>
      </c>
      <c r="F280" t="inlineStr">
        <is>
          <t>GBP</t>
        </is>
      </c>
      <c r="G280" s="7" t="n">
        <v>13196.449</v>
      </c>
      <c r="H280" t="inlineStr">
        <is>
          <t>GBP</t>
        </is>
      </c>
      <c r="I280" s="7" t="n">
        <v>13196.449</v>
      </c>
      <c r="J280" s="8" t="n">
        <v>46252.41548611111</v>
      </c>
      <c r="K280" t="inlineStr">
        <is>
          <t>CF260818 00274</t>
        </is>
      </c>
      <c r="L280" t="inlineStr">
        <is>
          <t>GL.NOSTRO.GBP.BRGX.002</t>
        </is>
      </c>
      <c r="M280" t="inlineStr">
        <is>
          <t>Dunlin Clearing</t>
        </is>
      </c>
      <c r="N280" t="inlineStr">
        <is>
          <t>BRGXTRSY</t>
        </is>
      </c>
      <c r="O280" t="inlineStr">
        <is>
          <t>NEW</t>
        </is>
      </c>
      <c r="P280" t="inlineStr">
        <is>
          <t>NT26081800293</t>
        </is>
      </c>
      <c r="Q280" t="inlineStr">
        <is>
          <t>GROSS</t>
        </is>
      </c>
    </row>
    <row r="281">
      <c r="A281" t="inlineStr">
        <is>
          <t>700726936098</t>
        </is>
      </c>
      <c r="B281" t="inlineStr">
        <is>
          <t>TCQ</t>
        </is>
      </c>
      <c r="C281" t="inlineStr">
        <is>
          <t>BRMD</t>
        </is>
      </c>
      <c r="D281" s="6" t="n">
        <v>46252</v>
      </c>
      <c r="E281" t="inlineStr">
        <is>
          <t>DR</t>
        </is>
      </c>
      <c r="F281" t="inlineStr">
        <is>
          <t>SAR</t>
        </is>
      </c>
      <c r="G281" s="7" t="n">
        <v>-6634706.015</v>
      </c>
      <c r="H281" t="inlineStr">
        <is>
          <t>GBP</t>
        </is>
      </c>
      <c r="I281" s="7" t="n">
        <v>-1386653.557</v>
      </c>
      <c r="J281" s="8" t="n">
        <v>46252.45016203704</v>
      </c>
      <c r="K281" t="inlineStr">
        <is>
          <t>CF260818 00275</t>
        </is>
      </c>
      <c r="L281" t="inlineStr">
        <is>
          <t>GL.NOSTRO.SAR.BRMD.005</t>
        </is>
      </c>
      <c r="M281" t="inlineStr">
        <is>
          <t>Harrow Clearing</t>
        </is>
      </c>
      <c r="N281" t="inlineStr">
        <is>
          <t>BRMDCASH</t>
        </is>
      </c>
      <c r="O281" t="inlineStr">
        <is>
          <t>AMEND</t>
        </is>
      </c>
      <c r="Q281" t="inlineStr">
        <is>
          <t>GROSS</t>
        </is>
      </c>
    </row>
    <row r="282">
      <c r="A282" t="inlineStr">
        <is>
          <t>120047354818</t>
        </is>
      </c>
      <c r="B282" t="inlineStr">
        <is>
          <t>TCP</t>
        </is>
      </c>
      <c r="C282" t="inlineStr">
        <is>
          <t>BRNK</t>
        </is>
      </c>
      <c r="D282" s="6" t="n">
        <v>46252</v>
      </c>
      <c r="E282" t="inlineStr">
        <is>
          <t>DR</t>
        </is>
      </c>
      <c r="F282" t="inlineStr">
        <is>
          <t>USD</t>
        </is>
      </c>
      <c r="G282" s="7" t="n">
        <v>-13024703.124</v>
      </c>
      <c r="H282" t="inlineStr">
        <is>
          <t>GBP</t>
        </is>
      </c>
      <c r="I282" s="7" t="n">
        <v>-10211367.249</v>
      </c>
      <c r="J282" s="8" t="n">
        <v>46252.3106712963</v>
      </c>
      <c r="K282" t="inlineStr">
        <is>
          <t>CF260818 00276</t>
        </is>
      </c>
      <c r="L282" t="inlineStr">
        <is>
          <t>GL.NOSTRO.USD.BRNK.005</t>
        </is>
      </c>
      <c r="M282" t="inlineStr">
        <is>
          <t>Sablewood Settlement Bank</t>
        </is>
      </c>
      <c r="N282" t="inlineStr">
        <is>
          <t>BRNKCASH</t>
        </is>
      </c>
      <c r="O282" t="inlineStr">
        <is>
          <t>NEW</t>
        </is>
      </c>
      <c r="P282" t="inlineStr">
        <is>
          <t>NT26081800286</t>
        </is>
      </c>
      <c r="Q282" t="inlineStr">
        <is>
          <t>GROSS</t>
        </is>
      </c>
    </row>
    <row r="283">
      <c r="A283" t="inlineStr">
        <is>
          <t>120047354818</t>
        </is>
      </c>
      <c r="B283" t="inlineStr">
        <is>
          <t>TCP</t>
        </is>
      </c>
      <c r="C283" t="inlineStr">
        <is>
          <t>BRNK</t>
        </is>
      </c>
      <c r="D283" s="6" t="n">
        <v>46252</v>
      </c>
      <c r="E283" t="inlineStr">
        <is>
          <t>CR</t>
        </is>
      </c>
      <c r="F283" t="inlineStr">
        <is>
          <t>USD</t>
        </is>
      </c>
      <c r="G283" s="7" t="n">
        <v>28467768.619</v>
      </c>
      <c r="H283" t="inlineStr">
        <is>
          <t>GBP</t>
        </is>
      </c>
      <c r="I283" s="7" t="n">
        <v>22318730.597</v>
      </c>
      <c r="J283" s="8" t="n">
        <v>46252.36181712963</v>
      </c>
      <c r="K283" t="inlineStr">
        <is>
          <t>CF260818 00277</t>
        </is>
      </c>
      <c r="L283" t="inlineStr">
        <is>
          <t>GL.NOSTRO.USD.BRNK.009</t>
        </is>
      </c>
      <c r="M283" t="inlineStr">
        <is>
          <t>Mallow Commercial Bank</t>
        </is>
      </c>
      <c r="N283" t="inlineStr">
        <is>
          <t>BRNK</t>
        </is>
      </c>
      <c r="O283" t="inlineStr">
        <is>
          <t>NEW</t>
        </is>
      </c>
      <c r="Q283" t="inlineStr">
        <is>
          <t>NETTER</t>
        </is>
      </c>
    </row>
    <row r="284">
      <c r="A284" t="inlineStr">
        <is>
          <t>953625291146</t>
        </is>
      </c>
      <c r="B284" t="inlineStr">
        <is>
          <t>TCX</t>
        </is>
      </c>
      <c r="C284" t="inlineStr">
        <is>
          <t>BRGL</t>
        </is>
      </c>
      <c r="D284" s="6" t="n">
        <v>46252</v>
      </c>
      <c r="E284" t="inlineStr">
        <is>
          <t>CR</t>
        </is>
      </c>
      <c r="F284" t="inlineStr">
        <is>
          <t>USD</t>
        </is>
      </c>
      <c r="G284" s="7" t="n">
        <v>4132.991</v>
      </c>
      <c r="H284" t="inlineStr">
        <is>
          <t>GBP</t>
        </is>
      </c>
      <c r="I284" s="7" t="n">
        <v>3240.265</v>
      </c>
      <c r="J284" s="8" t="n">
        <v>46252.72033564815</v>
      </c>
      <c r="K284" t="inlineStr">
        <is>
          <t>CF260818 00278</t>
        </is>
      </c>
      <c r="L284" t="inlineStr">
        <is>
          <t>GL.NOSTRO.USD.BRGL.008</t>
        </is>
      </c>
      <c r="M284" t="inlineStr">
        <is>
          <t>Elmwood Trust</t>
        </is>
      </c>
      <c r="N284" t="inlineStr">
        <is>
          <t>BRGL</t>
        </is>
      </c>
      <c r="O284" t="inlineStr">
        <is>
          <t>NEW</t>
        </is>
      </c>
      <c r="P284" t="inlineStr">
        <is>
          <t>NT26081800292</t>
        </is>
      </c>
      <c r="Q284" t="inlineStr">
        <is>
          <t>NETTER</t>
        </is>
      </c>
    </row>
    <row r="285">
      <c r="A285" t="inlineStr">
        <is>
          <t>171857983160</t>
        </is>
      </c>
      <c r="B285" t="inlineStr">
        <is>
          <t>TCX</t>
        </is>
      </c>
      <c r="C285" t="inlineStr">
        <is>
          <t>BRBX</t>
        </is>
      </c>
      <c r="D285" s="6" t="n">
        <v>46252</v>
      </c>
      <c r="E285" t="inlineStr">
        <is>
          <t>DR</t>
        </is>
      </c>
      <c r="F285" t="inlineStr">
        <is>
          <t>AUD</t>
        </is>
      </c>
      <c r="G285" s="7" t="n">
        <v>-162830522.968</v>
      </c>
      <c r="H285" t="inlineStr">
        <is>
          <t>GBP</t>
        </is>
      </c>
      <c r="I285" s="7" t="n">
        <v>-83532058.28300001</v>
      </c>
      <c r="J285" s="8" t="n">
        <v>46252.71768518518</v>
      </c>
      <c r="K285" t="inlineStr">
        <is>
          <t>CF260818 00279</t>
        </is>
      </c>
      <c r="L285" t="inlineStr">
        <is>
          <t>GL.NOSTRO.AUD.BRBX.002</t>
        </is>
      </c>
      <c r="M285" t="inlineStr">
        <is>
          <t>Redstart Trust</t>
        </is>
      </c>
      <c r="N285" t="inlineStr">
        <is>
          <t>BRBX</t>
        </is>
      </c>
      <c r="O285" t="inlineStr">
        <is>
          <t>NEW</t>
        </is>
      </c>
      <c r="Q285" t="inlineStr">
        <is>
          <t>GROSS</t>
        </is>
      </c>
    </row>
    <row r="286">
      <c r="A286" t="inlineStr">
        <is>
          <t>726928343448</t>
        </is>
      </c>
      <c r="B286" t="inlineStr">
        <is>
          <t>TCG</t>
        </is>
      </c>
      <c r="C286" t="inlineStr">
        <is>
          <t>BRGX</t>
        </is>
      </c>
      <c r="D286" s="6" t="n">
        <v>46252</v>
      </c>
      <c r="E286" t="inlineStr">
        <is>
          <t>CR</t>
        </is>
      </c>
      <c r="F286" t="inlineStr">
        <is>
          <t>EUR</t>
        </is>
      </c>
      <c r="G286" s="7" t="n">
        <v>6099684.574</v>
      </c>
      <c r="H286" t="inlineStr">
        <is>
          <t>GBP</t>
        </is>
      </c>
      <c r="I286" s="7" t="n">
        <v>5233529.364</v>
      </c>
      <c r="J286" s="8" t="n">
        <v>46252.41686342593</v>
      </c>
      <c r="K286" t="inlineStr">
        <is>
          <t>CF260818 00280</t>
        </is>
      </c>
      <c r="L286" t="inlineStr">
        <is>
          <t>GL.NOSTRO.EUR.BRGX.005</t>
        </is>
      </c>
      <c r="M286" t="inlineStr">
        <is>
          <t>Sablewood Settlement Bank</t>
        </is>
      </c>
      <c r="N286" t="inlineStr">
        <is>
          <t>BRGXMM</t>
        </is>
      </c>
      <c r="O286" t="inlineStr">
        <is>
          <t>NEW</t>
        </is>
      </c>
      <c r="Q286" t="inlineStr">
        <is>
          <t>NETTER</t>
        </is>
      </c>
    </row>
    <row r="287">
      <c r="A287" t="inlineStr">
        <is>
          <t>726928343448</t>
        </is>
      </c>
      <c r="B287" t="inlineStr">
        <is>
          <t>TCX</t>
        </is>
      </c>
      <c r="C287" t="inlineStr">
        <is>
          <t>BRGX</t>
        </is>
      </c>
      <c r="D287" s="6" t="n">
        <v>46252</v>
      </c>
      <c r="E287" t="inlineStr">
        <is>
          <t>DR</t>
        </is>
      </c>
      <c r="F287" t="inlineStr">
        <is>
          <t>EUR</t>
        </is>
      </c>
      <c r="G287" s="7" t="n">
        <v>-12513.655</v>
      </c>
      <c r="H287" t="inlineStr">
        <is>
          <t>GBP</t>
        </is>
      </c>
      <c r="I287" s="7" t="n">
        <v>-10736.716</v>
      </c>
      <c r="J287" s="8" t="n">
        <v>46252.78387731482</v>
      </c>
      <c r="K287" t="inlineStr">
        <is>
          <t>CF260818 00281</t>
        </is>
      </c>
      <c r="L287" t="inlineStr">
        <is>
          <t>GL.NOSTRO.EUR.BRGX.005</t>
        </is>
      </c>
      <c r="M287" t="inlineStr">
        <is>
          <t>Umberton Commercial Bank</t>
        </is>
      </c>
      <c r="N287" t="inlineStr">
        <is>
          <t>BRGXTRSY</t>
        </is>
      </c>
      <c r="O287" t="inlineStr">
        <is>
          <t>NEW</t>
        </is>
      </c>
      <c r="Q287" t="inlineStr">
        <is>
          <t>GROSS</t>
        </is>
      </c>
    </row>
    <row r="288">
      <c r="A288" t="inlineStr">
        <is>
          <t>927538182434</t>
        </is>
      </c>
      <c r="B288" t="inlineStr">
        <is>
          <t>TCX</t>
        </is>
      </c>
      <c r="C288" t="inlineStr">
        <is>
          <t>BRNK</t>
        </is>
      </c>
      <c r="D288" s="6" t="n">
        <v>46252</v>
      </c>
      <c r="E288" t="inlineStr">
        <is>
          <t>DR</t>
        </is>
      </c>
      <c r="F288" t="inlineStr">
        <is>
          <t>CNY</t>
        </is>
      </c>
      <c r="G288" s="7" t="n">
        <v>-27905348.922</v>
      </c>
      <c r="H288" t="inlineStr">
        <is>
          <t>GBP</t>
        </is>
      </c>
      <c r="I288" s="7" t="n">
        <v>-3041683.032</v>
      </c>
      <c r="J288" s="8" t="n">
        <v>46252.74465277778</v>
      </c>
      <c r="K288" t="inlineStr">
        <is>
          <t>CF260818 00282</t>
        </is>
      </c>
      <c r="L288" t="inlineStr">
        <is>
          <t>GL.NOSTRO.CNY.BRNK.009</t>
        </is>
      </c>
      <c r="M288" t="inlineStr">
        <is>
          <t>Yarrow Bank</t>
        </is>
      </c>
      <c r="N288" t="inlineStr">
        <is>
          <t>BRNK</t>
        </is>
      </c>
      <c r="O288" t="inlineStr">
        <is>
          <t>NEW</t>
        </is>
      </c>
      <c r="Q288" t="inlineStr">
        <is>
          <t>GROSS</t>
        </is>
      </c>
    </row>
    <row r="289">
      <c r="A289" t="inlineStr">
        <is>
          <t>499062838623</t>
        </is>
      </c>
      <c r="B289" t="inlineStr">
        <is>
          <t>TCG</t>
        </is>
      </c>
      <c r="C289" t="inlineStr">
        <is>
          <t>BRBX</t>
        </is>
      </c>
      <c r="D289" s="6" t="n">
        <v>46252</v>
      </c>
      <c r="E289" t="inlineStr">
        <is>
          <t>CR</t>
        </is>
      </c>
      <c r="F289" t="inlineStr">
        <is>
          <t>USD</t>
        </is>
      </c>
      <c r="G289" s="7" t="n">
        <v>23874.183</v>
      </c>
      <c r="H289" t="inlineStr">
        <is>
          <t>GBP</t>
        </is>
      </c>
      <c r="I289" s="7" t="n">
        <v>18717.359</v>
      </c>
      <c r="J289" s="8" t="n">
        <v>46252.6683449074</v>
      </c>
      <c r="K289" t="inlineStr">
        <is>
          <t>CF260818 00283</t>
        </is>
      </c>
      <c r="L289" t="inlineStr">
        <is>
          <t>GL.NOSTRO.USD.BRBX.002</t>
        </is>
      </c>
      <c r="M289" t="inlineStr">
        <is>
          <t>Alder Clearing</t>
        </is>
      </c>
      <c r="N289" t="inlineStr">
        <is>
          <t>BRBX</t>
        </is>
      </c>
      <c r="O289" t="inlineStr">
        <is>
          <t>NEW</t>
        </is>
      </c>
      <c r="Q289" t="inlineStr">
        <is>
          <t>GROSS</t>
        </is>
      </c>
    </row>
    <row r="290">
      <c r="A290" t="inlineStr">
        <is>
          <t>794226063698</t>
        </is>
      </c>
      <c r="B290" t="inlineStr">
        <is>
          <t>TCX</t>
        </is>
      </c>
      <c r="C290" t="inlineStr">
        <is>
          <t>BRMD</t>
        </is>
      </c>
      <c r="D290" s="6" t="n">
        <v>46252</v>
      </c>
      <c r="E290" t="inlineStr">
        <is>
          <t>CR</t>
        </is>
      </c>
      <c r="F290" t="inlineStr">
        <is>
          <t>AED</t>
        </is>
      </c>
      <c r="G290" s="7" t="n">
        <v>107628086.95</v>
      </c>
      <c r="H290" t="inlineStr">
        <is>
          <t>GBP</t>
        </is>
      </c>
      <c r="I290" s="7" t="n">
        <v>22924782.52</v>
      </c>
      <c r="J290" s="8" t="n">
        <v>46252.83806712963</v>
      </c>
      <c r="K290" t="inlineStr">
        <is>
          <t>CF260818 00284</t>
        </is>
      </c>
      <c r="L290" t="inlineStr">
        <is>
          <t>GL.NOSTRO.AED.BRMD.001</t>
        </is>
      </c>
      <c r="M290" t="inlineStr">
        <is>
          <t>Larkspur Clearing</t>
        </is>
      </c>
      <c r="N290" t="inlineStr">
        <is>
          <t>BRMDTRSY</t>
        </is>
      </c>
      <c r="O290" t="inlineStr">
        <is>
          <t>NEW</t>
        </is>
      </c>
      <c r="Q290" t="inlineStr">
        <is>
          <t>GROSS</t>
        </is>
      </c>
    </row>
    <row r="291">
      <c r="A291" t="inlineStr">
        <is>
          <t>927538182434</t>
        </is>
      </c>
      <c r="B291" t="inlineStr">
        <is>
          <t>TCX</t>
        </is>
      </c>
      <c r="C291" t="inlineStr">
        <is>
          <t>BRNK</t>
        </is>
      </c>
      <c r="D291" s="6" t="n">
        <v>46252</v>
      </c>
      <c r="E291" t="inlineStr">
        <is>
          <t>DR</t>
        </is>
      </c>
      <c r="F291" t="inlineStr">
        <is>
          <t>CNY</t>
        </is>
      </c>
      <c r="G291" s="7" t="n">
        <v>-36157930.715</v>
      </c>
      <c r="H291" t="inlineStr">
        <is>
          <t>GBP</t>
        </is>
      </c>
      <c r="I291" s="7" t="n">
        <v>-3941214.448</v>
      </c>
      <c r="J291" s="8" t="n">
        <v>46252.35150462963</v>
      </c>
      <c r="K291" t="inlineStr">
        <is>
          <t>CF260818 00285</t>
        </is>
      </c>
      <c r="L291" t="inlineStr">
        <is>
          <t>GL.NOSTRO.CNY.BRNK.004</t>
        </is>
      </c>
      <c r="M291" t="inlineStr">
        <is>
          <t>Zephyr Commercial Bank</t>
        </is>
      </c>
      <c r="N291" t="inlineStr">
        <is>
          <t>BRNKMM</t>
        </is>
      </c>
      <c r="O291" t="inlineStr">
        <is>
          <t>NEW</t>
        </is>
      </c>
      <c r="P291" t="inlineStr">
        <is>
          <t>NT26081800301</t>
        </is>
      </c>
      <c r="Q291" t="inlineStr">
        <is>
          <t>NETTER</t>
        </is>
      </c>
    </row>
    <row r="292">
      <c r="A292" t="inlineStr">
        <is>
          <t>898317028833</t>
        </is>
      </c>
      <c r="B292" t="inlineStr">
        <is>
          <t>TCX</t>
        </is>
      </c>
      <c r="C292" t="inlineStr">
        <is>
          <t>BRAA</t>
        </is>
      </c>
      <c r="D292" s="6" t="n">
        <v>46252</v>
      </c>
      <c r="E292" t="inlineStr">
        <is>
          <t>CR</t>
        </is>
      </c>
      <c r="F292" t="inlineStr">
        <is>
          <t>GBP</t>
        </is>
      </c>
      <c r="G292" s="7" t="n">
        <v>242809546.8</v>
      </c>
      <c r="H292" t="inlineStr">
        <is>
          <t>GBP</t>
        </is>
      </c>
      <c r="I292" s="7" t="n">
        <v>242809546.8</v>
      </c>
      <c r="J292" s="8" t="n">
        <v>46252.33885416666</v>
      </c>
      <c r="K292" t="inlineStr">
        <is>
          <t>CF260818 00286</t>
        </is>
      </c>
      <c r="L292" t="inlineStr">
        <is>
          <t>GL.NOSTRO.GBP.BRAA.004</t>
        </is>
      </c>
      <c r="M292" t="inlineStr">
        <is>
          <t>Alder Trust</t>
        </is>
      </c>
      <c r="N292" t="inlineStr">
        <is>
          <t>BRAA</t>
        </is>
      </c>
      <c r="O292" t="inlineStr">
        <is>
          <t>NEW</t>
        </is>
      </c>
      <c r="P292" t="inlineStr">
        <is>
          <t>NT26081800310</t>
        </is>
      </c>
      <c r="Q292" t="inlineStr">
        <is>
          <t>INTERNAL</t>
        </is>
      </c>
    </row>
    <row r="293">
      <c r="A293" t="inlineStr">
        <is>
          <t>150316825069</t>
        </is>
      </c>
      <c r="B293" t="inlineStr">
        <is>
          <t>TCC</t>
        </is>
      </c>
      <c r="C293" t="inlineStr">
        <is>
          <t>BRGX</t>
        </is>
      </c>
      <c r="D293" s="6" t="n">
        <v>46252</v>
      </c>
      <c r="E293" t="inlineStr">
        <is>
          <t>DR</t>
        </is>
      </c>
      <c r="F293" t="inlineStr">
        <is>
          <t>GBP</t>
        </is>
      </c>
      <c r="G293" s="7" t="n">
        <v>-2575060.799</v>
      </c>
      <c r="H293" t="inlineStr">
        <is>
          <t>GBP</t>
        </is>
      </c>
      <c r="I293" s="7" t="n">
        <v>-2575060.799</v>
      </c>
      <c r="J293" s="8" t="n">
        <v>46252.69322916667</v>
      </c>
      <c r="K293" t="inlineStr">
        <is>
          <t>CF260818 00287</t>
        </is>
      </c>
      <c r="L293" t="inlineStr">
        <is>
          <t>GL.NOSTRO.GBP.BRGX.002</t>
        </is>
      </c>
      <c r="M293" t="inlineStr">
        <is>
          <t>Oriel Trust</t>
        </is>
      </c>
      <c r="N293" t="inlineStr">
        <is>
          <t>BRGXMM</t>
        </is>
      </c>
      <c r="O293" t="inlineStr">
        <is>
          <t>NEW</t>
        </is>
      </c>
      <c r="Q293" t="inlineStr">
        <is>
          <t>NETTER</t>
        </is>
      </c>
    </row>
    <row r="294">
      <c r="A294" t="inlineStr">
        <is>
          <t>468341071172</t>
        </is>
      </c>
      <c r="B294" t="inlineStr">
        <is>
          <t>TCG</t>
        </is>
      </c>
      <c r="C294" t="inlineStr">
        <is>
          <t>BRCC</t>
        </is>
      </c>
      <c r="D294" s="6" t="n">
        <v>46252</v>
      </c>
      <c r="E294" t="inlineStr">
        <is>
          <t>DR</t>
        </is>
      </c>
      <c r="F294" t="inlineStr">
        <is>
          <t>EUR</t>
        </is>
      </c>
      <c r="G294" s="7" t="n">
        <v>-2178708.621</v>
      </c>
      <c r="H294" t="inlineStr">
        <is>
          <t>GBP</t>
        </is>
      </c>
      <c r="I294" s="7" t="n">
        <v>-1869331.997</v>
      </c>
      <c r="J294" s="8" t="n">
        <v>46252.60532407407</v>
      </c>
      <c r="K294" t="inlineStr">
        <is>
          <t>CF260818 00288</t>
        </is>
      </c>
      <c r="L294" t="inlineStr">
        <is>
          <t>GL.NOSTRO.EUR.BRCC.004</t>
        </is>
      </c>
      <c r="M294" t="inlineStr">
        <is>
          <t>Umberton Commercial Bank</t>
        </is>
      </c>
      <c r="N294" t="inlineStr">
        <is>
          <t>BRCCTRSY</t>
        </is>
      </c>
      <c r="O294" t="inlineStr">
        <is>
          <t>NEW</t>
        </is>
      </c>
      <c r="Q294" t="inlineStr">
        <is>
          <t>NETTER</t>
        </is>
      </c>
    </row>
    <row r="295">
      <c r="A295" t="inlineStr">
        <is>
          <t>468341071172</t>
        </is>
      </c>
      <c r="B295" t="inlineStr">
        <is>
          <t>TCX</t>
        </is>
      </c>
      <c r="C295" t="inlineStr">
        <is>
          <t>BRCC</t>
        </is>
      </c>
      <c r="D295" s="6" t="n">
        <v>46252</v>
      </c>
      <c r="E295" t="inlineStr">
        <is>
          <t>CR</t>
        </is>
      </c>
      <c r="F295" t="inlineStr">
        <is>
          <t>EUR</t>
        </is>
      </c>
      <c r="G295" s="7" t="n">
        <v>11568.523</v>
      </c>
      <c r="H295" t="inlineStr">
        <is>
          <t>GBP</t>
        </is>
      </c>
      <c r="I295" s="7" t="n">
        <v>9925.793</v>
      </c>
      <c r="J295" s="8" t="n">
        <v>46252.31945601852</v>
      </c>
      <c r="K295" t="inlineStr">
        <is>
          <t>CF260818 00289</t>
        </is>
      </c>
      <c r="L295" t="inlineStr">
        <is>
          <t>GL.NOSTRO.EUR.BRCC.001</t>
        </is>
      </c>
      <c r="M295" t="inlineStr">
        <is>
          <t>Granite Bank</t>
        </is>
      </c>
      <c r="N295" t="inlineStr">
        <is>
          <t>BRCC</t>
        </is>
      </c>
      <c r="O295" t="inlineStr">
        <is>
          <t>NEW</t>
        </is>
      </c>
      <c r="P295" t="inlineStr">
        <is>
          <t>NT26081800315</t>
        </is>
      </c>
      <c r="Q295" t="inlineStr">
        <is>
          <t>NETTER</t>
        </is>
      </c>
    </row>
    <row r="296">
      <c r="A296" t="inlineStr">
        <is>
          <t>953625291146</t>
        </is>
      </c>
      <c r="B296" t="inlineStr">
        <is>
          <t>TCX</t>
        </is>
      </c>
      <c r="C296" t="inlineStr">
        <is>
          <t>BRGL</t>
        </is>
      </c>
      <c r="D296" s="6" t="n">
        <v>46252</v>
      </c>
      <c r="E296" t="inlineStr">
        <is>
          <t>CR</t>
        </is>
      </c>
      <c r="F296" t="inlineStr">
        <is>
          <t>USD</t>
        </is>
      </c>
      <c r="G296" s="7" t="n">
        <v>1434925.71</v>
      </c>
      <c r="H296" t="inlineStr">
        <is>
          <t>GBP</t>
        </is>
      </c>
      <c r="I296" s="7" t="n">
        <v>1124981.757</v>
      </c>
      <c r="J296" s="8" t="n">
        <v>46252.59228009259</v>
      </c>
      <c r="K296" t="inlineStr">
        <is>
          <t>CF260818 00290</t>
        </is>
      </c>
      <c r="L296" t="inlineStr">
        <is>
          <t>GL.NOSTRO.USD.BRGL.009</t>
        </is>
      </c>
      <c r="M296" t="inlineStr">
        <is>
          <t>Sablewood Commercial Bank</t>
        </is>
      </c>
      <c r="N296" t="inlineStr">
        <is>
          <t>BRGLCASH</t>
        </is>
      </c>
      <c r="O296" t="inlineStr">
        <is>
          <t>NEW</t>
        </is>
      </c>
      <c r="P296" t="inlineStr">
        <is>
          <t>NT26081800314</t>
        </is>
      </c>
      <c r="Q296" t="inlineStr">
        <is>
          <t>GROSS</t>
        </is>
      </c>
    </row>
    <row r="297">
      <c r="A297" t="inlineStr">
        <is>
          <t>150316825069</t>
        </is>
      </c>
      <c r="B297" t="inlineStr">
        <is>
          <t>TCQ</t>
        </is>
      </c>
      <c r="C297" t="inlineStr">
        <is>
          <t>BRGX</t>
        </is>
      </c>
      <c r="D297" s="6" t="n">
        <v>46252</v>
      </c>
      <c r="E297" t="inlineStr">
        <is>
          <t>CR</t>
        </is>
      </c>
      <c r="F297" t="inlineStr">
        <is>
          <t>GBP</t>
        </is>
      </c>
      <c r="G297" s="7" t="n">
        <v>807604657.883</v>
      </c>
      <c r="H297" t="inlineStr">
        <is>
          <t>GBP</t>
        </is>
      </c>
      <c r="I297" s="7" t="n">
        <v>807604657.883</v>
      </c>
      <c r="J297" s="8" t="n">
        <v>46252.61037037037</v>
      </c>
      <c r="K297" t="inlineStr">
        <is>
          <t>CF260818 00291</t>
        </is>
      </c>
      <c r="L297" t="inlineStr">
        <is>
          <t>GL.NOSTRO.GBP.BRGX.008</t>
        </is>
      </c>
      <c r="M297" t="inlineStr">
        <is>
          <t>Cedar Commercial Bank</t>
        </is>
      </c>
      <c r="N297" t="inlineStr">
        <is>
          <t>BRGXMM</t>
        </is>
      </c>
      <c r="O297" t="inlineStr">
        <is>
          <t>NEW</t>
        </is>
      </c>
      <c r="P297" t="inlineStr">
        <is>
          <t>NT26081800306</t>
        </is>
      </c>
      <c r="Q297" t="inlineStr">
        <is>
          <t>GROSS</t>
        </is>
      </c>
    </row>
    <row r="298">
      <c r="A298" t="inlineStr">
        <is>
          <t>794226063698</t>
        </is>
      </c>
      <c r="B298" t="inlineStr">
        <is>
          <t>TCC</t>
        </is>
      </c>
      <c r="C298" t="inlineStr">
        <is>
          <t>BRMD</t>
        </is>
      </c>
      <c r="D298" s="6" t="n">
        <v>46252</v>
      </c>
      <c r="E298" t="inlineStr">
        <is>
          <t>CR</t>
        </is>
      </c>
      <c r="F298" t="inlineStr">
        <is>
          <t>AED</t>
        </is>
      </c>
      <c r="G298" s="7" t="n">
        <v>316922424.537</v>
      </c>
      <c r="H298" t="inlineStr">
        <is>
          <t>GBP</t>
        </is>
      </c>
      <c r="I298" s="7" t="n">
        <v>67504476.426</v>
      </c>
      <c r="J298" s="8" t="n">
        <v>46252.30291666667</v>
      </c>
      <c r="K298" t="inlineStr">
        <is>
          <t>CF260818 00292</t>
        </is>
      </c>
      <c r="L298" t="inlineStr">
        <is>
          <t>GL.NOSTRO.AED.BRMD.005</t>
        </is>
      </c>
      <c r="M298" t="inlineStr">
        <is>
          <t>Vetchling Bank</t>
        </is>
      </c>
      <c r="N298" t="inlineStr">
        <is>
          <t>BRMD</t>
        </is>
      </c>
      <c r="O298" t="inlineStr">
        <is>
          <t>NEW</t>
        </is>
      </c>
      <c r="Q298" t="inlineStr">
        <is>
          <t>GROSS</t>
        </is>
      </c>
    </row>
    <row r="299">
      <c r="A299" t="inlineStr">
        <is>
          <t>794226063698</t>
        </is>
      </c>
      <c r="B299" t="inlineStr">
        <is>
          <t>TCG</t>
        </is>
      </c>
      <c r="C299" t="inlineStr">
        <is>
          <t>BRMD</t>
        </is>
      </c>
      <c r="D299" s="6" t="n">
        <v>46252</v>
      </c>
      <c r="E299" t="inlineStr">
        <is>
          <t>CR</t>
        </is>
      </c>
      <c r="F299" t="inlineStr">
        <is>
          <t>AED</t>
        </is>
      </c>
      <c r="G299" s="7" t="n">
        <v>1081271723.128</v>
      </c>
      <c r="H299" t="inlineStr">
        <is>
          <t>GBP</t>
        </is>
      </c>
      <c r="I299" s="7" t="n">
        <v>230310877.026</v>
      </c>
      <c r="J299" s="8" t="n">
        <v>46252.57282407407</v>
      </c>
      <c r="K299" t="inlineStr">
        <is>
          <t>CF260818 00293</t>
        </is>
      </c>
      <c r="L299" t="inlineStr">
        <is>
          <t>GL.NOSTRO.AED.BRMD.008</t>
        </is>
      </c>
      <c r="M299" t="inlineStr">
        <is>
          <t>Granite Clearing</t>
        </is>
      </c>
      <c r="N299" t="inlineStr">
        <is>
          <t>BRMDMM</t>
        </is>
      </c>
      <c r="O299" t="inlineStr">
        <is>
          <t>NEW</t>
        </is>
      </c>
      <c r="P299" t="inlineStr">
        <is>
          <t>NT26081800308</t>
        </is>
      </c>
      <c r="Q299" t="inlineStr">
        <is>
          <t>GROSS</t>
        </is>
      </c>
    </row>
    <row r="300">
      <c r="A300" t="inlineStr">
        <is>
          <t>794226063698</t>
        </is>
      </c>
      <c r="B300" t="inlineStr">
        <is>
          <t>TCG</t>
        </is>
      </c>
      <c r="C300" t="inlineStr">
        <is>
          <t>BRMD</t>
        </is>
      </c>
      <c r="D300" s="6" t="n">
        <v>46252</v>
      </c>
      <c r="E300" t="inlineStr">
        <is>
          <t>CR</t>
        </is>
      </c>
      <c r="F300" t="inlineStr">
        <is>
          <t>AED</t>
        </is>
      </c>
      <c r="G300" s="7" t="n">
        <v>835585653.215</v>
      </c>
      <c r="H300" t="inlineStr">
        <is>
          <t>GBP</t>
        </is>
      </c>
      <c r="I300" s="7" t="n">
        <v>177979744.135</v>
      </c>
      <c r="J300" s="8" t="n">
        <v>46252.31064814814</v>
      </c>
      <c r="K300" t="inlineStr">
        <is>
          <t>CF260818 00294</t>
        </is>
      </c>
      <c r="L300" t="inlineStr">
        <is>
          <t>GL.NOSTRO.AED.BRMD.002</t>
        </is>
      </c>
      <c r="M300" t="inlineStr">
        <is>
          <t>Sablewood Settlement Bank</t>
        </is>
      </c>
      <c r="N300" t="inlineStr">
        <is>
          <t>BRMD</t>
        </is>
      </c>
      <c r="O300" t="inlineStr">
        <is>
          <t>NEW</t>
        </is>
      </c>
      <c r="Q300" t="inlineStr">
        <is>
          <t>GROSS</t>
        </is>
      </c>
    </row>
    <row r="301">
      <c r="A301" t="inlineStr">
        <is>
          <t>284925023085</t>
        </is>
      </c>
      <c r="B301" t="inlineStr">
        <is>
          <t>TCQ</t>
        </is>
      </c>
      <c r="C301" t="inlineStr">
        <is>
          <t>BRMD</t>
        </is>
      </c>
      <c r="D301" s="6" t="n">
        <v>46252</v>
      </c>
      <c r="E301" t="inlineStr">
        <is>
          <t>DR</t>
        </is>
      </c>
      <c r="F301" t="inlineStr">
        <is>
          <t>MXN</t>
        </is>
      </c>
      <c r="G301" s="7" t="n">
        <v>-692215992.5190001</v>
      </c>
      <c r="H301" t="inlineStr">
        <is>
          <t>GBP</t>
        </is>
      </c>
      <c r="I301" s="7" t="n">
        <v>-29626844.48</v>
      </c>
      <c r="J301" s="8" t="n">
        <v>46252.46861111111</v>
      </c>
      <c r="K301" t="inlineStr">
        <is>
          <t>CF260818 00295</t>
        </is>
      </c>
      <c r="L301" t="inlineStr">
        <is>
          <t>GL.NOSTRO.MXN.BRMD.009</t>
        </is>
      </c>
      <c r="M301" t="inlineStr">
        <is>
          <t>Redstart Trust</t>
        </is>
      </c>
      <c r="N301" t="inlineStr">
        <is>
          <t>BRMDTRSY</t>
        </is>
      </c>
      <c r="O301" t="inlineStr">
        <is>
          <t>NEW</t>
        </is>
      </c>
      <c r="Q301" t="inlineStr">
        <is>
          <t>NETTER</t>
        </is>
      </c>
    </row>
    <row r="302">
      <c r="A302" t="inlineStr">
        <is>
          <t>794226063698</t>
        </is>
      </c>
      <c r="B302" t="inlineStr">
        <is>
          <t>TCQ</t>
        </is>
      </c>
      <c r="C302" t="inlineStr">
        <is>
          <t>BRMD</t>
        </is>
      </c>
      <c r="D302" s="6" t="n">
        <v>46252</v>
      </c>
      <c r="E302" t="inlineStr">
        <is>
          <t>CR</t>
        </is>
      </c>
      <c r="F302" t="inlineStr">
        <is>
          <t>AED</t>
        </is>
      </c>
      <c r="G302" s="7" t="n">
        <v>12727529.64</v>
      </c>
      <c r="H302" t="inlineStr">
        <is>
          <t>GBP</t>
        </is>
      </c>
      <c r="I302" s="7" t="n">
        <v>2710963.813</v>
      </c>
      <c r="J302" s="8" t="n">
        <v>46252.31883101852</v>
      </c>
      <c r="K302" t="inlineStr">
        <is>
          <t>CF260818 00296</t>
        </is>
      </c>
      <c r="L302" t="inlineStr">
        <is>
          <t>GL.NOSTRO.AED.BRMD.005</t>
        </is>
      </c>
      <c r="M302" t="inlineStr">
        <is>
          <t>Cedar Commercial Bank</t>
        </is>
      </c>
      <c r="N302" t="inlineStr">
        <is>
          <t>BRMD</t>
        </is>
      </c>
      <c r="O302" t="inlineStr">
        <is>
          <t>NEW</t>
        </is>
      </c>
      <c r="P302" t="inlineStr">
        <is>
          <t>NT26081800308</t>
        </is>
      </c>
      <c r="Q302" t="inlineStr">
        <is>
          <t>NETTER</t>
        </is>
      </c>
    </row>
    <row r="303">
      <c r="A303" t="inlineStr">
        <is>
          <t>794226063698</t>
        </is>
      </c>
      <c r="B303" t="inlineStr">
        <is>
          <t>TCX</t>
        </is>
      </c>
      <c r="C303" t="inlineStr">
        <is>
          <t>BRMD</t>
        </is>
      </c>
      <c r="D303" s="6" t="n">
        <v>46252</v>
      </c>
      <c r="E303" t="inlineStr">
        <is>
          <t>CR</t>
        </is>
      </c>
      <c r="F303" t="inlineStr">
        <is>
          <t>AED</t>
        </is>
      </c>
      <c r="G303" s="7" t="n">
        <v>169303972.37</v>
      </c>
      <c r="H303" t="inlineStr">
        <is>
          <t>GBP</t>
        </is>
      </c>
      <c r="I303" s="7" t="n">
        <v>36061746.115</v>
      </c>
      <c r="J303" s="8" t="n">
        <v>46252.50158564815</v>
      </c>
      <c r="K303" t="inlineStr">
        <is>
          <t>CF260818 00297</t>
        </is>
      </c>
      <c r="L303" t="inlineStr">
        <is>
          <t>GL.NOSTRO.AED.BRMD.007</t>
        </is>
      </c>
      <c r="M303" t="inlineStr">
        <is>
          <t>Nightjar Bank</t>
        </is>
      </c>
      <c r="N303" t="inlineStr">
        <is>
          <t>BRMDTRSY</t>
        </is>
      </c>
      <c r="O303" t="inlineStr">
        <is>
          <t>NEW</t>
        </is>
      </c>
      <c r="P303" t="inlineStr">
        <is>
          <t>NT26081800284</t>
        </is>
      </c>
      <c r="Q303" t="inlineStr">
        <is>
          <t>GROSS</t>
        </is>
      </c>
    </row>
    <row r="304">
      <c r="A304" t="inlineStr">
        <is>
          <t>468341071172</t>
        </is>
      </c>
      <c r="B304" t="inlineStr">
        <is>
          <t>TCC</t>
        </is>
      </c>
      <c r="C304" t="inlineStr">
        <is>
          <t>BRCC</t>
        </is>
      </c>
      <c r="D304" s="6" t="n">
        <v>46252</v>
      </c>
      <c r="E304" t="inlineStr">
        <is>
          <t>DR</t>
        </is>
      </c>
      <c r="F304" t="inlineStr">
        <is>
          <t>EUR</t>
        </is>
      </c>
      <c r="G304" s="7" t="n">
        <v>-22239.979</v>
      </c>
      <c r="H304" t="inlineStr">
        <is>
          <t>GBP</t>
        </is>
      </c>
      <c r="I304" s="7" t="n">
        <v>-19081.902</v>
      </c>
      <c r="J304" s="8" t="n">
        <v>46252.48534722222</v>
      </c>
      <c r="K304" t="inlineStr">
        <is>
          <t>CF260818 00298</t>
        </is>
      </c>
      <c r="L304" t="inlineStr">
        <is>
          <t>GL.NOSTRO.EUR.BRCC.005</t>
        </is>
      </c>
      <c r="M304" t="inlineStr">
        <is>
          <t>Cedar Commercial Bank</t>
        </is>
      </c>
      <c r="N304" t="inlineStr">
        <is>
          <t>BRCCTRSY</t>
        </is>
      </c>
      <c r="O304" t="inlineStr">
        <is>
          <t>AMEND</t>
        </is>
      </c>
      <c r="Q304" t="inlineStr">
        <is>
          <t>INTERNAL</t>
        </is>
      </c>
    </row>
    <row r="305">
      <c r="A305" t="inlineStr">
        <is>
          <t>794226063698</t>
        </is>
      </c>
      <c r="B305" t="inlineStr">
        <is>
          <t>TCX</t>
        </is>
      </c>
      <c r="C305" t="inlineStr">
        <is>
          <t>BRMD</t>
        </is>
      </c>
      <c r="D305" s="6" t="n">
        <v>46252</v>
      </c>
      <c r="E305" t="inlineStr">
        <is>
          <t>CR</t>
        </is>
      </c>
      <c r="F305" t="inlineStr">
        <is>
          <t>AED</t>
        </is>
      </c>
      <c r="G305" s="7" t="n">
        <v>115942.865</v>
      </c>
      <c r="H305" t="inlineStr">
        <is>
          <t>GBP</t>
        </is>
      </c>
      <c r="I305" s="7" t="n">
        <v>24695.83</v>
      </c>
      <c r="J305" s="8" t="n">
        <v>46252.70116898148</v>
      </c>
      <c r="K305" t="inlineStr">
        <is>
          <t>CF260818 00299</t>
        </is>
      </c>
      <c r="L305" t="inlineStr">
        <is>
          <t>GL.NOSTRO.AED.BRMD.002</t>
        </is>
      </c>
      <c r="M305" t="inlineStr">
        <is>
          <t>Ironbark Commercial Bank</t>
        </is>
      </c>
      <c r="N305" t="inlineStr">
        <is>
          <t>BRMDMM</t>
        </is>
      </c>
      <c r="O305" t="inlineStr">
        <is>
          <t>AMEND</t>
        </is>
      </c>
      <c r="P305" t="inlineStr">
        <is>
          <t>NT26081800301</t>
        </is>
      </c>
      <c r="Q305" t="inlineStr">
        <is>
          <t>NETTER</t>
        </is>
      </c>
    </row>
    <row r="306">
      <c r="A306" t="inlineStr">
        <is>
          <t>898317028833</t>
        </is>
      </c>
      <c r="B306" t="inlineStr">
        <is>
          <t>TCP</t>
        </is>
      </c>
      <c r="C306" t="inlineStr">
        <is>
          <t>BRAA</t>
        </is>
      </c>
      <c r="D306" s="6" t="n">
        <v>46252</v>
      </c>
      <c r="E306" t="inlineStr">
        <is>
          <t>DR</t>
        </is>
      </c>
      <c r="F306" t="inlineStr">
        <is>
          <t>GBP</t>
        </is>
      </c>
      <c r="G306" s="7" t="n">
        <v>-3007144.422</v>
      </c>
      <c r="H306" t="inlineStr">
        <is>
          <t>GBP</t>
        </is>
      </c>
      <c r="I306" s="7" t="n">
        <v>-3007144.422</v>
      </c>
      <c r="J306" s="8" t="n">
        <v>46252.32282407407</v>
      </c>
      <c r="K306" t="inlineStr">
        <is>
          <t>CF260818 00300</t>
        </is>
      </c>
      <c r="L306" t="inlineStr">
        <is>
          <t>GL.NOSTRO.GBP.BRAA.007</t>
        </is>
      </c>
      <c r="M306" t="inlineStr">
        <is>
          <t>Dunlin Trust</t>
        </is>
      </c>
      <c r="N306" t="inlineStr">
        <is>
          <t>BRAAMM</t>
        </is>
      </c>
      <c r="O306" t="inlineStr">
        <is>
          <t>NEW</t>
        </is>
      </c>
      <c r="P306" t="inlineStr">
        <is>
          <t>NT26081800277</t>
        </is>
      </c>
      <c r="Q306" t="inlineStr">
        <is>
          <t>NETTER</t>
        </is>
      </c>
    </row>
    <row r="307">
      <c r="A307" t="inlineStr">
        <is>
          <t>794226063698</t>
        </is>
      </c>
      <c r="B307" t="inlineStr">
        <is>
          <t>TCQ</t>
        </is>
      </c>
      <c r="C307" t="inlineStr">
        <is>
          <t>BRMD</t>
        </is>
      </c>
      <c r="D307" s="6" t="n">
        <v>46252</v>
      </c>
      <c r="E307" t="inlineStr">
        <is>
          <t>DR</t>
        </is>
      </c>
      <c r="F307" t="inlineStr">
        <is>
          <t>AED</t>
        </is>
      </c>
      <c r="G307" s="7" t="n">
        <v>-23558740.122</v>
      </c>
      <c r="H307" t="inlineStr">
        <is>
          <t>GBP</t>
        </is>
      </c>
      <c r="I307" s="7" t="n">
        <v>-5018011.646</v>
      </c>
      <c r="J307" s="8" t="n">
        <v>46252.39813657408</v>
      </c>
      <c r="K307" t="inlineStr">
        <is>
          <t>CF260818 00301</t>
        </is>
      </c>
      <c r="L307" t="inlineStr">
        <is>
          <t>GL.NOSTRO.AED.BRMD.006</t>
        </is>
      </c>
      <c r="M307" t="inlineStr">
        <is>
          <t>Umberton Clearing</t>
        </is>
      </c>
      <c r="N307" t="inlineStr">
        <is>
          <t>BRMDMM</t>
        </is>
      </c>
      <c r="O307" t="inlineStr">
        <is>
          <t>NEW</t>
        </is>
      </c>
      <c r="P307" t="inlineStr">
        <is>
          <t>NT26081800309</t>
        </is>
      </c>
      <c r="Q307" t="inlineStr">
        <is>
          <t>GROSS</t>
        </is>
      </c>
    </row>
    <row r="308">
      <c r="A308" t="inlineStr">
        <is>
          <t>359365220160</t>
        </is>
      </c>
      <c r="B308" t="inlineStr">
        <is>
          <t>TCC</t>
        </is>
      </c>
      <c r="C308" t="inlineStr">
        <is>
          <t>BRGX</t>
        </is>
      </c>
      <c r="D308" s="6" t="n">
        <v>46252</v>
      </c>
      <c r="E308" t="inlineStr">
        <is>
          <t>DR</t>
        </is>
      </c>
      <c r="F308" t="inlineStr">
        <is>
          <t>EUR</t>
        </is>
      </c>
      <c r="G308" s="7" t="n">
        <v>-146891128.208</v>
      </c>
      <c r="H308" t="inlineStr">
        <is>
          <t>GBP</t>
        </is>
      </c>
      <c r="I308" s="7" t="n">
        <v>-126032588.002</v>
      </c>
      <c r="J308" s="8" t="n">
        <v>46252.39306712963</v>
      </c>
      <c r="K308" t="inlineStr">
        <is>
          <t>CF260818 00302</t>
        </is>
      </c>
      <c r="L308" t="inlineStr">
        <is>
          <t>GL.NOSTRO.EUR.BRGX.004</t>
        </is>
      </c>
      <c r="M308" t="inlineStr">
        <is>
          <t>Wrenfield Settlement Bank</t>
        </is>
      </c>
      <c r="N308" t="inlineStr">
        <is>
          <t>BRGXCASH</t>
        </is>
      </c>
      <c r="O308" t="inlineStr">
        <is>
          <t>NEW</t>
        </is>
      </c>
      <c r="P308" t="inlineStr">
        <is>
          <t>NT26081800279</t>
        </is>
      </c>
      <c r="Q308" t="inlineStr">
        <is>
          <t>NETTER</t>
        </is>
      </c>
    </row>
    <row r="309">
      <c r="A309" t="inlineStr">
        <is>
          <t>150316825069</t>
        </is>
      </c>
      <c r="B309" t="inlineStr">
        <is>
          <t>TCG</t>
        </is>
      </c>
      <c r="C309" t="inlineStr">
        <is>
          <t>BRGX</t>
        </is>
      </c>
      <c r="D309" s="6" t="n">
        <v>46252</v>
      </c>
      <c r="E309" t="inlineStr">
        <is>
          <t>DR</t>
        </is>
      </c>
      <c r="F309" t="inlineStr">
        <is>
          <t>GBP</t>
        </is>
      </c>
      <c r="G309" s="7" t="n">
        <v>-632032292.095</v>
      </c>
      <c r="H309" t="inlineStr">
        <is>
          <t>GBP</t>
        </is>
      </c>
      <c r="I309" s="7" t="n">
        <v>-632032292.095</v>
      </c>
      <c r="J309" s="8" t="n">
        <v>46252.48684027778</v>
      </c>
      <c r="K309" t="inlineStr">
        <is>
          <t>CF260818 00303</t>
        </is>
      </c>
      <c r="L309" t="inlineStr">
        <is>
          <t>GL.NOSTRO.GBP.BRGX.003</t>
        </is>
      </c>
      <c r="M309" t="inlineStr">
        <is>
          <t>Zephyr Commercial Bank</t>
        </is>
      </c>
      <c r="N309" t="inlineStr">
        <is>
          <t>BRGXCASH</t>
        </is>
      </c>
      <c r="O309" t="inlineStr">
        <is>
          <t>NEW</t>
        </is>
      </c>
      <c r="Q309" t="inlineStr">
        <is>
          <t>NETTER</t>
        </is>
      </c>
    </row>
    <row r="310">
      <c r="A310" t="inlineStr">
        <is>
          <t>726928343448</t>
        </is>
      </c>
      <c r="B310" t="inlineStr">
        <is>
          <t>TCG</t>
        </is>
      </c>
      <c r="C310" t="inlineStr">
        <is>
          <t>BRGX</t>
        </is>
      </c>
      <c r="D310" s="6" t="n">
        <v>46252</v>
      </c>
      <c r="E310" t="inlineStr">
        <is>
          <t>CR</t>
        </is>
      </c>
      <c r="F310" t="inlineStr">
        <is>
          <t>EUR</t>
        </is>
      </c>
      <c r="G310" s="7" t="n">
        <v>43309.026</v>
      </c>
      <c r="H310" t="inlineStr">
        <is>
          <t>GBP</t>
        </is>
      </c>
      <c r="I310" s="7" t="n">
        <v>37159.144</v>
      </c>
      <c r="J310" s="8" t="n">
        <v>46252.39944444445</v>
      </c>
      <c r="K310" t="inlineStr">
        <is>
          <t>CF260818 00304</t>
        </is>
      </c>
      <c r="L310" t="inlineStr">
        <is>
          <t>GL.NOSTRO.EUR.BRGX.007</t>
        </is>
      </c>
      <c r="M310" t="inlineStr">
        <is>
          <t>Vetchling Settlement Bank</t>
        </is>
      </c>
      <c r="N310" t="inlineStr">
        <is>
          <t>BRGXMM</t>
        </is>
      </c>
      <c r="O310" t="inlineStr">
        <is>
          <t>NEW</t>
        </is>
      </c>
      <c r="Q310" t="inlineStr">
        <is>
          <t>NETTER</t>
        </is>
      </c>
    </row>
    <row r="311">
      <c r="A311" t="inlineStr">
        <is>
          <t>468341071172</t>
        </is>
      </c>
      <c r="B311" t="inlineStr">
        <is>
          <t>TCP</t>
        </is>
      </c>
      <c r="C311" t="inlineStr">
        <is>
          <t>BRCC</t>
        </is>
      </c>
      <c r="D311" s="6" t="n">
        <v>46252</v>
      </c>
      <c r="E311" t="inlineStr">
        <is>
          <t>DR</t>
        </is>
      </c>
      <c r="F311" t="inlineStr">
        <is>
          <t>EUR</t>
        </is>
      </c>
      <c r="G311" s="7" t="n">
        <v>-38081276.861</v>
      </c>
      <c r="H311" t="inlineStr">
        <is>
          <t>GBP</t>
        </is>
      </c>
      <c r="I311" s="7" t="n">
        <v>-32673735.547</v>
      </c>
      <c r="J311" s="8" t="n">
        <v>46252.43309027778</v>
      </c>
      <c r="K311" t="inlineStr">
        <is>
          <t>CF260818 00305</t>
        </is>
      </c>
      <c r="L311" t="inlineStr">
        <is>
          <t>GL.NOSTRO.EUR.BRCC.009</t>
        </is>
      </c>
      <c r="M311" t="inlineStr">
        <is>
          <t>Sablewood Clearing</t>
        </is>
      </c>
      <c r="N311" t="inlineStr">
        <is>
          <t>BRCCMM</t>
        </is>
      </c>
      <c r="O311" t="inlineStr">
        <is>
          <t>NEW</t>
        </is>
      </c>
      <c r="Q311" t="inlineStr">
        <is>
          <t>NETTER</t>
        </is>
      </c>
    </row>
    <row r="312">
      <c r="A312" t="inlineStr">
        <is>
          <t>132544340094</t>
        </is>
      </c>
      <c r="B312" t="inlineStr">
        <is>
          <t>TCC</t>
        </is>
      </c>
      <c r="C312" t="inlineStr">
        <is>
          <t>BRYG</t>
        </is>
      </c>
      <c r="D312" s="6" t="n">
        <v>46252</v>
      </c>
      <c r="E312" t="inlineStr">
        <is>
          <t>CR</t>
        </is>
      </c>
      <c r="F312" t="inlineStr">
        <is>
          <t>CZK</t>
        </is>
      </c>
      <c r="G312" s="7" t="n">
        <v>11864837.812</v>
      </c>
      <c r="H312" t="inlineStr">
        <is>
          <t>GBP</t>
        </is>
      </c>
      <c r="I312" s="7" t="n">
        <v>402218.002</v>
      </c>
      <c r="J312" s="8" t="n">
        <v>46252.69965277778</v>
      </c>
      <c r="K312" t="inlineStr">
        <is>
          <t>CF260818 00306</t>
        </is>
      </c>
      <c r="L312" t="inlineStr">
        <is>
          <t>GL.NOSTRO.CZK.BRYG.004</t>
        </is>
      </c>
      <c r="M312" t="inlineStr">
        <is>
          <t>Yarrow Bank</t>
        </is>
      </c>
      <c r="N312" t="inlineStr">
        <is>
          <t>BRYGCASH</t>
        </is>
      </c>
      <c r="O312" t="inlineStr">
        <is>
          <t>NEW</t>
        </is>
      </c>
      <c r="P312" t="inlineStr">
        <is>
          <t>NT26081800302</t>
        </is>
      </c>
      <c r="Q312" t="inlineStr">
        <is>
          <t>NETTER</t>
        </is>
      </c>
    </row>
    <row r="313">
      <c r="A313" t="inlineStr">
        <is>
          <t>726928343448</t>
        </is>
      </c>
      <c r="B313" t="inlineStr">
        <is>
          <t>TCX</t>
        </is>
      </c>
      <c r="C313" t="inlineStr">
        <is>
          <t>BRGX</t>
        </is>
      </c>
      <c r="D313" s="6" t="n">
        <v>46252</v>
      </c>
      <c r="E313" t="inlineStr">
        <is>
          <t>CR</t>
        </is>
      </c>
      <c r="F313" t="inlineStr">
        <is>
          <t>EUR</t>
        </is>
      </c>
      <c r="G313" s="7" t="n">
        <v>2254186.298</v>
      </c>
      <c r="H313" t="inlineStr">
        <is>
          <t>GBP</t>
        </is>
      </c>
      <c r="I313" s="7" t="n">
        <v>1934091.844</v>
      </c>
      <c r="J313" s="8" t="n">
        <v>46252.44581018519</v>
      </c>
      <c r="K313" t="inlineStr">
        <is>
          <t>CF260818 00307</t>
        </is>
      </c>
      <c r="L313" t="inlineStr">
        <is>
          <t>GL.NOSTRO.EUR.BRGX.003</t>
        </is>
      </c>
      <c r="M313" t="inlineStr">
        <is>
          <t>Mallow Commercial Bank</t>
        </is>
      </c>
      <c r="N313" t="inlineStr">
        <is>
          <t>BRGXTRSY</t>
        </is>
      </c>
      <c r="O313" t="inlineStr">
        <is>
          <t>NEW</t>
        </is>
      </c>
      <c r="P313" t="inlineStr">
        <is>
          <t>NT26081800292</t>
        </is>
      </c>
      <c r="Q313" t="inlineStr">
        <is>
          <t>NETTER</t>
        </is>
      </c>
    </row>
    <row r="314">
      <c r="A314" t="inlineStr">
        <is>
          <t>132544340094</t>
        </is>
      </c>
      <c r="B314" t="inlineStr">
        <is>
          <t>TCQ</t>
        </is>
      </c>
      <c r="C314" t="inlineStr">
        <is>
          <t>BRYG</t>
        </is>
      </c>
      <c r="D314" s="6" t="n">
        <v>46252</v>
      </c>
      <c r="E314" t="inlineStr">
        <is>
          <t>CR</t>
        </is>
      </c>
      <c r="F314" t="inlineStr">
        <is>
          <t>CZK</t>
        </is>
      </c>
      <c r="G314" s="7" t="n">
        <v>299060428.49</v>
      </c>
      <c r="H314" t="inlineStr">
        <is>
          <t>GBP</t>
        </is>
      </c>
      <c r="I314" s="7" t="n">
        <v>10138148.526</v>
      </c>
      <c r="J314" s="8" t="n">
        <v>46252.41204861111</v>
      </c>
      <c r="K314" t="inlineStr">
        <is>
          <t>CF260818 00308</t>
        </is>
      </c>
      <c r="L314" t="inlineStr">
        <is>
          <t>GL.NOSTRO.CZK.BRYG.007</t>
        </is>
      </c>
      <c r="M314" t="inlineStr">
        <is>
          <t>Fernway Settlement Bank</t>
        </is>
      </c>
      <c r="N314" t="inlineStr">
        <is>
          <t>BRYGCASH</t>
        </is>
      </c>
      <c r="O314" t="inlineStr">
        <is>
          <t>AMEND</t>
        </is>
      </c>
      <c r="Q314" t="inlineStr">
        <is>
          <t>GROSS</t>
        </is>
      </c>
    </row>
    <row r="315">
      <c r="A315" t="inlineStr">
        <is>
          <t>150316825069</t>
        </is>
      </c>
      <c r="B315" t="inlineStr">
        <is>
          <t>TCC</t>
        </is>
      </c>
      <c r="C315" t="inlineStr">
        <is>
          <t>BRGX</t>
        </is>
      </c>
      <c r="D315" s="6" t="n">
        <v>46252</v>
      </c>
      <c r="E315" t="inlineStr">
        <is>
          <t>CR</t>
        </is>
      </c>
      <c r="F315" t="inlineStr">
        <is>
          <t>GBP</t>
        </is>
      </c>
      <c r="G315" s="7" t="n">
        <v>13763.655</v>
      </c>
      <c r="H315" t="inlineStr">
        <is>
          <t>GBP</t>
        </is>
      </c>
      <c r="I315" s="7" t="n">
        <v>13763.655</v>
      </c>
      <c r="J315" s="8" t="n">
        <v>46252.5428587963</v>
      </c>
      <c r="K315" t="inlineStr">
        <is>
          <t>CF260818 00309</t>
        </is>
      </c>
      <c r="L315" t="inlineStr">
        <is>
          <t>GL.NOSTRO.GBP.BRGX.003</t>
        </is>
      </c>
      <c r="M315" t="inlineStr">
        <is>
          <t>Granite Clearing</t>
        </is>
      </c>
      <c r="N315" t="inlineStr">
        <is>
          <t>BRGXMM</t>
        </is>
      </c>
      <c r="O315" t="inlineStr">
        <is>
          <t>NEW</t>
        </is>
      </c>
      <c r="P315" t="inlineStr">
        <is>
          <t>NT26081800293</t>
        </is>
      </c>
      <c r="Q315" t="inlineStr">
        <is>
          <t>NETTER</t>
        </is>
      </c>
    </row>
    <row r="316">
      <c r="A316" t="inlineStr">
        <is>
          <t>150316825069</t>
        </is>
      </c>
      <c r="B316" t="inlineStr">
        <is>
          <t>TCQ</t>
        </is>
      </c>
      <c r="C316" t="inlineStr">
        <is>
          <t>BRGX</t>
        </is>
      </c>
      <c r="D316" s="6" t="n">
        <v>46252</v>
      </c>
      <c r="E316" t="inlineStr">
        <is>
          <t>DR</t>
        </is>
      </c>
      <c r="F316" t="inlineStr">
        <is>
          <t>GBP</t>
        </is>
      </c>
      <c r="G316" s="7" t="n">
        <v>-6038449.787</v>
      </c>
      <c r="H316" t="inlineStr">
        <is>
          <t>GBP</t>
        </is>
      </c>
      <c r="I316" s="7" t="n">
        <v>-6038449.787</v>
      </c>
      <c r="J316" s="8" t="n">
        <v>46252.27365740741</v>
      </c>
      <c r="K316" t="inlineStr">
        <is>
          <t>CF260818 00310</t>
        </is>
      </c>
      <c r="L316" t="inlineStr">
        <is>
          <t>GL.NOSTRO.GBP.BRGX.009</t>
        </is>
      </c>
      <c r="M316" t="inlineStr">
        <is>
          <t>Granite Bank</t>
        </is>
      </c>
      <c r="N316" t="inlineStr">
        <is>
          <t>BRGXCASH</t>
        </is>
      </c>
      <c r="O316" t="inlineStr">
        <is>
          <t>NEW</t>
        </is>
      </c>
      <c r="Q316" t="inlineStr">
        <is>
          <t>GROSS</t>
        </is>
      </c>
    </row>
    <row r="317">
      <c r="A317" t="inlineStr">
        <is>
          <t>499062838623</t>
        </is>
      </c>
      <c r="B317" t="inlineStr">
        <is>
          <t>TCX</t>
        </is>
      </c>
      <c r="C317" t="inlineStr">
        <is>
          <t>BRBX</t>
        </is>
      </c>
      <c r="D317" s="6" t="n">
        <v>46252</v>
      </c>
      <c r="E317" t="inlineStr">
        <is>
          <t>DR</t>
        </is>
      </c>
      <c r="F317" t="inlineStr">
        <is>
          <t>USD</t>
        </is>
      </c>
      <c r="G317" s="7" t="n">
        <v>-33335238.068</v>
      </c>
      <c r="H317" t="inlineStr">
        <is>
          <t>GBP</t>
        </is>
      </c>
      <c r="I317" s="7" t="n">
        <v>-26134826.645</v>
      </c>
      <c r="J317" s="8" t="n">
        <v>46252.55420138889</v>
      </c>
      <c r="K317" t="inlineStr">
        <is>
          <t>CF260818 00311</t>
        </is>
      </c>
      <c r="L317" t="inlineStr">
        <is>
          <t>GL.NOSTRO.USD.BRBX.007</t>
        </is>
      </c>
      <c r="M317" t="inlineStr">
        <is>
          <t>Larkspur Clearing</t>
        </is>
      </c>
      <c r="N317" t="inlineStr">
        <is>
          <t>BRBXTRSY</t>
        </is>
      </c>
      <c r="O317" t="inlineStr">
        <is>
          <t>NEW</t>
        </is>
      </c>
      <c r="Q317" t="inlineStr">
        <is>
          <t>NETTER</t>
        </is>
      </c>
    </row>
    <row r="318">
      <c r="A318" t="inlineStr">
        <is>
          <t>171857983160</t>
        </is>
      </c>
      <c r="B318" t="inlineStr">
        <is>
          <t>TCC</t>
        </is>
      </c>
      <c r="C318" t="inlineStr">
        <is>
          <t>BRBX</t>
        </is>
      </c>
      <c r="D318" s="6" t="n">
        <v>46252</v>
      </c>
      <c r="E318" t="inlineStr">
        <is>
          <t>CR</t>
        </is>
      </c>
      <c r="F318" t="inlineStr">
        <is>
          <t>AUD</t>
        </is>
      </c>
      <c r="G318" s="7" t="n">
        <v>149473.42</v>
      </c>
      <c r="H318" t="inlineStr">
        <is>
          <t>GBP</t>
        </is>
      </c>
      <c r="I318" s="7" t="n">
        <v>76679.864</v>
      </c>
      <c r="J318" s="8" t="n">
        <v>46252.83407407408</v>
      </c>
      <c r="K318" t="inlineStr">
        <is>
          <t>CF260818 00312</t>
        </is>
      </c>
      <c r="L318" t="inlineStr">
        <is>
          <t>GL.NOSTRO.AUD.BRBX.005</t>
        </is>
      </c>
      <c r="M318" t="inlineStr">
        <is>
          <t>Zephyr Commercial Bank</t>
        </is>
      </c>
      <c r="N318" t="inlineStr">
        <is>
          <t>BRBXCASH</t>
        </is>
      </c>
      <c r="O318" t="inlineStr">
        <is>
          <t>NEW</t>
        </is>
      </c>
      <c r="P318" t="inlineStr">
        <is>
          <t>NT26081800314</t>
        </is>
      </c>
      <c r="Q318" t="inlineStr">
        <is>
          <t>GROSS</t>
        </is>
      </c>
    </row>
    <row r="319">
      <c r="A319" t="inlineStr">
        <is>
          <t>265771593142</t>
        </is>
      </c>
      <c r="B319" t="inlineStr">
        <is>
          <t>TCP</t>
        </is>
      </c>
      <c r="C319" t="inlineStr">
        <is>
          <t>BRYG</t>
        </is>
      </c>
      <c r="D319" s="6" t="n">
        <v>46252</v>
      </c>
      <c r="E319" t="inlineStr">
        <is>
          <t>CR</t>
        </is>
      </c>
      <c r="F319" t="inlineStr">
        <is>
          <t>EUR</t>
        </is>
      </c>
      <c r="G319" s="7" t="n">
        <v>1738479.576</v>
      </c>
      <c r="H319" t="inlineStr">
        <is>
          <t>GBP</t>
        </is>
      </c>
      <c r="I319" s="7" t="n">
        <v>1491615.476</v>
      </c>
      <c r="J319" s="8" t="n">
        <v>46252.74569444444</v>
      </c>
      <c r="K319" t="inlineStr">
        <is>
          <t>CF260818 00313</t>
        </is>
      </c>
      <c r="L319" t="inlineStr">
        <is>
          <t>GL.NOSTRO.EUR.BRYG.008</t>
        </is>
      </c>
      <c r="M319" t="inlineStr">
        <is>
          <t>Pinehurst Clearing</t>
        </is>
      </c>
      <c r="N319" t="inlineStr">
        <is>
          <t>BRYGTRSY</t>
        </is>
      </c>
      <c r="O319" t="inlineStr">
        <is>
          <t>NEW</t>
        </is>
      </c>
      <c r="Q319" t="inlineStr">
        <is>
          <t>GROSS</t>
        </is>
      </c>
    </row>
    <row r="320">
      <c r="A320" t="inlineStr">
        <is>
          <t>824840705580</t>
        </is>
      </c>
      <c r="B320" t="inlineStr">
        <is>
          <t>TCG</t>
        </is>
      </c>
      <c r="C320" t="inlineStr">
        <is>
          <t>BRGL</t>
        </is>
      </c>
      <c r="D320" s="6" t="n">
        <v>46252</v>
      </c>
      <c r="E320" t="inlineStr">
        <is>
          <t>CR</t>
        </is>
      </c>
      <c r="F320" t="inlineStr">
        <is>
          <t>EUR</t>
        </is>
      </c>
      <c r="G320" s="7" t="n">
        <v>51278622.056</v>
      </c>
      <c r="H320" t="inlineStr">
        <is>
          <t>GBP</t>
        </is>
      </c>
      <c r="I320" s="7" t="n">
        <v>43997057.724</v>
      </c>
      <c r="J320" s="8" t="n">
        <v>46252.62342592593</v>
      </c>
      <c r="K320" t="inlineStr">
        <is>
          <t>CF260818 00314</t>
        </is>
      </c>
      <c r="L320" t="inlineStr">
        <is>
          <t>GL.NOSTRO.EUR.BRGL.006</t>
        </is>
      </c>
      <c r="M320" t="inlineStr">
        <is>
          <t>Umberton Commercial Bank</t>
        </is>
      </c>
      <c r="N320" t="inlineStr">
        <is>
          <t>BRGLTRSY</t>
        </is>
      </c>
      <c r="O320" t="inlineStr">
        <is>
          <t>NEW</t>
        </is>
      </c>
      <c r="P320" t="inlineStr">
        <is>
          <t>NT26081800301</t>
        </is>
      </c>
      <c r="Q320" t="inlineStr">
        <is>
          <t>GROSS</t>
        </is>
      </c>
    </row>
    <row r="321">
      <c r="A321" t="inlineStr">
        <is>
          <t>150316825069</t>
        </is>
      </c>
      <c r="B321" t="inlineStr">
        <is>
          <t>TCC</t>
        </is>
      </c>
      <c r="C321" t="inlineStr">
        <is>
          <t>BRGX</t>
        </is>
      </c>
      <c r="D321" s="6" t="n">
        <v>46252</v>
      </c>
      <c r="E321" t="inlineStr">
        <is>
          <t>CR</t>
        </is>
      </c>
      <c r="F321" t="inlineStr">
        <is>
          <t>GBP</t>
        </is>
      </c>
      <c r="G321" s="7" t="n">
        <v>269410712.952</v>
      </c>
      <c r="H321" t="inlineStr">
        <is>
          <t>GBP</t>
        </is>
      </c>
      <c r="I321" s="7" t="n">
        <v>269410712.952</v>
      </c>
      <c r="J321" s="8" t="n">
        <v>46252.42701388889</v>
      </c>
      <c r="K321" t="inlineStr">
        <is>
          <t>CF260818 00315</t>
        </is>
      </c>
      <c r="L321" t="inlineStr">
        <is>
          <t>GL.NOSTRO.GBP.BRGX.002</t>
        </is>
      </c>
      <c r="M321" t="inlineStr">
        <is>
          <t>Mallow Clearing</t>
        </is>
      </c>
      <c r="N321" t="inlineStr">
        <is>
          <t>BRGX</t>
        </is>
      </c>
      <c r="O321" t="inlineStr">
        <is>
          <t>NEW</t>
        </is>
      </c>
      <c r="Q321" t="inlineStr">
        <is>
          <t>NETTER</t>
        </is>
      </c>
    </row>
    <row r="322">
      <c r="A322" t="inlineStr">
        <is>
          <t>499062838623</t>
        </is>
      </c>
      <c r="B322" t="inlineStr">
        <is>
          <t>TCG</t>
        </is>
      </c>
      <c r="C322" t="inlineStr">
        <is>
          <t>BRBX</t>
        </is>
      </c>
      <c r="D322" s="6" t="n">
        <v>46252</v>
      </c>
      <c r="E322" t="inlineStr">
        <is>
          <t>CR</t>
        </is>
      </c>
      <c r="F322" t="inlineStr">
        <is>
          <t>USD</t>
        </is>
      </c>
      <c r="G322" s="7" t="n">
        <v>25482615.94</v>
      </c>
      <c r="H322" t="inlineStr">
        <is>
          <t>GBP</t>
        </is>
      </c>
      <c r="I322" s="7" t="n">
        <v>19978370.897</v>
      </c>
      <c r="J322" s="8" t="n">
        <v>46252.65238425926</v>
      </c>
      <c r="K322" t="inlineStr">
        <is>
          <t>CF260818 00316</t>
        </is>
      </c>
      <c r="L322" t="inlineStr">
        <is>
          <t>GL.NOSTRO.USD.BRBX.008</t>
        </is>
      </c>
      <c r="M322" t="inlineStr">
        <is>
          <t>Wrenfield Commercial Bank</t>
        </is>
      </c>
      <c r="N322" t="inlineStr">
        <is>
          <t>BRBX</t>
        </is>
      </c>
      <c r="O322" t="inlineStr">
        <is>
          <t>NEW</t>
        </is>
      </c>
      <c r="P322" t="inlineStr">
        <is>
          <t>NT26081800300</t>
        </is>
      </c>
      <c r="Q322" t="inlineStr">
        <is>
          <t>GROSS</t>
        </is>
      </c>
    </row>
    <row r="323">
      <c r="A323" t="inlineStr">
        <is>
          <t>150316825069</t>
        </is>
      </c>
      <c r="B323" t="inlineStr">
        <is>
          <t>TCP</t>
        </is>
      </c>
      <c r="C323" t="inlineStr">
        <is>
          <t>BRGX</t>
        </is>
      </c>
      <c r="D323" s="6" t="n">
        <v>46252</v>
      </c>
      <c r="E323" t="inlineStr">
        <is>
          <t>CR</t>
        </is>
      </c>
      <c r="F323" t="inlineStr">
        <is>
          <t>GBP</t>
        </is>
      </c>
      <c r="G323" s="7" t="n">
        <v>18622316.31</v>
      </c>
      <c r="H323" t="inlineStr">
        <is>
          <t>GBP</t>
        </is>
      </c>
      <c r="I323" s="7" t="n">
        <v>18622316.31</v>
      </c>
      <c r="J323" s="8" t="n">
        <v>46252.371875</v>
      </c>
      <c r="K323" t="inlineStr">
        <is>
          <t>CF260818 00317</t>
        </is>
      </c>
      <c r="L323" t="inlineStr">
        <is>
          <t>GL.NOSTRO.GBP.BRGX.002</t>
        </is>
      </c>
      <c r="M323" t="inlineStr">
        <is>
          <t>Elmwood Trust</t>
        </is>
      </c>
      <c r="N323" t="inlineStr">
        <is>
          <t>BRGXCASH</t>
        </is>
      </c>
      <c r="O323" t="inlineStr">
        <is>
          <t>NEW</t>
        </is>
      </c>
      <c r="Q323" t="inlineStr">
        <is>
          <t>NETTER</t>
        </is>
      </c>
    </row>
    <row r="324">
      <c r="A324" t="inlineStr">
        <is>
          <t>284925023085</t>
        </is>
      </c>
      <c r="B324" t="inlineStr">
        <is>
          <t>TCX</t>
        </is>
      </c>
      <c r="C324" t="inlineStr">
        <is>
          <t>BRMD</t>
        </is>
      </c>
      <c r="D324" s="6" t="n">
        <v>46252</v>
      </c>
      <c r="E324" t="inlineStr">
        <is>
          <t>DR</t>
        </is>
      </c>
      <c r="F324" t="inlineStr">
        <is>
          <t>MXN</t>
        </is>
      </c>
      <c r="G324" s="7" t="n">
        <v>-766989554.5319999</v>
      </c>
      <c r="H324" t="inlineStr">
        <is>
          <t>GBP</t>
        </is>
      </c>
      <c r="I324" s="7" t="n">
        <v>-32827152.934</v>
      </c>
      <c r="J324" s="8" t="n">
        <v>46252.66353009259</v>
      </c>
      <c r="K324" t="inlineStr">
        <is>
          <t>CF260818 00318</t>
        </is>
      </c>
      <c r="L324" t="inlineStr">
        <is>
          <t>GL.NOSTRO.MXN.BRMD.006</t>
        </is>
      </c>
      <c r="M324" t="inlineStr">
        <is>
          <t>Redstart Trust</t>
        </is>
      </c>
      <c r="N324" t="inlineStr">
        <is>
          <t>BRMDTRSY</t>
        </is>
      </c>
      <c r="O324" t="inlineStr">
        <is>
          <t>NEW</t>
        </is>
      </c>
      <c r="Q324" t="inlineStr">
        <is>
          <t>NETTER</t>
        </is>
      </c>
    </row>
    <row r="325">
      <c r="A325" t="inlineStr">
        <is>
          <t>265771593142</t>
        </is>
      </c>
      <c r="B325" t="inlineStr">
        <is>
          <t>TCQ</t>
        </is>
      </c>
      <c r="C325" t="inlineStr">
        <is>
          <t>BRYG</t>
        </is>
      </c>
      <c r="D325" s="6" t="n">
        <v>46252</v>
      </c>
      <c r="E325" t="inlineStr">
        <is>
          <t>CR</t>
        </is>
      </c>
      <c r="F325" t="inlineStr">
        <is>
          <t>EUR</t>
        </is>
      </c>
      <c r="G325" s="7" t="n">
        <v>79470358.52</v>
      </c>
      <c r="H325" t="inlineStr">
        <is>
          <t>GBP</t>
        </is>
      </c>
      <c r="I325" s="7" t="n">
        <v>68185567.61</v>
      </c>
      <c r="J325" s="8" t="n">
        <v>46252.49983796296</v>
      </c>
      <c r="K325" t="inlineStr">
        <is>
          <t>CF260818 00319</t>
        </is>
      </c>
      <c r="L325" t="inlineStr">
        <is>
          <t>GL.NOSTRO.EUR.BRYG.009</t>
        </is>
      </c>
      <c r="M325" t="inlineStr">
        <is>
          <t>Wrenfield Settlement Bank</t>
        </is>
      </c>
      <c r="N325" t="inlineStr">
        <is>
          <t>BRYGTRSY</t>
        </is>
      </c>
      <c r="O325" t="inlineStr">
        <is>
          <t>NEW</t>
        </is>
      </c>
      <c r="P325" t="inlineStr">
        <is>
          <t>NT26081800306</t>
        </is>
      </c>
      <c r="Q325" t="inlineStr">
        <is>
          <t>GROSS</t>
        </is>
      </c>
    </row>
    <row r="326">
      <c r="A326" t="inlineStr">
        <is>
          <t>468341071172</t>
        </is>
      </c>
      <c r="B326" t="inlineStr">
        <is>
          <t>TCQ</t>
        </is>
      </c>
      <c r="C326" t="inlineStr">
        <is>
          <t>BRCC</t>
        </is>
      </c>
      <c r="D326" s="6" t="n">
        <v>46252</v>
      </c>
      <c r="E326" t="inlineStr">
        <is>
          <t>CR</t>
        </is>
      </c>
      <c r="F326" t="inlineStr">
        <is>
          <t>EUR</t>
        </is>
      </c>
      <c r="G326" s="7" t="n">
        <v>2387031.735</v>
      </c>
      <c r="H326" t="inlineStr">
        <is>
          <t>GBP</t>
        </is>
      </c>
      <c r="I326" s="7" t="n">
        <v>2048073.229</v>
      </c>
      <c r="J326" s="8" t="n">
        <v>46252.40195601852</v>
      </c>
      <c r="K326" t="inlineStr">
        <is>
          <t>CF260818 00320</t>
        </is>
      </c>
      <c r="L326" t="inlineStr">
        <is>
          <t>GL.NOSTRO.EUR.BRCC.001</t>
        </is>
      </c>
      <c r="M326" t="inlineStr">
        <is>
          <t>Elmwood Trust</t>
        </is>
      </c>
      <c r="N326" t="inlineStr">
        <is>
          <t>BRCCTRSY</t>
        </is>
      </c>
      <c r="O326" t="inlineStr">
        <is>
          <t>AMEND</t>
        </is>
      </c>
      <c r="Q326" t="inlineStr">
        <is>
          <t>NETTER</t>
        </is>
      </c>
    </row>
    <row r="327">
      <c r="A327" t="inlineStr">
        <is>
          <t>794226063698</t>
        </is>
      </c>
      <c r="B327" t="inlineStr">
        <is>
          <t>TCX</t>
        </is>
      </c>
      <c r="C327" t="inlineStr">
        <is>
          <t>BRMD</t>
        </is>
      </c>
      <c r="D327" s="6" t="n">
        <v>46252</v>
      </c>
      <c r="E327" t="inlineStr">
        <is>
          <t>CR</t>
        </is>
      </c>
      <c r="F327" t="inlineStr">
        <is>
          <t>AED</t>
        </is>
      </c>
      <c r="G327" s="7" t="n">
        <v>252553103.649</v>
      </c>
      <c r="H327" t="inlineStr">
        <is>
          <t>GBP</t>
        </is>
      </c>
      <c r="I327" s="7" t="n">
        <v>53793811.077</v>
      </c>
      <c r="J327" s="8" t="n">
        <v>46252.63793981481</v>
      </c>
      <c r="K327" t="inlineStr">
        <is>
          <t>CF260818 00321</t>
        </is>
      </c>
      <c r="L327" t="inlineStr">
        <is>
          <t>GL.NOSTRO.AED.BRMD.008</t>
        </is>
      </c>
      <c r="M327" t="inlineStr">
        <is>
          <t>Yarrow Bank</t>
        </is>
      </c>
      <c r="N327" t="inlineStr">
        <is>
          <t>BRMD</t>
        </is>
      </c>
      <c r="O327" t="inlineStr">
        <is>
          <t>NEW</t>
        </is>
      </c>
      <c r="P327" t="inlineStr">
        <is>
          <t>NT26081800298</t>
        </is>
      </c>
      <c r="Q327" t="inlineStr">
        <is>
          <t>GROSS</t>
        </is>
      </c>
    </row>
    <row r="328">
      <c r="A328" t="inlineStr">
        <is>
          <t>726928343448</t>
        </is>
      </c>
      <c r="B328" t="inlineStr">
        <is>
          <t>TCG</t>
        </is>
      </c>
      <c r="C328" t="inlineStr">
        <is>
          <t>BRGX</t>
        </is>
      </c>
      <c r="D328" s="6" t="n">
        <v>46252</v>
      </c>
      <c r="E328" t="inlineStr">
        <is>
          <t>CR</t>
        </is>
      </c>
      <c r="F328" t="inlineStr">
        <is>
          <t>EUR</t>
        </is>
      </c>
      <c r="G328" s="7" t="n">
        <v>384770797.44</v>
      </c>
      <c r="H328" t="inlineStr">
        <is>
          <t>GBP</t>
        </is>
      </c>
      <c r="I328" s="7" t="n">
        <v>330133344.204</v>
      </c>
      <c r="J328" s="8" t="n">
        <v>46252.49826388889</v>
      </c>
      <c r="K328" t="inlineStr">
        <is>
          <t>CF260818 00322</t>
        </is>
      </c>
      <c r="L328" t="inlineStr">
        <is>
          <t>GL.NOSTRO.EUR.BRGX.004</t>
        </is>
      </c>
      <c r="M328" t="inlineStr">
        <is>
          <t>Granite Clearing</t>
        </is>
      </c>
      <c r="N328" t="inlineStr">
        <is>
          <t>BRGXTRSY</t>
        </is>
      </c>
      <c r="O328" t="inlineStr">
        <is>
          <t>NEW</t>
        </is>
      </c>
      <c r="P328" t="inlineStr">
        <is>
          <t>NT26081800300</t>
        </is>
      </c>
      <c r="Q328" t="inlineStr">
        <is>
          <t>GROSS</t>
        </is>
      </c>
    </row>
    <row r="329">
      <c r="A329" t="inlineStr">
        <is>
          <t>794226063698</t>
        </is>
      </c>
      <c r="B329" t="inlineStr">
        <is>
          <t>TCX</t>
        </is>
      </c>
      <c r="C329" t="inlineStr">
        <is>
          <t>BRMD</t>
        </is>
      </c>
      <c r="D329" s="6" t="n">
        <v>46252</v>
      </c>
      <c r="E329" t="inlineStr">
        <is>
          <t>CR</t>
        </is>
      </c>
      <c r="F329" t="inlineStr">
        <is>
          <t>AED</t>
        </is>
      </c>
      <c r="G329" s="7" t="n">
        <v>350000346.778</v>
      </c>
      <c r="H329" t="inlineStr">
        <is>
          <t>GBP</t>
        </is>
      </c>
      <c r="I329" s="7" t="n">
        <v>74550073.86399999</v>
      </c>
      <c r="J329" s="8" t="n">
        <v>46252.25136574074</v>
      </c>
      <c r="K329" t="inlineStr">
        <is>
          <t>CF260818 00323</t>
        </is>
      </c>
      <c r="L329" t="inlineStr">
        <is>
          <t>GL.NOSTRO.AED.BRMD.007</t>
        </is>
      </c>
      <c r="M329" t="inlineStr">
        <is>
          <t>Yarrow Commercial Bank</t>
        </is>
      </c>
      <c r="N329" t="inlineStr">
        <is>
          <t>BRMDMM</t>
        </is>
      </c>
      <c r="O329" t="inlineStr">
        <is>
          <t>AMEND</t>
        </is>
      </c>
      <c r="P329" t="inlineStr">
        <is>
          <t>NT26081800282</t>
        </is>
      </c>
      <c r="Q329" t="inlineStr">
        <is>
          <t>GROSS</t>
        </is>
      </c>
    </row>
    <row r="330">
      <c r="A330" t="inlineStr">
        <is>
          <t>499062838623</t>
        </is>
      </c>
      <c r="B330" t="inlineStr">
        <is>
          <t>TCX</t>
        </is>
      </c>
      <c r="C330" t="inlineStr">
        <is>
          <t>BRBX</t>
        </is>
      </c>
      <c r="D330" s="6" t="n">
        <v>46252</v>
      </c>
      <c r="E330" t="inlineStr">
        <is>
          <t>DR</t>
        </is>
      </c>
      <c r="F330" t="inlineStr">
        <is>
          <t>USD</t>
        </is>
      </c>
      <c r="G330" s="7" t="n">
        <v>-1272908.878</v>
      </c>
      <c r="H330" t="inlineStr">
        <is>
          <t>GBP</t>
        </is>
      </c>
      <c r="I330" s="7" t="n">
        <v>-997960.5600000001</v>
      </c>
      <c r="J330" s="8" t="n">
        <v>46252.3816087963</v>
      </c>
      <c r="K330" t="inlineStr">
        <is>
          <t>CF260818 00324</t>
        </is>
      </c>
      <c r="L330" t="inlineStr">
        <is>
          <t>GL.NOSTRO.USD.BRBX.002</t>
        </is>
      </c>
      <c r="M330" t="inlineStr">
        <is>
          <t>Nightjar Bank</t>
        </is>
      </c>
      <c r="N330" t="inlineStr">
        <is>
          <t>BRBXMM</t>
        </is>
      </c>
      <c r="O330" t="inlineStr">
        <is>
          <t>NEW</t>
        </is>
      </c>
      <c r="Q330" t="inlineStr">
        <is>
          <t>NETTER</t>
        </is>
      </c>
    </row>
    <row r="331">
      <c r="A331" t="inlineStr">
        <is>
          <t>150316825069</t>
        </is>
      </c>
      <c r="B331" t="inlineStr">
        <is>
          <t>TCC</t>
        </is>
      </c>
      <c r="C331" t="inlineStr">
        <is>
          <t>BRGX</t>
        </is>
      </c>
      <c r="D331" s="6" t="n">
        <v>46252</v>
      </c>
      <c r="E331" t="inlineStr">
        <is>
          <t>DR</t>
        </is>
      </c>
      <c r="F331" t="inlineStr">
        <is>
          <t>GBP</t>
        </is>
      </c>
      <c r="G331" s="7" t="n">
        <v>-1985035.005</v>
      </c>
      <c r="H331" t="inlineStr">
        <is>
          <t>GBP</t>
        </is>
      </c>
      <c r="I331" s="7" t="n">
        <v>-1985035.005</v>
      </c>
      <c r="J331" s="8" t="n">
        <v>46252.4309375</v>
      </c>
      <c r="K331" t="inlineStr">
        <is>
          <t>CF260818 00325</t>
        </is>
      </c>
      <c r="L331" t="inlineStr">
        <is>
          <t>GL.NOSTRO.GBP.BRGX.004</t>
        </is>
      </c>
      <c r="M331" t="inlineStr">
        <is>
          <t>Juniper Settlement Bank</t>
        </is>
      </c>
      <c r="N331" t="inlineStr">
        <is>
          <t>BRGXMM</t>
        </is>
      </c>
      <c r="O331" t="inlineStr">
        <is>
          <t>NEW</t>
        </is>
      </c>
      <c r="P331" t="inlineStr">
        <is>
          <t>NT26081800284</t>
        </is>
      </c>
      <c r="Q331" t="inlineStr">
        <is>
          <t>INTERNAL</t>
        </is>
      </c>
    </row>
    <row r="332">
      <c r="A332" t="inlineStr">
        <is>
          <t>898317028833</t>
        </is>
      </c>
      <c r="B332" t="inlineStr">
        <is>
          <t>TCX</t>
        </is>
      </c>
      <c r="C332" t="inlineStr">
        <is>
          <t>BRAA</t>
        </is>
      </c>
      <c r="D332" s="6" t="n">
        <v>46252</v>
      </c>
      <c r="E332" t="inlineStr">
        <is>
          <t>DR</t>
        </is>
      </c>
      <c r="F332" t="inlineStr">
        <is>
          <t>GBP</t>
        </is>
      </c>
      <c r="G332" s="7" t="n">
        <v>-25503211.692</v>
      </c>
      <c r="H332" t="inlineStr">
        <is>
          <t>GBP</t>
        </is>
      </c>
      <c r="I332" s="7" t="n">
        <v>-25503211.692</v>
      </c>
      <c r="J332" s="8" t="n">
        <v>46252.63635416667</v>
      </c>
      <c r="K332" t="inlineStr">
        <is>
          <t>CF260818 00326</t>
        </is>
      </c>
      <c r="L332" t="inlineStr">
        <is>
          <t>GL.NOSTRO.GBP.BRAA.002</t>
        </is>
      </c>
      <c r="M332" t="inlineStr">
        <is>
          <t>Elmwood Bank</t>
        </is>
      </c>
      <c r="N332" t="inlineStr">
        <is>
          <t>BRAA</t>
        </is>
      </c>
      <c r="O332" t="inlineStr">
        <is>
          <t>NEW</t>
        </is>
      </c>
      <c r="P332" t="inlineStr">
        <is>
          <t>NT26081800304</t>
        </is>
      </c>
      <c r="Q332" t="inlineStr">
        <is>
          <t>NETTER</t>
        </is>
      </c>
    </row>
    <row r="333">
      <c r="A333" t="inlineStr">
        <is>
          <t>499062838623</t>
        </is>
      </c>
      <c r="B333" t="inlineStr">
        <is>
          <t>TCQ</t>
        </is>
      </c>
      <c r="C333" t="inlineStr">
        <is>
          <t>BRBX</t>
        </is>
      </c>
      <c r="D333" s="6" t="n">
        <v>46252</v>
      </c>
      <c r="E333" t="inlineStr">
        <is>
          <t>CR</t>
        </is>
      </c>
      <c r="F333" t="inlineStr">
        <is>
          <t>USD</t>
        </is>
      </c>
      <c r="G333" s="7" t="n">
        <v>99841764.499</v>
      </c>
      <c r="H333" t="inlineStr">
        <is>
          <t>GBP</t>
        </is>
      </c>
      <c r="I333" s="7" t="n">
        <v>78275943.367</v>
      </c>
      <c r="J333" s="8" t="n">
        <v>46252.44587962963</v>
      </c>
      <c r="K333" t="inlineStr">
        <is>
          <t>CF260818 00327</t>
        </is>
      </c>
      <c r="L333" t="inlineStr">
        <is>
          <t>GL.NOSTRO.USD.BRBX.006</t>
        </is>
      </c>
      <c r="M333" t="inlineStr">
        <is>
          <t>Vetchling Commercial Bank</t>
        </is>
      </c>
      <c r="N333" t="inlineStr">
        <is>
          <t>BRBX</t>
        </is>
      </c>
      <c r="O333" t="inlineStr">
        <is>
          <t>NEW</t>
        </is>
      </c>
      <c r="P333" t="inlineStr">
        <is>
          <t>NT26081800299</t>
        </is>
      </c>
      <c r="Q333" t="inlineStr">
        <is>
          <t>NETTER</t>
        </is>
      </c>
    </row>
    <row r="334">
      <c r="A334" t="inlineStr">
        <is>
          <t>953625291146</t>
        </is>
      </c>
      <c r="B334" t="inlineStr">
        <is>
          <t>TCP</t>
        </is>
      </c>
      <c r="C334" t="inlineStr">
        <is>
          <t>BRGL</t>
        </is>
      </c>
      <c r="D334" s="6" t="n">
        <v>46252</v>
      </c>
      <c r="E334" t="inlineStr">
        <is>
          <t>DR</t>
        </is>
      </c>
      <c r="F334" t="inlineStr">
        <is>
          <t>USD</t>
        </is>
      </c>
      <c r="G334" s="7" t="n">
        <v>-181365.031</v>
      </c>
      <c r="H334" t="inlineStr">
        <is>
          <t>GBP</t>
        </is>
      </c>
      <c r="I334" s="7" t="n">
        <v>-142190.184</v>
      </c>
      <c r="J334" s="8" t="n">
        <v>46252.7463425926</v>
      </c>
      <c r="K334" t="inlineStr">
        <is>
          <t>CF260818 00328</t>
        </is>
      </c>
      <c r="L334" t="inlineStr">
        <is>
          <t>GL.NOSTRO.USD.BRGL.006</t>
        </is>
      </c>
      <c r="M334" t="inlineStr">
        <is>
          <t>Wrenfield Commercial Bank</t>
        </is>
      </c>
      <c r="N334" t="inlineStr">
        <is>
          <t>BRGLTRSY</t>
        </is>
      </c>
      <c r="O334" t="inlineStr">
        <is>
          <t>NEW</t>
        </is>
      </c>
      <c r="Q334" t="inlineStr">
        <is>
          <t>NETTER</t>
        </is>
      </c>
    </row>
    <row r="335">
      <c r="A335" t="inlineStr">
        <is>
          <t>468341071172</t>
        </is>
      </c>
      <c r="B335" t="inlineStr">
        <is>
          <t>TCP</t>
        </is>
      </c>
      <c r="C335" t="inlineStr">
        <is>
          <t>BRCC</t>
        </is>
      </c>
      <c r="D335" s="6" t="n">
        <v>46252</v>
      </c>
      <c r="E335" t="inlineStr">
        <is>
          <t>CR</t>
        </is>
      </c>
      <c r="F335" t="inlineStr">
        <is>
          <t>EUR</t>
        </is>
      </c>
      <c r="G335" s="7" t="n">
        <v>151919.339</v>
      </c>
      <c r="H335" t="inlineStr">
        <is>
          <t>GBP</t>
        </is>
      </c>
      <c r="I335" s="7" t="n">
        <v>130346.793</v>
      </c>
      <c r="J335" s="8" t="n">
        <v>46252.63409722222</v>
      </c>
      <c r="K335" t="inlineStr">
        <is>
          <t>CF260818 00329</t>
        </is>
      </c>
      <c r="L335" t="inlineStr">
        <is>
          <t>GL.NOSTRO.EUR.BRCC.007</t>
        </is>
      </c>
      <c r="M335" t="inlineStr">
        <is>
          <t>Granite Clearing</t>
        </is>
      </c>
      <c r="N335" t="inlineStr">
        <is>
          <t>BRCCTRSY</t>
        </is>
      </c>
      <c r="O335" t="inlineStr">
        <is>
          <t>NEW</t>
        </is>
      </c>
      <c r="P335" t="inlineStr">
        <is>
          <t>NT26081800305</t>
        </is>
      </c>
      <c r="Q335" t="inlineStr">
        <is>
          <t>INTERNAL</t>
        </is>
      </c>
    </row>
    <row r="336">
      <c r="A336" t="inlineStr">
        <is>
          <t>794226063698</t>
        </is>
      </c>
      <c r="B336" t="inlineStr">
        <is>
          <t>TCG</t>
        </is>
      </c>
      <c r="C336" t="inlineStr">
        <is>
          <t>BRMD</t>
        </is>
      </c>
      <c r="D336" s="6" t="n">
        <v>46252</v>
      </c>
      <c r="E336" t="inlineStr">
        <is>
          <t>DR</t>
        </is>
      </c>
      <c r="F336" t="inlineStr">
        <is>
          <t>AED</t>
        </is>
      </c>
      <c r="G336" s="7" t="n">
        <v>-12112628.108</v>
      </c>
      <c r="H336" t="inlineStr">
        <is>
          <t>GBP</t>
        </is>
      </c>
      <c r="I336" s="7" t="n">
        <v>-2579989.787</v>
      </c>
      <c r="J336" s="8" t="n">
        <v>46252.54775462963</v>
      </c>
      <c r="K336" t="inlineStr">
        <is>
          <t>CF260818 00330</t>
        </is>
      </c>
      <c r="L336" t="inlineStr">
        <is>
          <t>GL.NOSTRO.AED.BRMD.006</t>
        </is>
      </c>
      <c r="M336" t="inlineStr">
        <is>
          <t>Ironbark Commercial Bank</t>
        </is>
      </c>
      <c r="N336" t="inlineStr">
        <is>
          <t>BRMD</t>
        </is>
      </c>
      <c r="O336" t="inlineStr">
        <is>
          <t>NEW</t>
        </is>
      </c>
      <c r="Q336" t="inlineStr">
        <is>
          <t>NETTER</t>
        </is>
      </c>
    </row>
    <row r="337">
      <c r="A337" t="inlineStr">
        <is>
          <t>171857983160</t>
        </is>
      </c>
      <c r="B337" t="inlineStr">
        <is>
          <t>TCP</t>
        </is>
      </c>
      <c r="C337" t="inlineStr">
        <is>
          <t>BRBX</t>
        </is>
      </c>
      <c r="D337" s="6" t="n">
        <v>46252</v>
      </c>
      <c r="E337" t="inlineStr">
        <is>
          <t>DR</t>
        </is>
      </c>
      <c r="F337" t="inlineStr">
        <is>
          <t>AUD</t>
        </is>
      </c>
      <c r="G337" s="7" t="n">
        <v>-235623.532</v>
      </c>
      <c r="H337" t="inlineStr">
        <is>
          <t>GBP</t>
        </is>
      </c>
      <c r="I337" s="7" t="n">
        <v>-120874.872</v>
      </c>
      <c r="J337" s="8" t="n">
        <v>46252.69456018518</v>
      </c>
      <c r="K337" t="inlineStr">
        <is>
          <t>CF260818 00331</t>
        </is>
      </c>
      <c r="L337" t="inlineStr">
        <is>
          <t>GL.NOSTRO.AUD.BRBX.009</t>
        </is>
      </c>
      <c r="M337" t="inlineStr">
        <is>
          <t>Umberton Commercial Bank</t>
        </is>
      </c>
      <c r="N337" t="inlineStr">
        <is>
          <t>BRBXTRSY</t>
        </is>
      </c>
      <c r="O337" t="inlineStr">
        <is>
          <t>AMEND</t>
        </is>
      </c>
      <c r="P337" t="inlineStr">
        <is>
          <t>NT26081800309</t>
        </is>
      </c>
      <c r="Q337" t="inlineStr">
        <is>
          <t>INTERNAL</t>
        </is>
      </c>
    </row>
    <row r="338">
      <c r="A338" t="inlineStr">
        <is>
          <t>171857983160</t>
        </is>
      </c>
      <c r="B338" t="inlineStr">
        <is>
          <t>TCC</t>
        </is>
      </c>
      <c r="C338" t="inlineStr">
        <is>
          <t>BRBX</t>
        </is>
      </c>
      <c r="D338" s="6" t="n">
        <v>46252</v>
      </c>
      <c r="E338" t="inlineStr">
        <is>
          <t>CR</t>
        </is>
      </c>
      <c r="F338" t="inlineStr">
        <is>
          <t>AUD</t>
        </is>
      </c>
      <c r="G338" s="7" t="n">
        <v>11302880.15</v>
      </c>
      <c r="H338" t="inlineStr">
        <is>
          <t>GBP</t>
        </is>
      </c>
      <c r="I338" s="7" t="n">
        <v>5798377.517</v>
      </c>
      <c r="J338" s="8" t="n">
        <v>46252.73128472222</v>
      </c>
      <c r="K338" t="inlineStr">
        <is>
          <t>CF260818 00332</t>
        </is>
      </c>
      <c r="L338" t="inlineStr">
        <is>
          <t>GL.NOSTRO.AUD.BRBX.002</t>
        </is>
      </c>
      <c r="M338" t="inlineStr">
        <is>
          <t>Elmwood Settlement Bank</t>
        </is>
      </c>
      <c r="N338" t="inlineStr">
        <is>
          <t>BRBXTRSY</t>
        </is>
      </c>
      <c r="O338" t="inlineStr">
        <is>
          <t>NEW</t>
        </is>
      </c>
      <c r="P338" t="inlineStr">
        <is>
          <t>NT26081800290</t>
        </is>
      </c>
      <c r="Q338" t="inlineStr">
        <is>
          <t>GROSS</t>
        </is>
      </c>
    </row>
    <row r="339">
      <c r="A339" t="inlineStr">
        <is>
          <t>150316825069</t>
        </is>
      </c>
      <c r="B339" t="inlineStr">
        <is>
          <t>TCP</t>
        </is>
      </c>
      <c r="C339" t="inlineStr">
        <is>
          <t>BRGX</t>
        </is>
      </c>
      <c r="D339" s="6" t="n">
        <v>46252</v>
      </c>
      <c r="E339" t="inlineStr">
        <is>
          <t>CR</t>
        </is>
      </c>
      <c r="F339" t="inlineStr">
        <is>
          <t>GBP</t>
        </is>
      </c>
      <c r="G339" s="7" t="n">
        <v>8354.983</v>
      </c>
      <c r="H339" t="inlineStr">
        <is>
          <t>GBP</t>
        </is>
      </c>
      <c r="I339" s="7" t="n">
        <v>8354.983</v>
      </c>
      <c r="J339" s="8" t="n">
        <v>46252.33699074074</v>
      </c>
      <c r="K339" t="inlineStr">
        <is>
          <t>CF260818 00333</t>
        </is>
      </c>
      <c r="L339" t="inlineStr">
        <is>
          <t>GL.NOSTRO.GBP.BRGX.001</t>
        </is>
      </c>
      <c r="M339" t="inlineStr">
        <is>
          <t>Sablewood Commercial Bank</t>
        </is>
      </c>
      <c r="N339" t="inlineStr">
        <is>
          <t>BRGXTRSY</t>
        </is>
      </c>
      <c r="O339" t="inlineStr">
        <is>
          <t>NEW</t>
        </is>
      </c>
      <c r="P339" t="inlineStr">
        <is>
          <t>NT26081800295</t>
        </is>
      </c>
      <c r="Q339" t="inlineStr">
        <is>
          <t>INTERNAL</t>
        </is>
      </c>
    </row>
    <row r="340">
      <c r="A340" t="inlineStr">
        <is>
          <t>120047354818</t>
        </is>
      </c>
      <c r="B340" t="inlineStr">
        <is>
          <t>TCG</t>
        </is>
      </c>
      <c r="C340" t="inlineStr">
        <is>
          <t>BRNK</t>
        </is>
      </c>
      <c r="D340" s="6" t="n">
        <v>46252</v>
      </c>
      <c r="E340" t="inlineStr">
        <is>
          <t>CR</t>
        </is>
      </c>
      <c r="F340" t="inlineStr">
        <is>
          <t>USD</t>
        </is>
      </c>
      <c r="G340" s="7" t="n">
        <v>525429649.044</v>
      </c>
      <c r="H340" t="inlineStr">
        <is>
          <t>GBP</t>
        </is>
      </c>
      <c r="I340" s="7" t="n">
        <v>411936844.85</v>
      </c>
      <c r="J340" s="8" t="n">
        <v>46252.38274305555</v>
      </c>
      <c r="K340" t="inlineStr">
        <is>
          <t>CF260818 00334</t>
        </is>
      </c>
      <c r="L340" t="inlineStr">
        <is>
          <t>GL.NOSTRO.USD.BRNK.006</t>
        </is>
      </c>
      <c r="M340" t="inlineStr">
        <is>
          <t>Pinehurst Settlement Bank</t>
        </is>
      </c>
      <c r="N340" t="inlineStr">
        <is>
          <t>BRNKCASH</t>
        </is>
      </c>
      <c r="O340" t="inlineStr">
        <is>
          <t>NEW</t>
        </is>
      </c>
      <c r="Q340" t="inlineStr">
        <is>
          <t>NETTER</t>
        </is>
      </c>
    </row>
    <row r="341">
      <c r="A341" t="inlineStr">
        <is>
          <t>898317028833</t>
        </is>
      </c>
      <c r="B341" t="inlineStr">
        <is>
          <t>TCX</t>
        </is>
      </c>
      <c r="C341" t="inlineStr">
        <is>
          <t>BRAA</t>
        </is>
      </c>
      <c r="D341" s="6" t="n">
        <v>46252</v>
      </c>
      <c r="E341" t="inlineStr">
        <is>
          <t>CR</t>
        </is>
      </c>
      <c r="F341" t="inlineStr">
        <is>
          <t>GBP</t>
        </is>
      </c>
      <c r="G341" s="7" t="n">
        <v>1356666.722</v>
      </c>
      <c r="H341" t="inlineStr">
        <is>
          <t>GBP</t>
        </is>
      </c>
      <c r="I341" s="7" t="n">
        <v>1356666.722</v>
      </c>
      <c r="J341" s="8" t="n">
        <v>46252.39528935185</v>
      </c>
      <c r="K341" t="inlineStr">
        <is>
          <t>CF260818 00335</t>
        </is>
      </c>
      <c r="L341" t="inlineStr">
        <is>
          <t>GL.NOSTRO.GBP.BRAA.005</t>
        </is>
      </c>
      <c r="M341" t="inlineStr">
        <is>
          <t>Dunlin Bank</t>
        </is>
      </c>
      <c r="N341" t="inlineStr">
        <is>
          <t>BRAACASH</t>
        </is>
      </c>
      <c r="O341" t="inlineStr">
        <is>
          <t>NEW</t>
        </is>
      </c>
      <c r="P341" t="inlineStr">
        <is>
          <t>NT26081800282</t>
        </is>
      </c>
      <c r="Q341" t="inlineStr">
        <is>
          <t>NETTER</t>
        </is>
      </c>
    </row>
    <row r="342">
      <c r="A342" t="inlineStr">
        <is>
          <t>132544340094</t>
        </is>
      </c>
      <c r="B342" t="inlineStr">
        <is>
          <t>TCP</t>
        </is>
      </c>
      <c r="C342" t="inlineStr">
        <is>
          <t>BRYG</t>
        </is>
      </c>
      <c r="D342" s="6" t="n">
        <v>46252</v>
      </c>
      <c r="E342" t="inlineStr">
        <is>
          <t>CR</t>
        </is>
      </c>
      <c r="F342" t="inlineStr">
        <is>
          <t>CZK</t>
        </is>
      </c>
      <c r="G342" s="7" t="n">
        <v>4484.446</v>
      </c>
      <c r="H342" t="inlineStr">
        <is>
          <t>GBP</t>
        </is>
      </c>
      <c r="I342" s="7" t="n">
        <v>152.023</v>
      </c>
      <c r="J342" s="8" t="n">
        <v>46252.45527777778</v>
      </c>
      <c r="K342" t="inlineStr">
        <is>
          <t>CF260818 00336</t>
        </is>
      </c>
      <c r="L342" t="inlineStr">
        <is>
          <t>GL.NOSTRO.CZK.BRYG.004</t>
        </is>
      </c>
      <c r="M342" t="inlineStr">
        <is>
          <t>Elmwood Clearing</t>
        </is>
      </c>
      <c r="N342" t="inlineStr">
        <is>
          <t>BRYGCASH</t>
        </is>
      </c>
      <c r="O342" t="inlineStr">
        <is>
          <t>NEW</t>
        </is>
      </c>
      <c r="Q342" t="inlineStr">
        <is>
          <t>INTERNAL</t>
        </is>
      </c>
    </row>
    <row r="343">
      <c r="A343" t="inlineStr">
        <is>
          <t>794226063698</t>
        </is>
      </c>
      <c r="B343" t="inlineStr">
        <is>
          <t>TCQ</t>
        </is>
      </c>
      <c r="C343" t="inlineStr">
        <is>
          <t>BRMD</t>
        </is>
      </c>
      <c r="D343" s="6" t="n">
        <v>46252</v>
      </c>
      <c r="E343" t="inlineStr">
        <is>
          <t>DR</t>
        </is>
      </c>
      <c r="F343" t="inlineStr">
        <is>
          <t>AED</t>
        </is>
      </c>
      <c r="G343" s="7" t="n">
        <v>-203491.306</v>
      </c>
      <c r="H343" t="inlineStr">
        <is>
          <t>GBP</t>
        </is>
      </c>
      <c r="I343" s="7" t="n">
        <v>-43343.648</v>
      </c>
      <c r="J343" s="8" t="n">
        <v>46252.24828703704</v>
      </c>
      <c r="K343" t="inlineStr">
        <is>
          <t>CF260818 00337</t>
        </is>
      </c>
      <c r="L343" t="inlineStr">
        <is>
          <t>GL.NOSTRO.AED.BRMD.006</t>
        </is>
      </c>
      <c r="M343" t="inlineStr">
        <is>
          <t>Ironbark Trust</t>
        </is>
      </c>
      <c r="N343" t="inlineStr">
        <is>
          <t>BRMD</t>
        </is>
      </c>
      <c r="O343" t="inlineStr">
        <is>
          <t>NEW</t>
        </is>
      </c>
      <c r="P343" t="inlineStr">
        <is>
          <t>NT26081800285</t>
        </is>
      </c>
      <c r="Q343" t="inlineStr">
        <is>
          <t>GROSS</t>
        </is>
      </c>
    </row>
    <row r="344">
      <c r="A344" t="inlineStr">
        <is>
          <t>113829985108</t>
        </is>
      </c>
      <c r="B344" t="inlineStr">
        <is>
          <t>TCP</t>
        </is>
      </c>
      <c r="C344" t="inlineStr">
        <is>
          <t>BRGL</t>
        </is>
      </c>
      <c r="D344" s="6" t="n">
        <v>46252</v>
      </c>
      <c r="E344" t="inlineStr">
        <is>
          <t>CR</t>
        </is>
      </c>
      <c r="F344" t="inlineStr">
        <is>
          <t>EUR</t>
        </is>
      </c>
      <c r="G344" s="7" t="n">
        <v>604333033.6339999</v>
      </c>
      <c r="H344" t="inlineStr">
        <is>
          <t>GBP</t>
        </is>
      </c>
      <c r="I344" s="7" t="n">
        <v>518517742.858</v>
      </c>
      <c r="J344" s="8" t="n">
        <v>46252.25599537037</v>
      </c>
      <c r="K344" t="inlineStr">
        <is>
          <t>CF260818 00338</t>
        </is>
      </c>
      <c r="L344" t="inlineStr">
        <is>
          <t>GL.NOSTRO.EUR.BRGL.007</t>
        </is>
      </c>
      <c r="M344" t="inlineStr">
        <is>
          <t>Sablewood Commercial Bank</t>
        </is>
      </c>
      <c r="N344" t="inlineStr">
        <is>
          <t>BRGLTRSY</t>
        </is>
      </c>
      <c r="O344" t="inlineStr">
        <is>
          <t>NEW</t>
        </is>
      </c>
      <c r="P344" t="inlineStr">
        <is>
          <t>NT26081800297</t>
        </is>
      </c>
      <c r="Q344" t="inlineStr">
        <is>
          <t>NETTER</t>
        </is>
      </c>
    </row>
    <row r="345">
      <c r="A345" t="inlineStr">
        <is>
          <t>150316825069</t>
        </is>
      </c>
      <c r="B345" t="inlineStr">
        <is>
          <t>TCG</t>
        </is>
      </c>
      <c r="C345" t="inlineStr">
        <is>
          <t>BRGX</t>
        </is>
      </c>
      <c r="D345" s="6" t="n">
        <v>46252</v>
      </c>
      <c r="E345" t="inlineStr">
        <is>
          <t>CR</t>
        </is>
      </c>
      <c r="F345" t="inlineStr">
        <is>
          <t>GBP</t>
        </is>
      </c>
      <c r="G345" s="7" t="n">
        <v>617515089.768</v>
      </c>
      <c r="H345" t="inlineStr">
        <is>
          <t>GBP</t>
        </is>
      </c>
      <c r="I345" s="7" t="n">
        <v>617515089.768</v>
      </c>
      <c r="J345" s="8" t="n">
        <v>46252.36101851852</v>
      </c>
      <c r="K345" t="inlineStr">
        <is>
          <t>CF260818 00339</t>
        </is>
      </c>
      <c r="L345" t="inlineStr">
        <is>
          <t>GL.NOSTRO.GBP.BRGX.007</t>
        </is>
      </c>
      <c r="M345" t="inlineStr">
        <is>
          <t>Yarrow Commercial Bank</t>
        </is>
      </c>
      <c r="N345" t="inlineStr">
        <is>
          <t>BRGXTRSY</t>
        </is>
      </c>
      <c r="O345" t="inlineStr">
        <is>
          <t>NEW</t>
        </is>
      </c>
      <c r="Q345" t="inlineStr">
        <is>
          <t>NETTER</t>
        </is>
      </c>
    </row>
    <row r="346">
      <c r="A346" t="inlineStr">
        <is>
          <t>171857983160</t>
        </is>
      </c>
      <c r="B346" t="inlineStr">
        <is>
          <t>TCC</t>
        </is>
      </c>
      <c r="C346" t="inlineStr">
        <is>
          <t>BRBX</t>
        </is>
      </c>
      <c r="D346" s="6" t="n">
        <v>46252</v>
      </c>
      <c r="E346" t="inlineStr">
        <is>
          <t>DR</t>
        </is>
      </c>
      <c r="F346" t="inlineStr">
        <is>
          <t>AUD</t>
        </is>
      </c>
      <c r="G346" s="7" t="n">
        <v>-423431.703</v>
      </c>
      <c r="H346" t="inlineStr">
        <is>
          <t>GBP</t>
        </is>
      </c>
      <c r="I346" s="7" t="n">
        <v>-217220.464</v>
      </c>
      <c r="J346" s="8" t="n">
        <v>46252.68486111111</v>
      </c>
      <c r="K346" t="inlineStr">
        <is>
          <t>CF260818 00340</t>
        </is>
      </c>
      <c r="L346" t="inlineStr">
        <is>
          <t>GL.NOSTRO.AUD.BRBX.002</t>
        </is>
      </c>
      <c r="M346" t="inlineStr">
        <is>
          <t>Elmwood Trust</t>
        </is>
      </c>
      <c r="N346" t="inlineStr">
        <is>
          <t>BRBXTRSY</t>
        </is>
      </c>
      <c r="O346" t="inlineStr">
        <is>
          <t>NEW</t>
        </is>
      </c>
      <c r="Q346" t="inlineStr">
        <is>
          <t>NETTER</t>
        </is>
      </c>
    </row>
    <row r="347">
      <c r="A347" t="inlineStr">
        <is>
          <t>265771593142</t>
        </is>
      </c>
      <c r="B347" t="inlineStr">
        <is>
          <t>TCQ</t>
        </is>
      </c>
      <c r="C347" t="inlineStr">
        <is>
          <t>BRYG</t>
        </is>
      </c>
      <c r="D347" s="6" t="n">
        <v>46252</v>
      </c>
      <c r="E347" t="inlineStr">
        <is>
          <t>CR</t>
        </is>
      </c>
      <c r="F347" t="inlineStr">
        <is>
          <t>EUR</t>
        </is>
      </c>
      <c r="G347" s="7" t="n">
        <v>220877196.558</v>
      </c>
      <c r="H347" t="inlineStr">
        <is>
          <t>GBP</t>
        </is>
      </c>
      <c r="I347" s="7" t="n">
        <v>189512634.647</v>
      </c>
      <c r="J347" s="8" t="n">
        <v>46252.87895833333</v>
      </c>
      <c r="K347" t="inlineStr">
        <is>
          <t>CF260818 00341</t>
        </is>
      </c>
      <c r="L347" t="inlineStr">
        <is>
          <t>GL.NOSTRO.EUR.BRYG.005</t>
        </is>
      </c>
      <c r="M347" t="inlineStr">
        <is>
          <t>Mallow Trust</t>
        </is>
      </c>
      <c r="N347" t="inlineStr">
        <is>
          <t>BRYGCASH</t>
        </is>
      </c>
      <c r="O347" t="inlineStr">
        <is>
          <t>NEW</t>
        </is>
      </c>
      <c r="P347" t="inlineStr">
        <is>
          <t>NT26081800297</t>
        </is>
      </c>
      <c r="Q347" t="inlineStr">
        <is>
          <t>GROSS</t>
        </is>
      </c>
    </row>
    <row r="348">
      <c r="A348" t="inlineStr">
        <is>
          <t>359365220160</t>
        </is>
      </c>
      <c r="B348" t="inlineStr">
        <is>
          <t>TCC</t>
        </is>
      </c>
      <c r="C348" t="inlineStr">
        <is>
          <t>BRGX</t>
        </is>
      </c>
      <c r="D348" s="6" t="n">
        <v>46252</v>
      </c>
      <c r="E348" t="inlineStr">
        <is>
          <t>CR</t>
        </is>
      </c>
      <c r="F348" t="inlineStr">
        <is>
          <t>EUR</t>
        </is>
      </c>
      <c r="G348" s="7" t="n">
        <v>12335534.959</v>
      </c>
      <c r="H348" t="inlineStr">
        <is>
          <t>GBP</t>
        </is>
      </c>
      <c r="I348" s="7" t="n">
        <v>10583888.995</v>
      </c>
      <c r="J348" s="8" t="n">
        <v>46252.76521990741</v>
      </c>
      <c r="K348" t="inlineStr">
        <is>
          <t>CF260818 00342</t>
        </is>
      </c>
      <c r="L348" t="inlineStr">
        <is>
          <t>GL.NOSTRO.EUR.BRGX.008</t>
        </is>
      </c>
      <c r="M348" t="inlineStr">
        <is>
          <t>Mallow Trust</t>
        </is>
      </c>
      <c r="N348" t="inlineStr">
        <is>
          <t>BRGXTRSY</t>
        </is>
      </c>
      <c r="O348" t="inlineStr">
        <is>
          <t>NEW</t>
        </is>
      </c>
      <c r="P348" t="inlineStr">
        <is>
          <t>NT26081800315</t>
        </is>
      </c>
      <c r="Q348" t="inlineStr">
        <is>
          <t>NETTER</t>
        </is>
      </c>
    </row>
    <row r="349">
      <c r="A349" t="inlineStr">
        <is>
          <t>150316825069</t>
        </is>
      </c>
      <c r="B349" t="inlineStr">
        <is>
          <t>TCC</t>
        </is>
      </c>
      <c r="C349" t="inlineStr">
        <is>
          <t>BRGX</t>
        </is>
      </c>
      <c r="D349" s="6" t="n">
        <v>46252</v>
      </c>
      <c r="E349" t="inlineStr">
        <is>
          <t>CR</t>
        </is>
      </c>
      <c r="F349" t="inlineStr">
        <is>
          <t>GBP</t>
        </is>
      </c>
      <c r="G349" s="7" t="n">
        <v>1229143.013</v>
      </c>
      <c r="H349" t="inlineStr">
        <is>
          <t>GBP</t>
        </is>
      </c>
      <c r="I349" s="7" t="n">
        <v>1229143.013</v>
      </c>
      <c r="J349" s="8" t="n">
        <v>46252.65760416666</v>
      </c>
      <c r="K349" t="inlineStr">
        <is>
          <t>CF260818 00343</t>
        </is>
      </c>
      <c r="L349" t="inlineStr">
        <is>
          <t>GL.NOSTRO.GBP.BRGX.006</t>
        </is>
      </c>
      <c r="M349" t="inlineStr">
        <is>
          <t>Mallow Trust</t>
        </is>
      </c>
      <c r="N349" t="inlineStr">
        <is>
          <t>BRGXMM</t>
        </is>
      </c>
      <c r="O349" t="inlineStr">
        <is>
          <t>NEW</t>
        </is>
      </c>
      <c r="Q349" t="inlineStr">
        <is>
          <t>NETTER</t>
        </is>
      </c>
    </row>
    <row r="350">
      <c r="A350" t="inlineStr">
        <is>
          <t>468341071172</t>
        </is>
      </c>
      <c r="B350" t="inlineStr">
        <is>
          <t>TCG</t>
        </is>
      </c>
      <c r="C350" t="inlineStr">
        <is>
          <t>BRCC</t>
        </is>
      </c>
      <c r="D350" s="6" t="n">
        <v>46252</v>
      </c>
      <c r="E350" t="inlineStr">
        <is>
          <t>CR</t>
        </is>
      </c>
      <c r="F350" t="inlineStr">
        <is>
          <t>EUR</t>
        </is>
      </c>
      <c r="G350" s="7" t="n">
        <v>78734232.58</v>
      </c>
      <c r="H350" t="inlineStr">
        <is>
          <t>GBP</t>
        </is>
      </c>
      <c r="I350" s="7" t="n">
        <v>67553971.55400001</v>
      </c>
      <c r="J350" s="8" t="n">
        <v>46252.24203703704</v>
      </c>
      <c r="K350" t="inlineStr">
        <is>
          <t>CF260818 00344</t>
        </is>
      </c>
      <c r="L350" t="inlineStr">
        <is>
          <t>GL.NOSTRO.EUR.BRCC.001</t>
        </is>
      </c>
      <c r="M350" t="inlineStr">
        <is>
          <t>Vetchling Commercial Bank</t>
        </is>
      </c>
      <c r="N350" t="inlineStr">
        <is>
          <t>BRCC</t>
        </is>
      </c>
      <c r="O350" t="inlineStr">
        <is>
          <t>NEW</t>
        </is>
      </c>
      <c r="Q350" t="inlineStr">
        <is>
          <t>NETTER</t>
        </is>
      </c>
    </row>
    <row r="351">
      <c r="A351" t="inlineStr">
        <is>
          <t>794226063698</t>
        </is>
      </c>
      <c r="B351" t="inlineStr">
        <is>
          <t>TCC</t>
        </is>
      </c>
      <c r="C351" t="inlineStr">
        <is>
          <t>BRMD</t>
        </is>
      </c>
      <c r="D351" s="6" t="n">
        <v>46252</v>
      </c>
      <c r="E351" t="inlineStr">
        <is>
          <t>CR</t>
        </is>
      </c>
      <c r="F351" t="inlineStr">
        <is>
          <t>AED</t>
        </is>
      </c>
      <c r="G351" s="7" t="n">
        <v>1852517.454</v>
      </c>
      <c r="H351" t="inlineStr">
        <is>
          <t>GBP</t>
        </is>
      </c>
      <c r="I351" s="7" t="n">
        <v>394586.218</v>
      </c>
      <c r="J351" s="8" t="n">
        <v>46252.57378472222</v>
      </c>
      <c r="K351" t="inlineStr">
        <is>
          <t>CF260818 00345</t>
        </is>
      </c>
      <c r="L351" t="inlineStr">
        <is>
          <t>GL.NOSTRO.AED.BRMD.002</t>
        </is>
      </c>
      <c r="M351" t="inlineStr">
        <is>
          <t>Thornbury Bank</t>
        </is>
      </c>
      <c r="N351" t="inlineStr">
        <is>
          <t>BRMDMM</t>
        </is>
      </c>
      <c r="O351" t="inlineStr">
        <is>
          <t>CANCEL</t>
        </is>
      </c>
      <c r="P351" t="inlineStr">
        <is>
          <t>NT26081800286</t>
        </is>
      </c>
      <c r="Q351" t="inlineStr">
        <is>
          <t>GROSS</t>
        </is>
      </c>
    </row>
    <row r="352">
      <c r="A352" t="inlineStr">
        <is>
          <t>150316825069</t>
        </is>
      </c>
      <c r="B352" t="inlineStr">
        <is>
          <t>TCQ</t>
        </is>
      </c>
      <c r="C352" t="inlineStr">
        <is>
          <t>BRGX</t>
        </is>
      </c>
      <c r="D352" s="6" t="n">
        <v>46252</v>
      </c>
      <c r="E352" t="inlineStr">
        <is>
          <t>DR</t>
        </is>
      </c>
      <c r="F352" t="inlineStr">
        <is>
          <t>GBP</t>
        </is>
      </c>
      <c r="G352" s="7" t="n">
        <v>-87041603.76000001</v>
      </c>
      <c r="H352" t="inlineStr">
        <is>
          <t>GBP</t>
        </is>
      </c>
      <c r="I352" s="7" t="n">
        <v>-87041603.76000001</v>
      </c>
      <c r="J352" s="8" t="n">
        <v>46252.30625</v>
      </c>
      <c r="K352" t="inlineStr">
        <is>
          <t>CF260818 00346</t>
        </is>
      </c>
      <c r="L352" t="inlineStr">
        <is>
          <t>GL.NOSTRO.GBP.BRGX.009</t>
        </is>
      </c>
      <c r="M352" t="inlineStr">
        <is>
          <t>Fernway Settlement Bank</t>
        </is>
      </c>
      <c r="N352" t="inlineStr">
        <is>
          <t>BRGXMM</t>
        </is>
      </c>
      <c r="O352" t="inlineStr">
        <is>
          <t>NEW</t>
        </is>
      </c>
      <c r="P352" t="inlineStr">
        <is>
          <t>NT26081800308</t>
        </is>
      </c>
      <c r="Q352" t="inlineStr">
        <is>
          <t>NETTER</t>
        </is>
      </c>
    </row>
    <row r="353">
      <c r="A353" t="inlineStr">
        <is>
          <t>499062838623</t>
        </is>
      </c>
      <c r="B353" t="inlineStr">
        <is>
          <t>TCQ</t>
        </is>
      </c>
      <c r="C353" t="inlineStr">
        <is>
          <t>BRBX</t>
        </is>
      </c>
      <c r="D353" s="6" t="n">
        <v>46252</v>
      </c>
      <c r="E353" t="inlineStr">
        <is>
          <t>DR</t>
        </is>
      </c>
      <c r="F353" t="inlineStr">
        <is>
          <t>USD</t>
        </is>
      </c>
      <c r="G353" s="7" t="n">
        <v>-1470551.826</v>
      </c>
      <c r="H353" t="inlineStr">
        <is>
          <t>GBP</t>
        </is>
      </c>
      <c r="I353" s="7" t="n">
        <v>-1152912.632</v>
      </c>
      <c r="J353" s="8" t="n">
        <v>46252.85457175926</v>
      </c>
      <c r="K353" t="inlineStr">
        <is>
          <t>CF260818 00347</t>
        </is>
      </c>
      <c r="L353" t="inlineStr">
        <is>
          <t>GL.NOSTRO.USD.BRBX.007</t>
        </is>
      </c>
      <c r="M353" t="inlineStr">
        <is>
          <t>Vetchling Commercial Bank</t>
        </is>
      </c>
      <c r="N353" t="inlineStr">
        <is>
          <t>BRBXMM</t>
        </is>
      </c>
      <c r="O353" t="inlineStr">
        <is>
          <t>NEW</t>
        </is>
      </c>
      <c r="P353" t="inlineStr">
        <is>
          <t>NT26081800308</t>
        </is>
      </c>
      <c r="Q353" t="inlineStr">
        <is>
          <t>NETTER</t>
        </is>
      </c>
    </row>
    <row r="354">
      <c r="A354" t="inlineStr">
        <is>
          <t>132544340094</t>
        </is>
      </c>
      <c r="B354" t="inlineStr">
        <is>
          <t>TCP</t>
        </is>
      </c>
      <c r="C354" t="inlineStr">
        <is>
          <t>BRYG</t>
        </is>
      </c>
      <c r="D354" s="6" t="n">
        <v>46252</v>
      </c>
      <c r="E354" t="inlineStr">
        <is>
          <t>DR</t>
        </is>
      </c>
      <c r="F354" t="inlineStr">
        <is>
          <t>CZK</t>
        </is>
      </c>
      <c r="G354" s="7" t="n">
        <v>-97598002.873</v>
      </c>
      <c r="H354" t="inlineStr">
        <is>
          <t>GBP</t>
        </is>
      </c>
      <c r="I354" s="7" t="n">
        <v>-3308572.297</v>
      </c>
      <c r="J354" s="8" t="n">
        <v>46252.40795138889</v>
      </c>
      <c r="K354" t="inlineStr">
        <is>
          <t>CF260818 00348</t>
        </is>
      </c>
      <c r="L354" t="inlineStr">
        <is>
          <t>GL.NOSTRO.CZK.BRYG.003</t>
        </is>
      </c>
      <c r="M354" t="inlineStr">
        <is>
          <t>Vetchling Bank</t>
        </is>
      </c>
      <c r="N354" t="inlineStr">
        <is>
          <t>BRYGMM</t>
        </is>
      </c>
      <c r="O354" t="inlineStr">
        <is>
          <t>CANCEL</t>
        </is>
      </c>
      <c r="Q354" t="inlineStr">
        <is>
          <t>NETTER</t>
        </is>
      </c>
    </row>
    <row r="355">
      <c r="A355" t="inlineStr">
        <is>
          <t>120047354818</t>
        </is>
      </c>
      <c r="B355" t="inlineStr">
        <is>
          <t>TCP</t>
        </is>
      </c>
      <c r="C355" t="inlineStr">
        <is>
          <t>BRNK</t>
        </is>
      </c>
      <c r="D355" s="6" t="n">
        <v>46252</v>
      </c>
      <c r="E355" t="inlineStr">
        <is>
          <t>CR</t>
        </is>
      </c>
      <c r="F355" t="inlineStr">
        <is>
          <t>USD</t>
        </is>
      </c>
      <c r="G355" s="7" t="n">
        <v>149589827.053</v>
      </c>
      <c r="H355" t="inlineStr">
        <is>
          <t>GBP</t>
        </is>
      </c>
      <c r="I355" s="7" t="n">
        <v>117278424.41</v>
      </c>
      <c r="J355" s="8" t="n">
        <v>46252.38171296296</v>
      </c>
      <c r="K355" t="inlineStr">
        <is>
          <t>CF260818 00349</t>
        </is>
      </c>
      <c r="L355" t="inlineStr">
        <is>
          <t>GL.NOSTRO.USD.BRNK.008</t>
        </is>
      </c>
      <c r="M355" t="inlineStr">
        <is>
          <t>Juniper Settlement Bank</t>
        </is>
      </c>
      <c r="N355" t="inlineStr">
        <is>
          <t>BRNKTRSY</t>
        </is>
      </c>
      <c r="O355" t="inlineStr">
        <is>
          <t>NEW</t>
        </is>
      </c>
      <c r="P355" t="inlineStr">
        <is>
          <t>NT26081800315</t>
        </is>
      </c>
      <c r="Q355" t="inlineStr">
        <is>
          <t>NETTER</t>
        </is>
      </c>
    </row>
    <row r="356">
      <c r="A356" t="inlineStr">
        <is>
          <t>120047354818</t>
        </is>
      </c>
      <c r="B356" t="inlineStr">
        <is>
          <t>TCP</t>
        </is>
      </c>
      <c r="C356" t="inlineStr">
        <is>
          <t>BRNK</t>
        </is>
      </c>
      <c r="D356" s="6" t="n">
        <v>46252</v>
      </c>
      <c r="E356" t="inlineStr">
        <is>
          <t>DR</t>
        </is>
      </c>
      <c r="F356" t="inlineStr">
        <is>
          <t>USD</t>
        </is>
      </c>
      <c r="G356" s="7" t="n">
        <v>-58762150.169</v>
      </c>
      <c r="H356" t="inlineStr">
        <is>
          <t>GBP</t>
        </is>
      </c>
      <c r="I356" s="7" t="n">
        <v>-46069525.732</v>
      </c>
      <c r="J356" s="8" t="n">
        <v>46252.68561342593</v>
      </c>
      <c r="K356" t="inlineStr">
        <is>
          <t>CF260818 00350</t>
        </is>
      </c>
      <c r="L356" t="inlineStr">
        <is>
          <t>GL.NOSTRO.USD.BRNK.001</t>
        </is>
      </c>
      <c r="M356" t="inlineStr">
        <is>
          <t>Zephyr Bank</t>
        </is>
      </c>
      <c r="N356" t="inlineStr">
        <is>
          <t>BRNKMM</t>
        </is>
      </c>
      <c r="O356" t="inlineStr">
        <is>
          <t>NEW</t>
        </is>
      </c>
      <c r="Q356" t="inlineStr">
        <is>
          <t>GROSS</t>
        </is>
      </c>
    </row>
    <row r="357">
      <c r="A357" t="inlineStr">
        <is>
          <t>794226063698</t>
        </is>
      </c>
      <c r="B357" t="inlineStr">
        <is>
          <t>TCQ</t>
        </is>
      </c>
      <c r="C357" t="inlineStr">
        <is>
          <t>BRMD</t>
        </is>
      </c>
      <c r="D357" s="6" t="n">
        <v>46252</v>
      </c>
      <c r="E357" t="inlineStr">
        <is>
          <t>CR</t>
        </is>
      </c>
      <c r="F357" t="inlineStr">
        <is>
          <t>AED</t>
        </is>
      </c>
      <c r="G357" s="7" t="n">
        <v>1154553.55</v>
      </c>
      <c r="H357" t="inlineStr">
        <is>
          <t>GBP</t>
        </is>
      </c>
      <c r="I357" s="7" t="n">
        <v>245919.906</v>
      </c>
      <c r="J357" s="8" t="n">
        <v>46252.36387731481</v>
      </c>
      <c r="K357" t="inlineStr">
        <is>
          <t>CF260818 00351</t>
        </is>
      </c>
      <c r="L357" t="inlineStr">
        <is>
          <t>GL.NOSTRO.AED.BRMD.004</t>
        </is>
      </c>
      <c r="M357" t="inlineStr">
        <is>
          <t>Sablewood Commercial Bank</t>
        </is>
      </c>
      <c r="N357" t="inlineStr">
        <is>
          <t>BRMDTRSY</t>
        </is>
      </c>
      <c r="O357" t="inlineStr">
        <is>
          <t>NEW</t>
        </is>
      </c>
      <c r="Q357" t="inlineStr">
        <is>
          <t>NETTER</t>
        </is>
      </c>
    </row>
    <row r="358">
      <c r="A358" t="inlineStr">
        <is>
          <t>150316825069</t>
        </is>
      </c>
      <c r="B358" t="inlineStr">
        <is>
          <t>TCC</t>
        </is>
      </c>
      <c r="C358" t="inlineStr">
        <is>
          <t>BRGX</t>
        </is>
      </c>
      <c r="D358" s="6" t="n">
        <v>46252</v>
      </c>
      <c r="E358" t="inlineStr">
        <is>
          <t>DR</t>
        </is>
      </c>
      <c r="F358" t="inlineStr">
        <is>
          <t>GBP</t>
        </is>
      </c>
      <c r="G358" s="7" t="n">
        <v>-447329774.211</v>
      </c>
      <c r="H358" t="inlineStr">
        <is>
          <t>GBP</t>
        </is>
      </c>
      <c r="I358" s="7" t="n">
        <v>-447329774.211</v>
      </c>
      <c r="J358" s="8" t="n">
        <v>46252.39053240741</v>
      </c>
      <c r="K358" t="inlineStr">
        <is>
          <t>CF260818 00352</t>
        </is>
      </c>
      <c r="L358" t="inlineStr">
        <is>
          <t>GL.NOSTRO.GBP.BRGX.002</t>
        </is>
      </c>
      <c r="M358" t="inlineStr">
        <is>
          <t>Granite Bank</t>
        </is>
      </c>
      <c r="N358" t="inlineStr">
        <is>
          <t>BRGX</t>
        </is>
      </c>
      <c r="O358" t="inlineStr">
        <is>
          <t>NEW</t>
        </is>
      </c>
      <c r="Q358" t="inlineStr">
        <is>
          <t>GROSS</t>
        </is>
      </c>
    </row>
    <row r="359">
      <c r="A359" t="inlineStr">
        <is>
          <t>794226063698</t>
        </is>
      </c>
      <c r="B359" t="inlineStr">
        <is>
          <t>TCC</t>
        </is>
      </c>
      <c r="C359" t="inlineStr">
        <is>
          <t>BRMD</t>
        </is>
      </c>
      <c r="D359" s="6" t="n">
        <v>46252</v>
      </c>
      <c r="E359" t="inlineStr">
        <is>
          <t>CR</t>
        </is>
      </c>
      <c r="F359" t="inlineStr">
        <is>
          <t>AED</t>
        </is>
      </c>
      <c r="G359" s="7" t="n">
        <v>1165953.451</v>
      </c>
      <c r="H359" t="inlineStr">
        <is>
          <t>GBP</t>
        </is>
      </c>
      <c r="I359" s="7" t="n">
        <v>248348.085</v>
      </c>
      <c r="J359" s="8" t="n">
        <v>46252.41850694444</v>
      </c>
      <c r="K359" t="inlineStr">
        <is>
          <t>CF260818 00353</t>
        </is>
      </c>
      <c r="L359" t="inlineStr">
        <is>
          <t>GL.NOSTRO.AED.BRMD.002</t>
        </is>
      </c>
      <c r="M359" t="inlineStr">
        <is>
          <t>Nightjar Trust</t>
        </is>
      </c>
      <c r="N359" t="inlineStr">
        <is>
          <t>BRMDCASH</t>
        </is>
      </c>
      <c r="O359" t="inlineStr">
        <is>
          <t>NEW</t>
        </is>
      </c>
      <c r="Q359" t="inlineStr">
        <is>
          <t>GROSS</t>
        </is>
      </c>
    </row>
    <row r="360">
      <c r="A360" t="inlineStr">
        <is>
          <t>700726936098</t>
        </is>
      </c>
      <c r="B360" t="inlineStr">
        <is>
          <t>TCX</t>
        </is>
      </c>
      <c r="C360" t="inlineStr">
        <is>
          <t>BRMD</t>
        </is>
      </c>
      <c r="D360" s="6" t="n">
        <v>46252</v>
      </c>
      <c r="E360" t="inlineStr">
        <is>
          <t>DR</t>
        </is>
      </c>
      <c r="F360" t="inlineStr">
        <is>
          <t>SAR</t>
        </is>
      </c>
      <c r="G360" s="7" t="n">
        <v>-222811562.74</v>
      </c>
      <c r="H360" t="inlineStr">
        <is>
          <t>GBP</t>
        </is>
      </c>
      <c r="I360" s="7" t="n">
        <v>-46567616.613</v>
      </c>
      <c r="J360" s="8" t="n">
        <v>46252.48842592593</v>
      </c>
      <c r="K360" t="inlineStr">
        <is>
          <t>CF260818 00354</t>
        </is>
      </c>
      <c r="L360" t="inlineStr">
        <is>
          <t>GL.NOSTRO.SAR.BRMD.008</t>
        </is>
      </c>
      <c r="M360" t="inlineStr">
        <is>
          <t>Sablewood Commercial Bank</t>
        </is>
      </c>
      <c r="N360" t="inlineStr">
        <is>
          <t>BRMD</t>
        </is>
      </c>
      <c r="O360" t="inlineStr">
        <is>
          <t>NEW</t>
        </is>
      </c>
      <c r="Q360" t="inlineStr">
        <is>
          <t>GROSS</t>
        </is>
      </c>
    </row>
    <row r="361">
      <c r="A361" t="inlineStr">
        <is>
          <t>284925023085</t>
        </is>
      </c>
      <c r="B361" t="inlineStr">
        <is>
          <t>TCP</t>
        </is>
      </c>
      <c r="C361" t="inlineStr">
        <is>
          <t>BRMD</t>
        </is>
      </c>
      <c r="D361" s="6" t="n">
        <v>46252</v>
      </c>
      <c r="E361" t="inlineStr">
        <is>
          <t>DR</t>
        </is>
      </c>
      <c r="F361" t="inlineStr">
        <is>
          <t>MXN</t>
        </is>
      </c>
      <c r="G361" s="7" t="n">
        <v>-64964091.092</v>
      </c>
      <c r="H361" t="inlineStr">
        <is>
          <t>GBP</t>
        </is>
      </c>
      <c r="I361" s="7" t="n">
        <v>-2780463.099</v>
      </c>
      <c r="J361" s="8" t="n">
        <v>46252.05810185185</v>
      </c>
      <c r="K361" t="inlineStr">
        <is>
          <t>CF260818 00355</t>
        </is>
      </c>
      <c r="L361" t="inlineStr">
        <is>
          <t>GL.NOSTRO.MXN.BRMD.001</t>
        </is>
      </c>
      <c r="M361" t="inlineStr">
        <is>
          <t>Elmwood Trust</t>
        </is>
      </c>
      <c r="N361" t="inlineStr">
        <is>
          <t>BRMDCASH</t>
        </is>
      </c>
      <c r="O361" t="inlineStr">
        <is>
          <t>NEW</t>
        </is>
      </c>
      <c r="Q361" t="inlineStr">
        <is>
          <t>INTERNAL</t>
        </is>
      </c>
    </row>
    <row r="362">
      <c r="A362" t="inlineStr">
        <is>
          <t>910703979141</t>
        </is>
      </c>
      <c r="B362" t="inlineStr">
        <is>
          <t>TCQ</t>
        </is>
      </c>
      <c r="C362" t="inlineStr">
        <is>
          <t>BRCC</t>
        </is>
      </c>
      <c r="D362" s="6" t="n">
        <v>46252</v>
      </c>
      <c r="E362" t="inlineStr">
        <is>
          <t>DR</t>
        </is>
      </c>
      <c r="F362" t="inlineStr">
        <is>
          <t>CHF</t>
        </is>
      </c>
      <c r="G362" s="7" t="n">
        <v>-1628413.344</v>
      </c>
      <c r="H362" t="inlineStr">
        <is>
          <t>GBP</t>
        </is>
      </c>
      <c r="I362" s="7" t="n">
        <v>-1460686.77</v>
      </c>
      <c r="J362" s="8" t="n">
        <v>46252.66922453704</v>
      </c>
      <c r="K362" t="inlineStr">
        <is>
          <t>CF260818 00356</t>
        </is>
      </c>
      <c r="L362" t="inlineStr">
        <is>
          <t>GL.NOSTRO.CHF.BRCC.007</t>
        </is>
      </c>
      <c r="M362" t="inlineStr">
        <is>
          <t>Zephyr Commercial Bank</t>
        </is>
      </c>
      <c r="N362" t="inlineStr">
        <is>
          <t>BRCC</t>
        </is>
      </c>
      <c r="O362" t="inlineStr">
        <is>
          <t>NEW</t>
        </is>
      </c>
      <c r="Q362" t="inlineStr">
        <is>
          <t>NETTER</t>
        </is>
      </c>
    </row>
    <row r="363">
      <c r="A363" t="inlineStr">
        <is>
          <t>910703979141</t>
        </is>
      </c>
      <c r="B363" t="inlineStr">
        <is>
          <t>TCG</t>
        </is>
      </c>
      <c r="C363" t="inlineStr">
        <is>
          <t>BRCC</t>
        </is>
      </c>
      <c r="D363" s="6" t="n">
        <v>46252</v>
      </c>
      <c r="E363" t="inlineStr">
        <is>
          <t>DR</t>
        </is>
      </c>
      <c r="F363" t="inlineStr">
        <is>
          <t>CHF</t>
        </is>
      </c>
      <c r="G363" s="7" t="n">
        <v>-519450930.61</v>
      </c>
      <c r="H363" t="inlineStr">
        <is>
          <t>GBP</t>
        </is>
      </c>
      <c r="I363" s="7" t="n">
        <v>-465947484.757</v>
      </c>
      <c r="J363" s="8" t="n">
        <v>46252.42274305555</v>
      </c>
      <c r="K363" t="inlineStr">
        <is>
          <t>CF260818 00357</t>
        </is>
      </c>
      <c r="L363" t="inlineStr">
        <is>
          <t>GL.NOSTRO.CHF.BRCC.002</t>
        </is>
      </c>
      <c r="M363" t="inlineStr">
        <is>
          <t>Elmwood Bank</t>
        </is>
      </c>
      <c r="N363" t="inlineStr">
        <is>
          <t>BRCCTRSY</t>
        </is>
      </c>
      <c r="O363" t="inlineStr">
        <is>
          <t>CANCEL</t>
        </is>
      </c>
      <c r="P363" t="inlineStr">
        <is>
          <t>NT26081800315</t>
        </is>
      </c>
      <c r="Q363" t="inlineStr">
        <is>
          <t>GROSS</t>
        </is>
      </c>
    </row>
    <row r="364">
      <c r="A364" t="inlineStr">
        <is>
          <t>499062838623</t>
        </is>
      </c>
      <c r="B364" t="inlineStr">
        <is>
          <t>TCC</t>
        </is>
      </c>
      <c r="C364" t="inlineStr">
        <is>
          <t>BRBX</t>
        </is>
      </c>
      <c r="D364" s="6" t="n">
        <v>46252</v>
      </c>
      <c r="E364" t="inlineStr">
        <is>
          <t>DR</t>
        </is>
      </c>
      <c r="F364" t="inlineStr">
        <is>
          <t>USD</t>
        </is>
      </c>
      <c r="G364" s="7" t="n">
        <v>-7387608.742</v>
      </c>
      <c r="H364" t="inlineStr">
        <is>
          <t>GBP</t>
        </is>
      </c>
      <c r="I364" s="7" t="n">
        <v>-5791885.254</v>
      </c>
      <c r="J364" s="8" t="n">
        <v>46252.28449074074</v>
      </c>
      <c r="K364" t="inlineStr">
        <is>
          <t>CF260818 00358</t>
        </is>
      </c>
      <c r="L364" t="inlineStr">
        <is>
          <t>GL.NOSTRO.USD.BRBX.007</t>
        </is>
      </c>
      <c r="M364" t="inlineStr">
        <is>
          <t>Vetchling Bank</t>
        </is>
      </c>
      <c r="N364" t="inlineStr">
        <is>
          <t>BRBXTRSY</t>
        </is>
      </c>
      <c r="O364" t="inlineStr">
        <is>
          <t>NEW</t>
        </is>
      </c>
      <c r="P364" t="inlineStr">
        <is>
          <t>NT26081800312</t>
        </is>
      </c>
      <c r="Q364" t="inlineStr">
        <is>
          <t>NETTER</t>
        </is>
      </c>
    </row>
    <row r="365">
      <c r="A365" t="inlineStr">
        <is>
          <t>794226063698</t>
        </is>
      </c>
      <c r="B365" t="inlineStr">
        <is>
          <t>TCQ</t>
        </is>
      </c>
      <c r="C365" t="inlineStr">
        <is>
          <t>BRMD</t>
        </is>
      </c>
      <c r="D365" s="6" t="n">
        <v>46252</v>
      </c>
      <c r="E365" t="inlineStr">
        <is>
          <t>DR</t>
        </is>
      </c>
      <c r="F365" t="inlineStr">
        <is>
          <t>AED</t>
        </is>
      </c>
      <c r="G365" s="7" t="n">
        <v>-22264684.521</v>
      </c>
      <c r="H365" t="inlineStr">
        <is>
          <t>GBP</t>
        </is>
      </c>
      <c r="I365" s="7" t="n">
        <v>-4742377.803</v>
      </c>
      <c r="J365" s="8" t="n">
        <v>46252.28171296296</v>
      </c>
      <c r="K365" t="inlineStr">
        <is>
          <t>CF260818 00359</t>
        </is>
      </c>
      <c r="L365" t="inlineStr">
        <is>
          <t>GL.NOSTRO.AED.BRMD.005</t>
        </is>
      </c>
      <c r="M365" t="inlineStr">
        <is>
          <t>Bramble Bank</t>
        </is>
      </c>
      <c r="N365" t="inlineStr">
        <is>
          <t>BRMDCASH</t>
        </is>
      </c>
      <c r="O365" t="inlineStr">
        <is>
          <t>NEW</t>
        </is>
      </c>
      <c r="Q365" t="inlineStr">
        <is>
          <t>NETTER</t>
        </is>
      </c>
    </row>
    <row r="366">
      <c r="A366" t="inlineStr">
        <is>
          <t>132544340094</t>
        </is>
      </c>
      <c r="B366" t="inlineStr">
        <is>
          <t>TCG</t>
        </is>
      </c>
      <c r="C366" t="inlineStr">
        <is>
          <t>BRYG</t>
        </is>
      </c>
      <c r="D366" s="6" t="n">
        <v>46252</v>
      </c>
      <c r="E366" t="inlineStr">
        <is>
          <t>DR</t>
        </is>
      </c>
      <c r="F366" t="inlineStr">
        <is>
          <t>CZK</t>
        </is>
      </c>
      <c r="G366" s="7" t="n">
        <v>-390484591.02</v>
      </c>
      <c r="H366" t="inlineStr">
        <is>
          <t>GBP</t>
        </is>
      </c>
      <c r="I366" s="7" t="n">
        <v>-13237427.636</v>
      </c>
      <c r="J366" s="8" t="n">
        <v>46252.31774305556</v>
      </c>
      <c r="K366" t="inlineStr">
        <is>
          <t>CF260818 00360</t>
        </is>
      </c>
      <c r="L366" t="inlineStr">
        <is>
          <t>GL.NOSTRO.CZK.BRYG.003</t>
        </is>
      </c>
      <c r="M366" t="inlineStr">
        <is>
          <t>Ironbark Commercial Bank</t>
        </is>
      </c>
      <c r="N366" t="inlineStr">
        <is>
          <t>BRYGMM</t>
        </is>
      </c>
      <c r="O366" t="inlineStr">
        <is>
          <t>NEW</t>
        </is>
      </c>
      <c r="Q366" t="inlineStr">
        <is>
          <t>NETTER</t>
        </is>
      </c>
    </row>
    <row r="367">
      <c r="A367" t="inlineStr">
        <is>
          <t>284925023085</t>
        </is>
      </c>
      <c r="B367" t="inlineStr">
        <is>
          <t>TCC</t>
        </is>
      </c>
      <c r="C367" t="inlineStr">
        <is>
          <t>BRMD</t>
        </is>
      </c>
      <c r="D367" s="6" t="n">
        <v>46252</v>
      </c>
      <c r="E367" t="inlineStr">
        <is>
          <t>DR</t>
        </is>
      </c>
      <c r="F367" t="inlineStr">
        <is>
          <t>MXN</t>
        </is>
      </c>
      <c r="G367" s="7" t="n">
        <v>-1486364.33</v>
      </c>
      <c r="H367" t="inlineStr">
        <is>
          <t>GBP</t>
        </is>
      </c>
      <c r="I367" s="7" t="n">
        <v>-63616.393</v>
      </c>
      <c r="J367" s="8" t="n">
        <v>46252.58224537037</v>
      </c>
      <c r="K367" t="inlineStr">
        <is>
          <t>CF260818 00361</t>
        </is>
      </c>
      <c r="L367" t="inlineStr">
        <is>
          <t>GL.NOSTRO.MXN.BRMD.006</t>
        </is>
      </c>
      <c r="M367" t="inlineStr">
        <is>
          <t>Pinehurst Clearing</t>
        </is>
      </c>
      <c r="N367" t="inlineStr">
        <is>
          <t>BRMDMM</t>
        </is>
      </c>
      <c r="O367" t="inlineStr">
        <is>
          <t>AMEND</t>
        </is>
      </c>
      <c r="Q367" t="inlineStr">
        <is>
          <t>GROSS</t>
        </is>
      </c>
    </row>
    <row r="368">
      <c r="A368" t="inlineStr">
        <is>
          <t>499062838623</t>
        </is>
      </c>
      <c r="B368" t="inlineStr">
        <is>
          <t>TCG</t>
        </is>
      </c>
      <c r="C368" t="inlineStr">
        <is>
          <t>BRBX</t>
        </is>
      </c>
      <c r="D368" s="6" t="n">
        <v>46252</v>
      </c>
      <c r="E368" t="inlineStr">
        <is>
          <t>DR</t>
        </is>
      </c>
      <c r="F368" t="inlineStr">
        <is>
          <t>USD</t>
        </is>
      </c>
      <c r="G368" s="7" t="n">
        <v>-300965729.566</v>
      </c>
      <c r="H368" t="inlineStr">
        <is>
          <t>GBP</t>
        </is>
      </c>
      <c r="I368" s="7" t="n">
        <v>-235957131.98</v>
      </c>
      <c r="J368" s="8" t="n">
        <v>46252.6196412037</v>
      </c>
      <c r="K368" t="inlineStr">
        <is>
          <t>CF260818 00362</t>
        </is>
      </c>
      <c r="L368" t="inlineStr">
        <is>
          <t>GL.NOSTRO.USD.BRBX.008</t>
        </is>
      </c>
      <c r="M368" t="inlineStr">
        <is>
          <t>Vetchling Commercial Bank</t>
        </is>
      </c>
      <c r="N368" t="inlineStr">
        <is>
          <t>BRBXCASH</t>
        </is>
      </c>
      <c r="O368" t="inlineStr">
        <is>
          <t>NEW</t>
        </is>
      </c>
      <c r="Q368" t="inlineStr">
        <is>
          <t>NETTER</t>
        </is>
      </c>
    </row>
    <row r="369">
      <c r="A369" t="inlineStr">
        <is>
          <t>284925023085</t>
        </is>
      </c>
      <c r="B369" t="inlineStr">
        <is>
          <t>TCC</t>
        </is>
      </c>
      <c r="C369" t="inlineStr">
        <is>
          <t>BRMD</t>
        </is>
      </c>
      <c r="D369" s="6" t="n">
        <v>46252</v>
      </c>
      <c r="E369" t="inlineStr">
        <is>
          <t>CR</t>
        </is>
      </c>
      <c r="F369" t="inlineStr">
        <is>
          <t>MXN</t>
        </is>
      </c>
      <c r="G369" s="7" t="n">
        <v>144222454.341</v>
      </c>
      <c r="H369" t="inlineStr">
        <is>
          <t>GBP</t>
        </is>
      </c>
      <c r="I369" s="7" t="n">
        <v>6172721.046</v>
      </c>
      <c r="J369" s="8" t="n">
        <v>46252.49458333333</v>
      </c>
      <c r="K369" t="inlineStr">
        <is>
          <t>CF260818 00363</t>
        </is>
      </c>
      <c r="L369" t="inlineStr">
        <is>
          <t>GL.NOSTRO.MXN.BRMD.004</t>
        </is>
      </c>
      <c r="M369" t="inlineStr">
        <is>
          <t>Dunlin Clearing</t>
        </is>
      </c>
      <c r="N369" t="inlineStr">
        <is>
          <t>BRMDTRSY</t>
        </is>
      </c>
      <c r="O369" t="inlineStr">
        <is>
          <t>NEW</t>
        </is>
      </c>
      <c r="Q369" t="inlineStr">
        <is>
          <t>NETTER</t>
        </is>
      </c>
    </row>
    <row r="370">
      <c r="A370" t="inlineStr">
        <is>
          <t>898317028833</t>
        </is>
      </c>
      <c r="B370" t="inlineStr">
        <is>
          <t>TCP</t>
        </is>
      </c>
      <c r="C370" t="inlineStr">
        <is>
          <t>BRAA</t>
        </is>
      </c>
      <c r="D370" s="6" t="n">
        <v>46252</v>
      </c>
      <c r="E370" t="inlineStr">
        <is>
          <t>CR</t>
        </is>
      </c>
      <c r="F370" t="inlineStr">
        <is>
          <t>GBP</t>
        </is>
      </c>
      <c r="G370" s="7" t="n">
        <v>4997995.452</v>
      </c>
      <c r="H370" t="inlineStr">
        <is>
          <t>GBP</t>
        </is>
      </c>
      <c r="I370" s="7" t="n">
        <v>4997995.452</v>
      </c>
      <c r="J370" s="8" t="n">
        <v>46252.55483796296</v>
      </c>
      <c r="K370" t="inlineStr">
        <is>
          <t>CF260818 00364</t>
        </is>
      </c>
      <c r="L370" t="inlineStr">
        <is>
          <t>GL.NOSTRO.GBP.BRAA.003</t>
        </is>
      </c>
      <c r="M370" t="inlineStr">
        <is>
          <t>Vetchling Commercial Bank</t>
        </is>
      </c>
      <c r="N370" t="inlineStr">
        <is>
          <t>BRAATRSY</t>
        </is>
      </c>
      <c r="O370" t="inlineStr">
        <is>
          <t>NEW</t>
        </is>
      </c>
      <c r="P370" t="inlineStr">
        <is>
          <t>NT26081800279</t>
        </is>
      </c>
      <c r="Q370" t="inlineStr">
        <is>
          <t>NETTER</t>
        </is>
      </c>
    </row>
    <row r="371">
      <c r="A371" t="inlineStr">
        <is>
          <t>794226063698</t>
        </is>
      </c>
      <c r="B371" t="inlineStr">
        <is>
          <t>TCP</t>
        </is>
      </c>
      <c r="C371" t="inlineStr">
        <is>
          <t>BRMD</t>
        </is>
      </c>
      <c r="D371" s="6" t="n">
        <v>46252</v>
      </c>
      <c r="E371" t="inlineStr">
        <is>
          <t>CR</t>
        </is>
      </c>
      <c r="F371" t="inlineStr">
        <is>
          <t>AED</t>
        </is>
      </c>
      <c r="G371" s="7" t="n">
        <v>134893239.609</v>
      </c>
      <c r="H371" t="inlineStr">
        <is>
          <t>GBP</t>
        </is>
      </c>
      <c r="I371" s="7" t="n">
        <v>28732260.037</v>
      </c>
      <c r="J371" s="8" t="n">
        <v>46252.50303240741</v>
      </c>
      <c r="K371" t="inlineStr">
        <is>
          <t>CF260818 00365</t>
        </is>
      </c>
      <c r="L371" t="inlineStr">
        <is>
          <t>GL.NOSTRO.AED.BRMD.007</t>
        </is>
      </c>
      <c r="M371" t="inlineStr">
        <is>
          <t>Yarrow Bank</t>
        </is>
      </c>
      <c r="N371" t="inlineStr">
        <is>
          <t>BRMDTRSY</t>
        </is>
      </c>
      <c r="O371" t="inlineStr">
        <is>
          <t>NEW</t>
        </is>
      </c>
      <c r="Q371" t="inlineStr">
        <is>
          <t>NETTER</t>
        </is>
      </c>
    </row>
    <row r="372">
      <c r="A372" t="inlineStr">
        <is>
          <t>968942362772</t>
        </is>
      </c>
      <c r="B372" t="inlineStr">
        <is>
          <t>TCQ</t>
        </is>
      </c>
      <c r="C372" t="inlineStr">
        <is>
          <t>BRYG</t>
        </is>
      </c>
      <c r="D372" s="6" t="n">
        <v>46252</v>
      </c>
      <c r="E372" t="inlineStr">
        <is>
          <t>CR</t>
        </is>
      </c>
      <c r="F372" t="inlineStr">
        <is>
          <t>EUR</t>
        </is>
      </c>
      <c r="G372" s="7" t="n">
        <v>564477895.586</v>
      </c>
      <c r="H372" t="inlineStr">
        <is>
          <t>GBP</t>
        </is>
      </c>
      <c r="I372" s="7" t="n">
        <v>484322034.413</v>
      </c>
      <c r="J372" s="8" t="n">
        <v>46252.6921875</v>
      </c>
      <c r="K372" t="inlineStr">
        <is>
          <t>CF260818 00366</t>
        </is>
      </c>
      <c r="L372" t="inlineStr">
        <is>
          <t>GL.NOSTRO.EUR.BRYG.009</t>
        </is>
      </c>
      <c r="M372" t="inlineStr">
        <is>
          <t>Elmwood Trust</t>
        </is>
      </c>
      <c r="N372" t="inlineStr">
        <is>
          <t>BRYG</t>
        </is>
      </c>
      <c r="O372" t="inlineStr">
        <is>
          <t>AMEND</t>
        </is>
      </c>
      <c r="Q372" t="inlineStr">
        <is>
          <t>GROSS</t>
        </is>
      </c>
    </row>
    <row r="373">
      <c r="A373" t="inlineStr">
        <is>
          <t>499062838623</t>
        </is>
      </c>
      <c r="B373" t="inlineStr">
        <is>
          <t>TCX</t>
        </is>
      </c>
      <c r="C373" t="inlineStr">
        <is>
          <t>BRBX</t>
        </is>
      </c>
      <c r="D373" s="6" t="n">
        <v>46252</v>
      </c>
      <c r="E373" t="inlineStr">
        <is>
          <t>CR</t>
        </is>
      </c>
      <c r="F373" t="inlineStr">
        <is>
          <t>USD</t>
        </is>
      </c>
      <c r="G373" s="7" t="n">
        <v>710327982.71</v>
      </c>
      <c r="H373" t="inlineStr">
        <is>
          <t>GBP</t>
        </is>
      </c>
      <c r="I373" s="7" t="n">
        <v>556897138.4450001</v>
      </c>
      <c r="J373" s="8" t="n">
        <v>46252.38476851852</v>
      </c>
      <c r="K373" t="inlineStr">
        <is>
          <t>CF260818 00367</t>
        </is>
      </c>
      <c r="L373" t="inlineStr">
        <is>
          <t>GL.NOSTRO.USD.BRBX.008</t>
        </is>
      </c>
      <c r="M373" t="inlineStr">
        <is>
          <t>Thornbury Bank</t>
        </is>
      </c>
      <c r="N373" t="inlineStr">
        <is>
          <t>BRBXTRSY</t>
        </is>
      </c>
      <c r="O373" t="inlineStr">
        <is>
          <t>NEW</t>
        </is>
      </c>
      <c r="Q373" t="inlineStr">
        <is>
          <t>NETTER</t>
        </is>
      </c>
    </row>
    <row r="374">
      <c r="A374" t="inlineStr">
        <is>
          <t>910703979141</t>
        </is>
      </c>
      <c r="B374" t="inlineStr">
        <is>
          <t>TCQ</t>
        </is>
      </c>
      <c r="C374" t="inlineStr">
        <is>
          <t>BRCC</t>
        </is>
      </c>
      <c r="D374" s="6" t="n">
        <v>46252</v>
      </c>
      <c r="E374" t="inlineStr">
        <is>
          <t>DR</t>
        </is>
      </c>
      <c r="F374" t="inlineStr">
        <is>
          <t>CHF</t>
        </is>
      </c>
      <c r="G374" s="7" t="n">
        <v>-300994163.059</v>
      </c>
      <c r="H374" t="inlineStr">
        <is>
          <t>GBP</t>
        </is>
      </c>
      <c r="I374" s="7" t="n">
        <v>-269991764.264</v>
      </c>
      <c r="J374" s="8" t="n">
        <v>46252.77438657408</v>
      </c>
      <c r="K374" t="inlineStr">
        <is>
          <t>CF260818 00368</t>
        </is>
      </c>
      <c r="L374" t="inlineStr">
        <is>
          <t>GL.NOSTRO.CHF.BRCC.004</t>
        </is>
      </c>
      <c r="M374" t="inlineStr">
        <is>
          <t>Vetchling Bank</t>
        </is>
      </c>
      <c r="N374" t="inlineStr">
        <is>
          <t>BRCC</t>
        </is>
      </c>
      <c r="O374" t="inlineStr">
        <is>
          <t>NEW</t>
        </is>
      </c>
      <c r="Q374" t="inlineStr">
        <is>
          <t>GROSS</t>
        </is>
      </c>
    </row>
    <row r="375">
      <c r="A375" t="inlineStr">
        <is>
          <t>968942362772</t>
        </is>
      </c>
      <c r="B375" t="inlineStr">
        <is>
          <t>TCQ</t>
        </is>
      </c>
      <c r="C375" t="inlineStr">
        <is>
          <t>BRYG</t>
        </is>
      </c>
      <c r="D375" s="6" t="n">
        <v>46252</v>
      </c>
      <c r="E375" t="inlineStr">
        <is>
          <t>DR</t>
        </is>
      </c>
      <c r="F375" t="inlineStr">
        <is>
          <t>EUR</t>
        </is>
      </c>
      <c r="G375" s="7" t="n">
        <v>-3179620.385</v>
      </c>
      <c r="H375" t="inlineStr">
        <is>
          <t>GBP</t>
        </is>
      </c>
      <c r="I375" s="7" t="n">
        <v>-2728114.29</v>
      </c>
      <c r="J375" s="8" t="n">
        <v>46252.17190972222</v>
      </c>
      <c r="K375" t="inlineStr">
        <is>
          <t>CF260818 00369</t>
        </is>
      </c>
      <c r="L375" t="inlineStr">
        <is>
          <t>GL.NOSTRO.EUR.BRYG.008</t>
        </is>
      </c>
      <c r="M375" t="inlineStr">
        <is>
          <t>Umberton Commercial Bank</t>
        </is>
      </c>
      <c r="N375" t="inlineStr">
        <is>
          <t>BRYG</t>
        </is>
      </c>
      <c r="O375" t="inlineStr">
        <is>
          <t>NEW</t>
        </is>
      </c>
      <c r="P375" t="inlineStr">
        <is>
          <t>NT26081800313</t>
        </is>
      </c>
      <c r="Q375" t="inlineStr">
        <is>
          <t>GROSS</t>
        </is>
      </c>
    </row>
    <row r="376">
      <c r="A376" t="inlineStr">
        <is>
          <t>499062838623</t>
        </is>
      </c>
      <c r="B376" t="inlineStr">
        <is>
          <t>TCQ</t>
        </is>
      </c>
      <c r="C376" t="inlineStr">
        <is>
          <t>BRBX</t>
        </is>
      </c>
      <c r="D376" s="6" t="n">
        <v>46252</v>
      </c>
      <c r="E376" t="inlineStr">
        <is>
          <t>DR</t>
        </is>
      </c>
      <c r="F376" t="inlineStr">
        <is>
          <t>USD</t>
        </is>
      </c>
      <c r="G376" s="7" t="n">
        <v>-1.772</v>
      </c>
      <c r="H376" t="inlineStr">
        <is>
          <t>GBP</t>
        </is>
      </c>
      <c r="I376" s="7" t="n">
        <v>-1.389</v>
      </c>
      <c r="J376" s="8" t="n">
        <v>46252.44423611111</v>
      </c>
      <c r="K376" t="inlineStr">
        <is>
          <t>CF260818 00370</t>
        </is>
      </c>
      <c r="L376" t="inlineStr">
        <is>
          <t>GL.NOSTRO.USD.BRBX.001</t>
        </is>
      </c>
      <c r="M376" t="inlineStr">
        <is>
          <t>Mallow Trust</t>
        </is>
      </c>
      <c r="N376" t="inlineStr">
        <is>
          <t>BRBX</t>
        </is>
      </c>
      <c r="O376" t="inlineStr">
        <is>
          <t>NEW</t>
        </is>
      </c>
      <c r="P376" t="inlineStr">
        <is>
          <t>NT26081800312</t>
        </is>
      </c>
      <c r="Q376" t="inlineStr">
        <is>
          <t>GROSS</t>
        </is>
      </c>
    </row>
    <row r="377">
      <c r="A377" t="inlineStr">
        <is>
          <t>359365220160</t>
        </is>
      </c>
      <c r="B377" t="inlineStr">
        <is>
          <t>TCX</t>
        </is>
      </c>
      <c r="C377" t="inlineStr">
        <is>
          <t>BRGX</t>
        </is>
      </c>
      <c r="D377" s="6" t="n">
        <v>46252</v>
      </c>
      <c r="E377" t="inlineStr">
        <is>
          <t>DR</t>
        </is>
      </c>
      <c r="F377" t="inlineStr">
        <is>
          <t>EUR</t>
        </is>
      </c>
      <c r="G377" s="7" t="n">
        <v>-50907.726</v>
      </c>
      <c r="H377" t="inlineStr">
        <is>
          <t>GBP</t>
        </is>
      </c>
      <c r="I377" s="7" t="n">
        <v>-43678.829</v>
      </c>
      <c r="J377" s="8" t="n">
        <v>46252.47788194445</v>
      </c>
      <c r="K377" t="inlineStr">
        <is>
          <t>CF260818 00371</t>
        </is>
      </c>
      <c r="L377" t="inlineStr">
        <is>
          <t>GL.NOSTRO.EUR.BRGX.006</t>
        </is>
      </c>
      <c r="M377" t="inlineStr">
        <is>
          <t>Sablewood Settlement Bank</t>
        </is>
      </c>
      <c r="N377" t="inlineStr">
        <is>
          <t>BRGXCASH</t>
        </is>
      </c>
      <c r="O377" t="inlineStr">
        <is>
          <t>NEW</t>
        </is>
      </c>
      <c r="Q377" t="inlineStr">
        <is>
          <t>INTERNAL</t>
        </is>
      </c>
    </row>
    <row r="378">
      <c r="A378" t="inlineStr">
        <is>
          <t>968942362772</t>
        </is>
      </c>
      <c r="B378" t="inlineStr">
        <is>
          <t>TCP</t>
        </is>
      </c>
      <c r="C378" t="inlineStr">
        <is>
          <t>BRYG</t>
        </is>
      </c>
      <c r="D378" s="6" t="n">
        <v>46252</v>
      </c>
      <c r="E378" t="inlineStr">
        <is>
          <t>DR</t>
        </is>
      </c>
      <c r="F378" t="inlineStr">
        <is>
          <t>EUR</t>
        </is>
      </c>
      <c r="G378" s="7" t="n">
        <v>-1739909.622</v>
      </c>
      <c r="H378" t="inlineStr">
        <is>
          <t>GBP</t>
        </is>
      </c>
      <c r="I378" s="7" t="n">
        <v>-1492842.456</v>
      </c>
      <c r="J378" s="8" t="n">
        <v>46252.68440972222</v>
      </c>
      <c r="K378" t="inlineStr">
        <is>
          <t>CF260818 00372</t>
        </is>
      </c>
      <c r="L378" t="inlineStr">
        <is>
          <t>GL.NOSTRO.EUR.BRYG.009</t>
        </is>
      </c>
      <c r="M378" t="inlineStr">
        <is>
          <t>Redstart Trust</t>
        </is>
      </c>
      <c r="N378" t="inlineStr">
        <is>
          <t>BRYG</t>
        </is>
      </c>
      <c r="O378" t="inlineStr">
        <is>
          <t>NEW</t>
        </is>
      </c>
      <c r="Q378" t="inlineStr">
        <is>
          <t>GROSS</t>
        </is>
      </c>
    </row>
    <row r="379">
      <c r="A379" t="inlineStr">
        <is>
          <t>621381112674</t>
        </is>
      </c>
      <c r="B379" t="inlineStr">
        <is>
          <t>TCQ</t>
        </is>
      </c>
      <c r="C379" t="inlineStr">
        <is>
          <t>BRAA</t>
        </is>
      </c>
      <c r="D379" s="6" t="n">
        <v>46252</v>
      </c>
      <c r="E379" t="inlineStr">
        <is>
          <t>DR</t>
        </is>
      </c>
      <c r="F379" t="inlineStr">
        <is>
          <t>PLN</t>
        </is>
      </c>
      <c r="G379" s="7" t="n">
        <v>-19913266.279</v>
      </c>
      <c r="H379" t="inlineStr">
        <is>
          <t>GBP</t>
        </is>
      </c>
      <c r="I379" s="7" t="n">
        <v>-3942826.723</v>
      </c>
      <c r="J379" s="8" t="n">
        <v>46252.44210648148</v>
      </c>
      <c r="K379" t="inlineStr">
        <is>
          <t>CF260818 00373</t>
        </is>
      </c>
      <c r="L379" t="inlineStr">
        <is>
          <t>GL.NOSTRO.PLN.BRAA.005</t>
        </is>
      </c>
      <c r="M379" t="inlineStr">
        <is>
          <t>Umberton Commercial Bank</t>
        </is>
      </c>
      <c r="N379" t="inlineStr">
        <is>
          <t>BRAACASH</t>
        </is>
      </c>
      <c r="O379" t="inlineStr">
        <is>
          <t>NEW</t>
        </is>
      </c>
      <c r="P379" t="inlineStr">
        <is>
          <t>NT26081800303</t>
        </is>
      </c>
      <c r="Q379" t="inlineStr">
        <is>
          <t>GROSS</t>
        </is>
      </c>
    </row>
    <row r="380">
      <c r="A380" t="inlineStr">
        <is>
          <t>794226063698</t>
        </is>
      </c>
      <c r="B380" t="inlineStr">
        <is>
          <t>TCQ</t>
        </is>
      </c>
      <c r="C380" t="inlineStr">
        <is>
          <t>BRMD</t>
        </is>
      </c>
      <c r="D380" s="6" t="n">
        <v>46252</v>
      </c>
      <c r="E380" t="inlineStr">
        <is>
          <t>CR</t>
        </is>
      </c>
      <c r="F380" t="inlineStr">
        <is>
          <t>AED</t>
        </is>
      </c>
      <c r="G380" s="7" t="n">
        <v>50962922.354</v>
      </c>
      <c r="H380" t="inlineStr">
        <is>
          <t>GBP</t>
        </is>
      </c>
      <c r="I380" s="7" t="n">
        <v>10855102.461</v>
      </c>
      <c r="J380" s="8" t="n">
        <v>46252.45481481482</v>
      </c>
      <c r="K380" t="inlineStr">
        <is>
          <t>CF260818 00374</t>
        </is>
      </c>
      <c r="L380" t="inlineStr">
        <is>
          <t>GL.NOSTRO.AED.BRMD.001</t>
        </is>
      </c>
      <c r="M380" t="inlineStr">
        <is>
          <t>Mallow Trust</t>
        </is>
      </c>
      <c r="N380" t="inlineStr">
        <is>
          <t>BRMDCASH</t>
        </is>
      </c>
      <c r="O380" t="inlineStr">
        <is>
          <t>NEW</t>
        </is>
      </c>
      <c r="P380" t="inlineStr">
        <is>
          <t>NT26081800296</t>
        </is>
      </c>
      <c r="Q380" t="inlineStr">
        <is>
          <t>NETTER</t>
        </is>
      </c>
    </row>
    <row r="381">
      <c r="A381" t="inlineStr">
        <is>
          <t>468341071172</t>
        </is>
      </c>
      <c r="B381" t="inlineStr">
        <is>
          <t>TCX</t>
        </is>
      </c>
      <c r="C381" t="inlineStr">
        <is>
          <t>BRCC</t>
        </is>
      </c>
      <c r="D381" s="6" t="n">
        <v>46252</v>
      </c>
      <c r="E381" t="inlineStr">
        <is>
          <t>CR</t>
        </is>
      </c>
      <c r="F381" t="inlineStr">
        <is>
          <t>EUR</t>
        </is>
      </c>
      <c r="G381" s="7" t="n">
        <v>756597.95</v>
      </c>
      <c r="H381" t="inlineStr">
        <is>
          <t>GBP</t>
        </is>
      </c>
      <c r="I381" s="7" t="n">
        <v>649161.041</v>
      </c>
      <c r="J381" s="8" t="n">
        <v>46252.504375</v>
      </c>
      <c r="K381" t="inlineStr">
        <is>
          <t>CF260818 00375</t>
        </is>
      </c>
      <c r="L381" t="inlineStr">
        <is>
          <t>GL.NOSTRO.EUR.BRCC.008</t>
        </is>
      </c>
      <c r="M381" t="inlineStr">
        <is>
          <t>Wrenfield Commercial Bank</t>
        </is>
      </c>
      <c r="N381" t="inlineStr">
        <is>
          <t>BRCC</t>
        </is>
      </c>
      <c r="O381" t="inlineStr">
        <is>
          <t>NEW</t>
        </is>
      </c>
      <c r="P381" t="inlineStr">
        <is>
          <t>NT26081800306</t>
        </is>
      </c>
      <c r="Q381" t="inlineStr">
        <is>
          <t>GROSS</t>
        </is>
      </c>
    </row>
    <row r="382">
      <c r="A382" t="inlineStr">
        <is>
          <t>468341071172</t>
        </is>
      </c>
      <c r="B382" t="inlineStr">
        <is>
          <t>TCQ</t>
        </is>
      </c>
      <c r="C382" t="inlineStr">
        <is>
          <t>BRCC</t>
        </is>
      </c>
      <c r="D382" s="6" t="n">
        <v>46252</v>
      </c>
      <c r="E382" t="inlineStr">
        <is>
          <t>DR</t>
        </is>
      </c>
      <c r="F382" t="inlineStr">
        <is>
          <t>EUR</t>
        </is>
      </c>
      <c r="G382" s="7" t="n">
        <v>-15832395759.559</v>
      </c>
      <c r="H382" t="inlineStr">
        <is>
          <t>GBP</t>
        </is>
      </c>
      <c r="I382" s="7" t="n">
        <v>-13584195561.702</v>
      </c>
      <c r="J382" s="8" t="n">
        <v>46252.42815972222</v>
      </c>
      <c r="K382" t="inlineStr">
        <is>
          <t>CF260818 00376</t>
        </is>
      </c>
      <c r="L382" t="inlineStr">
        <is>
          <t>GL.NOSTRO.EUR.BRCC.001</t>
        </is>
      </c>
      <c r="M382" t="inlineStr">
        <is>
          <t>Oriel Trust</t>
        </is>
      </c>
      <c r="N382" t="inlineStr">
        <is>
          <t>BRCC</t>
        </is>
      </c>
      <c r="O382" t="inlineStr">
        <is>
          <t>NEW</t>
        </is>
      </c>
      <c r="P382" t="inlineStr">
        <is>
          <t>NT26081800309</t>
        </is>
      </c>
      <c r="Q382" t="inlineStr">
        <is>
          <t>NETTER</t>
        </is>
      </c>
    </row>
    <row r="383">
      <c r="A383" t="inlineStr">
        <is>
          <t>898317028833</t>
        </is>
      </c>
      <c r="B383" t="inlineStr">
        <is>
          <t>TCP</t>
        </is>
      </c>
      <c r="C383" t="inlineStr">
        <is>
          <t>BRAA</t>
        </is>
      </c>
      <c r="D383" s="6" t="n">
        <v>46252</v>
      </c>
      <c r="E383" t="inlineStr">
        <is>
          <t>CR</t>
        </is>
      </c>
      <c r="F383" t="inlineStr">
        <is>
          <t>GBP</t>
        </is>
      </c>
      <c r="G383" s="7" t="n">
        <v>109675665.277</v>
      </c>
      <c r="H383" t="inlineStr">
        <is>
          <t>GBP</t>
        </is>
      </c>
      <c r="I383" s="7" t="n">
        <v>109675665.277</v>
      </c>
      <c r="J383" s="8" t="n">
        <v>46252.46268518519</v>
      </c>
      <c r="K383" t="inlineStr">
        <is>
          <t>CF260818 00377</t>
        </is>
      </c>
      <c r="L383" t="inlineStr">
        <is>
          <t>GL.NOSTRO.GBP.BRAA.006</t>
        </is>
      </c>
      <c r="M383" t="inlineStr">
        <is>
          <t>Elmwood Trust</t>
        </is>
      </c>
      <c r="N383" t="inlineStr">
        <is>
          <t>BRAACASH</t>
        </is>
      </c>
      <c r="O383" t="inlineStr">
        <is>
          <t>NEW</t>
        </is>
      </c>
      <c r="Q383" t="inlineStr">
        <is>
          <t>INTERNAL</t>
        </is>
      </c>
    </row>
    <row r="384">
      <c r="A384" t="inlineStr">
        <is>
          <t>621381112674</t>
        </is>
      </c>
      <c r="B384" t="inlineStr">
        <is>
          <t>TCX</t>
        </is>
      </c>
      <c r="C384" t="inlineStr">
        <is>
          <t>BRAA</t>
        </is>
      </c>
      <c r="D384" s="6" t="n">
        <v>46252</v>
      </c>
      <c r="E384" t="inlineStr">
        <is>
          <t>CR</t>
        </is>
      </c>
      <c r="F384" t="inlineStr">
        <is>
          <t>PLN</t>
        </is>
      </c>
      <c r="G384" s="7" t="n">
        <v>30914816.902</v>
      </c>
      <c r="H384" t="inlineStr">
        <is>
          <t>GBP</t>
        </is>
      </c>
      <c r="I384" s="7" t="n">
        <v>6121133.747</v>
      </c>
      <c r="J384" s="8" t="n">
        <v>46252.56793981481</v>
      </c>
      <c r="K384" t="inlineStr">
        <is>
          <t>CF260818 00378</t>
        </is>
      </c>
      <c r="L384" t="inlineStr">
        <is>
          <t>GL.NOSTRO.PLN.BRAA.007</t>
        </is>
      </c>
      <c r="M384" t="inlineStr">
        <is>
          <t>Pinehurst Bank</t>
        </is>
      </c>
      <c r="N384" t="inlineStr">
        <is>
          <t>BRAATRSY</t>
        </is>
      </c>
      <c r="O384" t="inlineStr">
        <is>
          <t>NEW</t>
        </is>
      </c>
      <c r="P384" t="inlineStr">
        <is>
          <t>NT26081800315</t>
        </is>
      </c>
      <c r="Q384" t="inlineStr">
        <is>
          <t>NETTER</t>
        </is>
      </c>
    </row>
    <row r="385">
      <c r="A385" t="inlineStr">
        <is>
          <t>794226063698</t>
        </is>
      </c>
      <c r="B385" t="inlineStr">
        <is>
          <t>TCG</t>
        </is>
      </c>
      <c r="C385" t="inlineStr">
        <is>
          <t>BRMD</t>
        </is>
      </c>
      <c r="D385" s="6" t="n">
        <v>46252</v>
      </c>
      <c r="E385" t="inlineStr">
        <is>
          <t>DR</t>
        </is>
      </c>
      <c r="F385" t="inlineStr">
        <is>
          <t>AED</t>
        </is>
      </c>
      <c r="G385" s="7" t="n">
        <v>-654243550.612</v>
      </c>
      <c r="H385" t="inlineStr">
        <is>
          <t>GBP</t>
        </is>
      </c>
      <c r="I385" s="7" t="n">
        <v>-139353876.28</v>
      </c>
      <c r="J385" s="8" t="n">
        <v>46252.61192129629</v>
      </c>
      <c r="K385" t="inlineStr">
        <is>
          <t>CF260818 00379</t>
        </is>
      </c>
      <c r="L385" t="inlineStr">
        <is>
          <t>GL.NOSTRO.AED.BRMD.009</t>
        </is>
      </c>
      <c r="M385" t="inlineStr">
        <is>
          <t>Elmwood Bank</t>
        </is>
      </c>
      <c r="N385" t="inlineStr">
        <is>
          <t>BRMDCASH</t>
        </is>
      </c>
      <c r="O385" t="inlineStr">
        <is>
          <t>AMEND</t>
        </is>
      </c>
      <c r="Q385" t="inlineStr">
        <is>
          <t>NETTER</t>
        </is>
      </c>
    </row>
    <row r="386">
      <c r="A386" t="inlineStr">
        <is>
          <t>910703979141</t>
        </is>
      </c>
      <c r="B386" t="inlineStr">
        <is>
          <t>TCP</t>
        </is>
      </c>
      <c r="C386" t="inlineStr">
        <is>
          <t>BRCC</t>
        </is>
      </c>
      <c r="D386" s="6" t="n">
        <v>46252</v>
      </c>
      <c r="E386" t="inlineStr">
        <is>
          <t>CR</t>
        </is>
      </c>
      <c r="F386" t="inlineStr">
        <is>
          <t>CHF</t>
        </is>
      </c>
      <c r="G386" s="7" t="n">
        <v>358212.178</v>
      </c>
      <c r="H386" t="inlineStr">
        <is>
          <t>GBP</t>
        </is>
      </c>
      <c r="I386" s="7" t="n">
        <v>321316.324</v>
      </c>
      <c r="J386" s="8" t="n">
        <v>46252.45858796296</v>
      </c>
      <c r="K386" t="inlineStr">
        <is>
          <t>CF260818 00380</t>
        </is>
      </c>
      <c r="L386" t="inlineStr">
        <is>
          <t>GL.NOSTRO.CHF.BRCC.006</t>
        </is>
      </c>
      <c r="M386" t="inlineStr">
        <is>
          <t>Ironbark Commercial Bank</t>
        </is>
      </c>
      <c r="N386" t="inlineStr">
        <is>
          <t>BRCCCASH</t>
        </is>
      </c>
      <c r="O386" t="inlineStr">
        <is>
          <t>NEW</t>
        </is>
      </c>
      <c r="Q386" t="inlineStr">
        <is>
          <t>INTERNAL</t>
        </is>
      </c>
    </row>
    <row r="387">
      <c r="A387" t="inlineStr">
        <is>
          <t>499062838623</t>
        </is>
      </c>
      <c r="B387" t="inlineStr">
        <is>
          <t>TCG</t>
        </is>
      </c>
      <c r="C387" t="inlineStr">
        <is>
          <t>BRBX</t>
        </is>
      </c>
      <c r="D387" s="6" t="n">
        <v>46252</v>
      </c>
      <c r="E387" t="inlineStr">
        <is>
          <t>CR</t>
        </is>
      </c>
      <c r="F387" t="inlineStr">
        <is>
          <t>USD</t>
        </is>
      </c>
      <c r="G387" s="7" t="n">
        <v>13841791.444</v>
      </c>
      <c r="H387" t="inlineStr">
        <is>
          <t>GBP</t>
        </is>
      </c>
      <c r="I387" s="7" t="n">
        <v>10851964.492</v>
      </c>
      <c r="J387" s="8" t="n">
        <v>46252.62159722222</v>
      </c>
      <c r="K387" t="inlineStr">
        <is>
          <t>CF260818 00381</t>
        </is>
      </c>
      <c r="L387" t="inlineStr">
        <is>
          <t>GL.NOSTRO.USD.BRBX.001</t>
        </is>
      </c>
      <c r="M387" t="inlineStr">
        <is>
          <t>Umberton Commercial Bank</t>
        </is>
      </c>
      <c r="N387" t="inlineStr">
        <is>
          <t>BRBX</t>
        </is>
      </c>
      <c r="O387" t="inlineStr">
        <is>
          <t>NEW</t>
        </is>
      </c>
      <c r="Q387" t="inlineStr">
        <is>
          <t>NETTER</t>
        </is>
      </c>
    </row>
    <row r="388">
      <c r="A388" t="inlineStr">
        <is>
          <t>794226063698</t>
        </is>
      </c>
      <c r="B388" t="inlineStr">
        <is>
          <t>TCC</t>
        </is>
      </c>
      <c r="C388" t="inlineStr">
        <is>
          <t>BRMD</t>
        </is>
      </c>
      <c r="D388" s="6" t="n">
        <v>46252</v>
      </c>
      <c r="E388" t="inlineStr">
        <is>
          <t>CR</t>
        </is>
      </c>
      <c r="F388" t="inlineStr">
        <is>
          <t>AED</t>
        </is>
      </c>
      <c r="G388" s="7" t="n">
        <v>93303701.21600001</v>
      </c>
      <c r="H388" t="inlineStr">
        <is>
          <t>GBP</t>
        </is>
      </c>
      <c r="I388" s="7" t="n">
        <v>19873688.359</v>
      </c>
      <c r="J388" s="8" t="n">
        <v>46252.33370370371</v>
      </c>
      <c r="K388" t="inlineStr">
        <is>
          <t>CF260818 00382</t>
        </is>
      </c>
      <c r="L388" t="inlineStr">
        <is>
          <t>GL.NOSTRO.AED.BRMD.008</t>
        </is>
      </c>
      <c r="M388" t="inlineStr">
        <is>
          <t>Ironbark Commercial Bank</t>
        </is>
      </c>
      <c r="N388" t="inlineStr">
        <is>
          <t>BRMD</t>
        </is>
      </c>
      <c r="O388" t="inlineStr">
        <is>
          <t>NEW</t>
        </is>
      </c>
      <c r="Q388" t="inlineStr">
        <is>
          <t>GROSS</t>
        </is>
      </c>
    </row>
    <row r="389">
      <c r="A389" t="inlineStr">
        <is>
          <t>953625291146</t>
        </is>
      </c>
      <c r="B389" t="inlineStr">
        <is>
          <t>TCG</t>
        </is>
      </c>
      <c r="C389" t="inlineStr">
        <is>
          <t>BRGL</t>
        </is>
      </c>
      <c r="D389" s="6" t="n">
        <v>46252</v>
      </c>
      <c r="E389" t="inlineStr">
        <is>
          <t>DR</t>
        </is>
      </c>
      <c r="F389" t="inlineStr">
        <is>
          <t>USD</t>
        </is>
      </c>
      <c r="G389" s="7" t="n">
        <v>-102781875.994</v>
      </c>
      <c r="H389" t="inlineStr">
        <is>
          <t>GBP</t>
        </is>
      </c>
      <c r="I389" s="7" t="n">
        <v>-80580990.779</v>
      </c>
      <c r="J389" s="8" t="n">
        <v>46252.31277777778</v>
      </c>
      <c r="K389" t="inlineStr">
        <is>
          <t>CF260818 00383</t>
        </is>
      </c>
      <c r="L389" t="inlineStr">
        <is>
          <t>GL.NOSTRO.USD.BRGL.004</t>
        </is>
      </c>
      <c r="M389" t="inlineStr">
        <is>
          <t>Pinehurst Settlement Bank</t>
        </is>
      </c>
      <c r="N389" t="inlineStr">
        <is>
          <t>BRGLCASH</t>
        </is>
      </c>
      <c r="O389" t="inlineStr">
        <is>
          <t>NEW</t>
        </is>
      </c>
      <c r="Q389" t="inlineStr">
        <is>
          <t>NETTER</t>
        </is>
      </c>
    </row>
    <row r="390">
      <c r="A390" t="inlineStr">
        <is>
          <t>953625291146</t>
        </is>
      </c>
      <c r="B390" t="inlineStr">
        <is>
          <t>TCP</t>
        </is>
      </c>
      <c r="C390" t="inlineStr">
        <is>
          <t>BRGL</t>
        </is>
      </c>
      <c r="D390" s="6" t="n">
        <v>46252</v>
      </c>
      <c r="E390" t="inlineStr">
        <is>
          <t>CR</t>
        </is>
      </c>
      <c r="F390" t="inlineStr">
        <is>
          <t>USD</t>
        </is>
      </c>
      <c r="G390" s="7" t="n">
        <v>60334739.968</v>
      </c>
      <c r="H390" t="inlineStr">
        <is>
          <t>GBP</t>
        </is>
      </c>
      <c r="I390" s="7" t="n">
        <v>47302436.135</v>
      </c>
      <c r="J390" s="8" t="n">
        <v>46252.6593287037</v>
      </c>
      <c r="K390" t="inlineStr">
        <is>
          <t>CF260818 00384</t>
        </is>
      </c>
      <c r="L390" t="inlineStr">
        <is>
          <t>GL.NOSTRO.USD.BRGL.004</t>
        </is>
      </c>
      <c r="M390" t="inlineStr">
        <is>
          <t>Cedar Commercial Bank</t>
        </is>
      </c>
      <c r="N390" t="inlineStr">
        <is>
          <t>BRGLMM</t>
        </is>
      </c>
      <c r="O390" t="inlineStr">
        <is>
          <t>NEW</t>
        </is>
      </c>
      <c r="P390" t="inlineStr">
        <is>
          <t>NT26081800312</t>
        </is>
      </c>
      <c r="Q390" t="inlineStr">
        <is>
          <t>INTERNAL</t>
        </is>
      </c>
    </row>
    <row r="391">
      <c r="A391" t="inlineStr">
        <is>
          <t>132544340094</t>
        </is>
      </c>
      <c r="B391" t="inlineStr">
        <is>
          <t>TCP</t>
        </is>
      </c>
      <c r="C391" t="inlineStr">
        <is>
          <t>BRYG</t>
        </is>
      </c>
      <c r="D391" s="6" t="n">
        <v>46252</v>
      </c>
      <c r="E391" t="inlineStr">
        <is>
          <t>CR</t>
        </is>
      </c>
      <c r="F391" t="inlineStr">
        <is>
          <t>CZK</t>
        </is>
      </c>
      <c r="G391" s="7" t="n">
        <v>956654764.553</v>
      </c>
      <c r="H391" t="inlineStr">
        <is>
          <t>GBP</t>
        </is>
      </c>
      <c r="I391" s="7" t="n">
        <v>32430596.518</v>
      </c>
      <c r="J391" s="8" t="n">
        <v>46252.53195601852</v>
      </c>
      <c r="K391" t="inlineStr">
        <is>
          <t>CF260818 00385</t>
        </is>
      </c>
      <c r="L391" t="inlineStr">
        <is>
          <t>GL.NOSTRO.CZK.BRYG.005</t>
        </is>
      </c>
      <c r="M391" t="inlineStr">
        <is>
          <t>Elmwood Clearing</t>
        </is>
      </c>
      <c r="N391" t="inlineStr">
        <is>
          <t>BRYGTRSY</t>
        </is>
      </c>
      <c r="O391" t="inlineStr">
        <is>
          <t>NEW</t>
        </is>
      </c>
      <c r="Q391" t="inlineStr">
        <is>
          <t>INTERNAL</t>
        </is>
      </c>
    </row>
    <row r="392">
      <c r="A392" t="inlineStr">
        <is>
          <t>150316825069</t>
        </is>
      </c>
      <c r="B392" t="inlineStr">
        <is>
          <t>TCX</t>
        </is>
      </c>
      <c r="C392" t="inlineStr">
        <is>
          <t>BRGX</t>
        </is>
      </c>
      <c r="D392" s="6" t="n">
        <v>46252</v>
      </c>
      <c r="E392" t="inlineStr">
        <is>
          <t>DR</t>
        </is>
      </c>
      <c r="F392" t="inlineStr">
        <is>
          <t>GBP</t>
        </is>
      </c>
      <c r="G392" s="7" t="n">
        <v>-3604.8</v>
      </c>
      <c r="H392" t="inlineStr">
        <is>
          <t>GBP</t>
        </is>
      </c>
      <c r="I392" s="7" t="n">
        <v>-3604.8</v>
      </c>
      <c r="J392" s="8" t="n">
        <v>46252.23446759259</v>
      </c>
      <c r="K392" t="inlineStr">
        <is>
          <t>CF260818 00386</t>
        </is>
      </c>
      <c r="L392" t="inlineStr">
        <is>
          <t>GL.NOSTRO.GBP.BRGX.001</t>
        </is>
      </c>
      <c r="M392" t="inlineStr">
        <is>
          <t>Dunlin Clearing</t>
        </is>
      </c>
      <c r="N392" t="inlineStr">
        <is>
          <t>BRGXCASH</t>
        </is>
      </c>
      <c r="O392" t="inlineStr">
        <is>
          <t>NEW</t>
        </is>
      </c>
      <c r="P392" t="inlineStr">
        <is>
          <t>NT26081800284</t>
        </is>
      </c>
      <c r="Q392" t="inlineStr">
        <is>
          <t>NETTER</t>
        </is>
      </c>
    </row>
    <row r="393">
      <c r="A393" t="inlineStr">
        <is>
          <t>700726936098</t>
        </is>
      </c>
      <c r="B393" t="inlineStr">
        <is>
          <t>TCP</t>
        </is>
      </c>
      <c r="C393" t="inlineStr">
        <is>
          <t>BRMD</t>
        </is>
      </c>
      <c r="D393" s="6" t="n">
        <v>46252</v>
      </c>
      <c r="E393" t="inlineStr">
        <is>
          <t>DR</t>
        </is>
      </c>
      <c r="F393" t="inlineStr">
        <is>
          <t>SAR</t>
        </is>
      </c>
      <c r="G393" s="7" t="n">
        <v>-36574302.63</v>
      </c>
      <c r="H393" t="inlineStr">
        <is>
          <t>GBP</t>
        </is>
      </c>
      <c r="I393" s="7" t="n">
        <v>-7644029.25</v>
      </c>
      <c r="J393" s="8" t="n">
        <v>46252.70940972222</v>
      </c>
      <c r="K393" t="inlineStr">
        <is>
          <t>CF260818 00387</t>
        </is>
      </c>
      <c r="L393" t="inlineStr">
        <is>
          <t>GL.NOSTRO.SAR.BRMD.005</t>
        </is>
      </c>
      <c r="M393" t="inlineStr">
        <is>
          <t>Dunlin Clearing</t>
        </is>
      </c>
      <c r="N393" t="inlineStr">
        <is>
          <t>BRMD</t>
        </is>
      </c>
      <c r="O393" t="inlineStr">
        <is>
          <t>NEW</t>
        </is>
      </c>
      <c r="P393" t="inlineStr">
        <is>
          <t>NT26081800281</t>
        </is>
      </c>
      <c r="Q393" t="inlineStr">
        <is>
          <t>NETTER</t>
        </is>
      </c>
    </row>
    <row r="394">
      <c r="A394" t="inlineStr">
        <is>
          <t>910703979141</t>
        </is>
      </c>
      <c r="B394" t="inlineStr">
        <is>
          <t>TCG</t>
        </is>
      </c>
      <c r="C394" t="inlineStr">
        <is>
          <t>BRCC</t>
        </is>
      </c>
      <c r="D394" s="6" t="n">
        <v>46252</v>
      </c>
      <c r="E394" t="inlineStr">
        <is>
          <t>DR</t>
        </is>
      </c>
      <c r="F394" t="inlineStr">
        <is>
          <t>CHF</t>
        </is>
      </c>
      <c r="G394" s="7" t="n">
        <v>-171268761.218</v>
      </c>
      <c r="H394" t="inlineStr">
        <is>
          <t>GBP</t>
        </is>
      </c>
      <c r="I394" s="7" t="n">
        <v>-153628078.813</v>
      </c>
      <c r="J394" s="8" t="n">
        <v>46252.66679398148</v>
      </c>
      <c r="K394" t="inlineStr">
        <is>
          <t>CF260818 00388</t>
        </is>
      </c>
      <c r="L394" t="inlineStr">
        <is>
          <t>GL.NOSTRO.CHF.BRCC.002</t>
        </is>
      </c>
      <c r="M394" t="inlineStr">
        <is>
          <t>Pinehurst Bank</t>
        </is>
      </c>
      <c r="N394" t="inlineStr">
        <is>
          <t>BRCCCASH</t>
        </is>
      </c>
      <c r="O394" t="inlineStr">
        <is>
          <t>NEW</t>
        </is>
      </c>
      <c r="P394" t="inlineStr">
        <is>
          <t>NT26081800296</t>
        </is>
      </c>
      <c r="Q394" t="inlineStr">
        <is>
          <t>NETTER</t>
        </is>
      </c>
    </row>
    <row r="395">
      <c r="A395" t="inlineStr">
        <is>
          <t>700726936098</t>
        </is>
      </c>
      <c r="B395" t="inlineStr">
        <is>
          <t>TCQ</t>
        </is>
      </c>
      <c r="C395" t="inlineStr">
        <is>
          <t>BRMD</t>
        </is>
      </c>
      <c r="D395" s="6" t="n">
        <v>46252</v>
      </c>
      <c r="E395" t="inlineStr">
        <is>
          <t>DR</t>
        </is>
      </c>
      <c r="F395" t="inlineStr">
        <is>
          <t>SAR</t>
        </is>
      </c>
      <c r="G395" s="7" t="n">
        <v>-10239365.507</v>
      </c>
      <c r="H395" t="inlineStr">
        <is>
          <t>GBP</t>
        </is>
      </c>
      <c r="I395" s="7" t="n">
        <v>-2140027.391</v>
      </c>
      <c r="J395" s="8" t="n">
        <v>46252.56688657407</v>
      </c>
      <c r="K395" t="inlineStr">
        <is>
          <t>CF260818 00389</t>
        </is>
      </c>
      <c r="L395" t="inlineStr">
        <is>
          <t>GL.NOSTRO.SAR.BRMD.007</t>
        </is>
      </c>
      <c r="M395" t="inlineStr">
        <is>
          <t>Sablewood Bank</t>
        </is>
      </c>
      <c r="N395" t="inlineStr">
        <is>
          <t>BRMDTRSY</t>
        </is>
      </c>
      <c r="O395" t="inlineStr">
        <is>
          <t>NEW</t>
        </is>
      </c>
      <c r="P395" t="inlineStr">
        <is>
          <t>NT26081800313</t>
        </is>
      </c>
      <c r="Q395" t="inlineStr">
        <is>
          <t>INTERNAL</t>
        </is>
      </c>
    </row>
    <row r="396">
      <c r="A396" t="inlineStr">
        <is>
          <t>150316825069</t>
        </is>
      </c>
      <c r="B396" t="inlineStr">
        <is>
          <t>TCG</t>
        </is>
      </c>
      <c r="C396" t="inlineStr">
        <is>
          <t>BRGX</t>
        </is>
      </c>
      <c r="D396" s="6" t="n">
        <v>46252</v>
      </c>
      <c r="E396" t="inlineStr">
        <is>
          <t>CR</t>
        </is>
      </c>
      <c r="F396" t="inlineStr">
        <is>
          <t>GBP</t>
        </is>
      </c>
      <c r="G396" s="7" t="n">
        <v>2329345.161</v>
      </c>
      <c r="H396" t="inlineStr">
        <is>
          <t>GBP</t>
        </is>
      </c>
      <c r="I396" s="7" t="n">
        <v>2329345.161</v>
      </c>
      <c r="J396" s="8" t="n">
        <v>46252.1821412037</v>
      </c>
      <c r="K396" t="inlineStr">
        <is>
          <t>CF260818 00390</t>
        </is>
      </c>
      <c r="L396" t="inlineStr">
        <is>
          <t>GL.NOSTRO.GBP.BRGX.005</t>
        </is>
      </c>
      <c r="M396" t="inlineStr">
        <is>
          <t>Mallow Clearing</t>
        </is>
      </c>
      <c r="N396" t="inlineStr">
        <is>
          <t>BRGXTRSY</t>
        </is>
      </c>
      <c r="O396" t="inlineStr">
        <is>
          <t>NEW</t>
        </is>
      </c>
      <c r="P396" t="inlineStr">
        <is>
          <t>NT26081800305</t>
        </is>
      </c>
      <c r="Q396" t="inlineStr">
        <is>
          <t>NETTER</t>
        </is>
      </c>
    </row>
    <row r="397">
      <c r="A397" t="inlineStr">
        <is>
          <t>621381112674</t>
        </is>
      </c>
      <c r="B397" t="inlineStr">
        <is>
          <t>TCC</t>
        </is>
      </c>
      <c r="C397" t="inlineStr">
        <is>
          <t>BRAA</t>
        </is>
      </c>
      <c r="D397" s="6" t="n">
        <v>46252</v>
      </c>
      <c r="E397" t="inlineStr">
        <is>
          <t>DR</t>
        </is>
      </c>
      <c r="F397" t="inlineStr">
        <is>
          <t>PLN</t>
        </is>
      </c>
      <c r="G397" s="7" t="n">
        <v>-39951025.689</v>
      </c>
      <c r="H397" t="inlineStr">
        <is>
          <t>GBP</t>
        </is>
      </c>
      <c r="I397" s="7" t="n">
        <v>-7910303.086</v>
      </c>
      <c r="J397" s="8" t="n">
        <v>46252.55288194444</v>
      </c>
      <c r="K397" t="inlineStr">
        <is>
          <t>CF260818 00391</t>
        </is>
      </c>
      <c r="L397" t="inlineStr">
        <is>
          <t>GL.NOSTRO.PLN.BRAA.003</t>
        </is>
      </c>
      <c r="M397" t="inlineStr">
        <is>
          <t>Nightjar Trust</t>
        </is>
      </c>
      <c r="N397" t="inlineStr">
        <is>
          <t>BRAACASH</t>
        </is>
      </c>
      <c r="O397" t="inlineStr">
        <is>
          <t>NEW</t>
        </is>
      </c>
      <c r="Q397" t="inlineStr">
        <is>
          <t>NETTER</t>
        </is>
      </c>
    </row>
    <row r="398">
      <c r="A398" t="inlineStr">
        <is>
          <t>910703979141</t>
        </is>
      </c>
      <c r="B398" t="inlineStr">
        <is>
          <t>TCG</t>
        </is>
      </c>
      <c r="C398" t="inlineStr">
        <is>
          <t>BRCC</t>
        </is>
      </c>
      <c r="D398" s="6" t="n">
        <v>46252</v>
      </c>
      <c r="E398" t="inlineStr">
        <is>
          <t>CR</t>
        </is>
      </c>
      <c r="F398" t="inlineStr">
        <is>
          <t>CHF</t>
        </is>
      </c>
      <c r="G398" s="7" t="n">
        <v>10025668.933</v>
      </c>
      <c r="H398" t="inlineStr">
        <is>
          <t>GBP</t>
        </is>
      </c>
      <c r="I398" s="7" t="n">
        <v>8993025.033</v>
      </c>
      <c r="J398" s="8" t="n">
        <v>46252.48315972222</v>
      </c>
      <c r="K398" t="inlineStr">
        <is>
          <t>CF260818 00392</t>
        </is>
      </c>
      <c r="L398" t="inlineStr">
        <is>
          <t>GL.NOSTRO.CHF.BRCC.005</t>
        </is>
      </c>
      <c r="M398" t="inlineStr">
        <is>
          <t>Granite Bank</t>
        </is>
      </c>
      <c r="N398" t="inlineStr">
        <is>
          <t>BRCC</t>
        </is>
      </c>
      <c r="O398" t="inlineStr">
        <is>
          <t>NEW</t>
        </is>
      </c>
      <c r="P398" t="inlineStr">
        <is>
          <t>NT26081800297</t>
        </is>
      </c>
      <c r="Q398" t="inlineStr">
        <is>
          <t>GROSS</t>
        </is>
      </c>
    </row>
    <row r="399">
      <c r="A399" t="inlineStr">
        <is>
          <t>968942362772</t>
        </is>
      </c>
      <c r="B399" t="inlineStr">
        <is>
          <t>TCC</t>
        </is>
      </c>
      <c r="C399" t="inlineStr">
        <is>
          <t>BRYG</t>
        </is>
      </c>
      <c r="D399" s="6" t="n">
        <v>46252</v>
      </c>
      <c r="E399" t="inlineStr">
        <is>
          <t>DR</t>
        </is>
      </c>
      <c r="F399" t="inlineStr">
        <is>
          <t>EUR</t>
        </is>
      </c>
      <c r="G399" s="7" t="n">
        <v>-5545928.855</v>
      </c>
      <c r="H399" t="inlineStr">
        <is>
          <t>GBP</t>
        </is>
      </c>
      <c r="I399" s="7" t="n">
        <v>-4758406.958</v>
      </c>
      <c r="J399" s="8" t="n">
        <v>46252.56769675926</v>
      </c>
      <c r="K399" t="inlineStr">
        <is>
          <t>CF260818 00393</t>
        </is>
      </c>
      <c r="L399" t="inlineStr">
        <is>
          <t>GL.NOSTRO.EUR.BRYG.007</t>
        </is>
      </c>
      <c r="M399" t="inlineStr">
        <is>
          <t>Sablewood Bank</t>
        </is>
      </c>
      <c r="N399" t="inlineStr">
        <is>
          <t>BRYGCASH</t>
        </is>
      </c>
      <c r="O399" t="inlineStr">
        <is>
          <t>AMEND</t>
        </is>
      </c>
      <c r="P399" t="inlineStr">
        <is>
          <t>NT26081800294</t>
        </is>
      </c>
      <c r="Q399" t="inlineStr">
        <is>
          <t>NETTER</t>
        </is>
      </c>
    </row>
    <row r="400">
      <c r="A400" t="inlineStr">
        <is>
          <t>150316825069</t>
        </is>
      </c>
      <c r="B400" t="inlineStr">
        <is>
          <t>TCG</t>
        </is>
      </c>
      <c r="C400" t="inlineStr">
        <is>
          <t>BRGX</t>
        </is>
      </c>
      <c r="D400" s="6" t="n">
        <v>46252</v>
      </c>
      <c r="E400" t="inlineStr">
        <is>
          <t>DR</t>
        </is>
      </c>
      <c r="F400" t="inlineStr">
        <is>
          <t>GBP</t>
        </is>
      </c>
      <c r="G400" s="7" t="n">
        <v>-4633360104.543</v>
      </c>
      <c r="H400" t="inlineStr">
        <is>
          <t>GBP</t>
        </is>
      </c>
      <c r="I400" s="7" t="n">
        <v>-4633360104.543</v>
      </c>
      <c r="J400" s="8" t="n">
        <v>46252.64045138889</v>
      </c>
      <c r="K400" t="inlineStr">
        <is>
          <t>CF260818 00394</t>
        </is>
      </c>
      <c r="L400" t="inlineStr">
        <is>
          <t>GL.NOSTRO.GBP.BRGX.004</t>
        </is>
      </c>
      <c r="M400" t="inlineStr">
        <is>
          <t>Zephyr Bank</t>
        </is>
      </c>
      <c r="N400" t="inlineStr">
        <is>
          <t>BRGX</t>
        </is>
      </c>
      <c r="O400" t="inlineStr">
        <is>
          <t>NEW</t>
        </is>
      </c>
      <c r="P400" t="inlineStr">
        <is>
          <t>NT26081800298</t>
        </is>
      </c>
      <c r="Q400" t="inlineStr">
        <is>
          <t>NETTER</t>
        </is>
      </c>
    </row>
    <row r="401">
      <c r="A401" t="inlineStr">
        <is>
          <t>621381112674</t>
        </is>
      </c>
      <c r="B401" t="inlineStr">
        <is>
          <t>TCG</t>
        </is>
      </c>
      <c r="C401" t="inlineStr">
        <is>
          <t>BRAA</t>
        </is>
      </c>
      <c r="D401" s="6" t="n">
        <v>46252</v>
      </c>
      <c r="E401" t="inlineStr">
        <is>
          <t>CR</t>
        </is>
      </c>
      <c r="F401" t="inlineStr">
        <is>
          <t>PLN</t>
        </is>
      </c>
      <c r="G401" s="7" t="n">
        <v>5737380.355</v>
      </c>
      <c r="H401" t="inlineStr">
        <is>
          <t>GBP</t>
        </is>
      </c>
      <c r="I401" s="7" t="n">
        <v>1136001.31</v>
      </c>
      <c r="J401" s="8" t="n">
        <v>46252.65341435185</v>
      </c>
      <c r="K401" t="inlineStr">
        <is>
          <t>CF260818 00395</t>
        </is>
      </c>
      <c r="L401" t="inlineStr">
        <is>
          <t>GL.NOSTRO.PLN.BRAA.001</t>
        </is>
      </c>
      <c r="M401" t="inlineStr">
        <is>
          <t>Dunlin Clearing</t>
        </is>
      </c>
      <c r="N401" t="inlineStr">
        <is>
          <t>BRAACASH</t>
        </is>
      </c>
      <c r="O401" t="inlineStr">
        <is>
          <t>AMEND</t>
        </is>
      </c>
      <c r="Q401" t="inlineStr">
        <is>
          <t>GROSS</t>
        </is>
      </c>
    </row>
    <row r="402">
      <c r="A402" t="inlineStr">
        <is>
          <t>468341071172</t>
        </is>
      </c>
      <c r="B402" t="inlineStr">
        <is>
          <t>TCQ</t>
        </is>
      </c>
      <c r="C402" t="inlineStr">
        <is>
          <t>BRCC</t>
        </is>
      </c>
      <c r="D402" s="6" t="n">
        <v>46252</v>
      </c>
      <c r="E402" t="inlineStr">
        <is>
          <t>CR</t>
        </is>
      </c>
      <c r="F402" t="inlineStr">
        <is>
          <t>EUR</t>
        </is>
      </c>
      <c r="G402" s="7" t="n">
        <v>28749.812</v>
      </c>
      <c r="H402" t="inlineStr">
        <is>
          <t>GBP</t>
        </is>
      </c>
      <c r="I402" s="7" t="n">
        <v>24667.339</v>
      </c>
      <c r="J402" s="8" t="n">
        <v>46252.42288194445</v>
      </c>
      <c r="K402" t="inlineStr">
        <is>
          <t>CF260818 00396</t>
        </is>
      </c>
      <c r="L402" t="inlineStr">
        <is>
          <t>GL.NOSTRO.EUR.BRCC.001</t>
        </is>
      </c>
      <c r="M402" t="inlineStr">
        <is>
          <t>Zephyr Commercial Bank</t>
        </is>
      </c>
      <c r="N402" t="inlineStr">
        <is>
          <t>BRCCTRSY</t>
        </is>
      </c>
      <c r="O402" t="inlineStr">
        <is>
          <t>NEW</t>
        </is>
      </c>
      <c r="P402" t="inlineStr">
        <is>
          <t>NT26081800293</t>
        </is>
      </c>
      <c r="Q402" t="inlineStr">
        <is>
          <t>GROSS</t>
        </is>
      </c>
    </row>
    <row r="403">
      <c r="A403" t="inlineStr">
        <is>
          <t>171857983160</t>
        </is>
      </c>
      <c r="B403" t="inlineStr">
        <is>
          <t>TCC</t>
        </is>
      </c>
      <c r="C403" t="inlineStr">
        <is>
          <t>BRBX</t>
        </is>
      </c>
      <c r="D403" s="6" t="n">
        <v>46252</v>
      </c>
      <c r="E403" t="inlineStr">
        <is>
          <t>DR</t>
        </is>
      </c>
      <c r="F403" t="inlineStr">
        <is>
          <t>AUD</t>
        </is>
      </c>
      <c r="G403" s="7" t="n">
        <v>-184561986.646</v>
      </c>
      <c r="H403" t="inlineStr">
        <is>
          <t>GBP</t>
        </is>
      </c>
      <c r="I403" s="7" t="n">
        <v>-94680299.149</v>
      </c>
      <c r="J403" s="8" t="n">
        <v>46252.4533912037</v>
      </c>
      <c r="K403" t="inlineStr">
        <is>
          <t>CF260818 00397</t>
        </is>
      </c>
      <c r="L403" t="inlineStr">
        <is>
          <t>GL.NOSTRO.AUD.BRBX.008</t>
        </is>
      </c>
      <c r="M403" t="inlineStr">
        <is>
          <t>Cedar Commercial Bank</t>
        </is>
      </c>
      <c r="N403" t="inlineStr">
        <is>
          <t>BRBXMM</t>
        </is>
      </c>
      <c r="O403" t="inlineStr">
        <is>
          <t>NEW</t>
        </is>
      </c>
      <c r="P403" t="inlineStr">
        <is>
          <t>NT26081800294</t>
        </is>
      </c>
      <c r="Q403" t="inlineStr">
        <is>
          <t>NETTER</t>
        </is>
      </c>
    </row>
    <row r="404">
      <c r="A404" t="inlineStr">
        <is>
          <t>700726936098</t>
        </is>
      </c>
      <c r="B404" t="inlineStr">
        <is>
          <t>TCG</t>
        </is>
      </c>
      <c r="C404" t="inlineStr">
        <is>
          <t>BRMD</t>
        </is>
      </c>
      <c r="D404" s="6" t="n">
        <v>46252</v>
      </c>
      <c r="E404" t="inlineStr">
        <is>
          <t>CR</t>
        </is>
      </c>
      <c r="F404" t="inlineStr">
        <is>
          <t>SAR</t>
        </is>
      </c>
      <c r="G404" s="7" t="n">
        <v>49745968.751</v>
      </c>
      <c r="H404" t="inlineStr">
        <is>
          <t>GBP</t>
        </is>
      </c>
      <c r="I404" s="7" t="n">
        <v>10396907.469</v>
      </c>
      <c r="J404" s="8" t="n">
        <v>46252.50825231482</v>
      </c>
      <c r="K404" t="inlineStr">
        <is>
          <t>CF260818 00398</t>
        </is>
      </c>
      <c r="L404" t="inlineStr">
        <is>
          <t>GL.NOSTRO.SAR.BRMD.006</t>
        </is>
      </c>
      <c r="M404" t="inlineStr">
        <is>
          <t>Elmwood Bank</t>
        </is>
      </c>
      <c r="N404" t="inlineStr">
        <is>
          <t>BRMD</t>
        </is>
      </c>
      <c r="O404" t="inlineStr">
        <is>
          <t>NEW</t>
        </is>
      </c>
      <c r="Q404" t="inlineStr">
        <is>
          <t>GROSS</t>
        </is>
      </c>
    </row>
    <row r="405">
      <c r="A405" t="inlineStr">
        <is>
          <t>953625291146</t>
        </is>
      </c>
      <c r="B405" t="inlineStr">
        <is>
          <t>TCX</t>
        </is>
      </c>
      <c r="C405" t="inlineStr">
        <is>
          <t>BRGL</t>
        </is>
      </c>
      <c r="D405" s="6" t="n">
        <v>46252</v>
      </c>
      <c r="E405" t="inlineStr">
        <is>
          <t>DR</t>
        </is>
      </c>
      <c r="F405" t="inlineStr">
        <is>
          <t>USD</t>
        </is>
      </c>
      <c r="G405" s="7" t="n">
        <v>-16457785.22</v>
      </c>
      <c r="H405" t="inlineStr">
        <is>
          <t>GBP</t>
        </is>
      </c>
      <c r="I405" s="7" t="n">
        <v>-12902903.612</v>
      </c>
      <c r="J405" s="8" t="n">
        <v>46252.43847222222</v>
      </c>
      <c r="K405" t="inlineStr">
        <is>
          <t>CF260818 00399</t>
        </is>
      </c>
      <c r="L405" t="inlineStr">
        <is>
          <t>GL.NOSTRO.USD.BRGL.002</t>
        </is>
      </c>
      <c r="M405" t="inlineStr">
        <is>
          <t>Elmwood Clearing</t>
        </is>
      </c>
      <c r="N405" t="inlineStr">
        <is>
          <t>BRGL</t>
        </is>
      </c>
      <c r="O405" t="inlineStr">
        <is>
          <t>NEW</t>
        </is>
      </c>
      <c r="Q405" t="inlineStr">
        <is>
          <t>GROSS</t>
        </is>
      </c>
    </row>
    <row r="406">
      <c r="A406" t="inlineStr">
        <is>
          <t>968942362772</t>
        </is>
      </c>
      <c r="B406" t="inlineStr">
        <is>
          <t>TCQ</t>
        </is>
      </c>
      <c r="C406" t="inlineStr">
        <is>
          <t>BRYG</t>
        </is>
      </c>
      <c r="D406" s="6" t="n">
        <v>46252</v>
      </c>
      <c r="E406" t="inlineStr">
        <is>
          <t>DR</t>
        </is>
      </c>
      <c r="F406" t="inlineStr">
        <is>
          <t>EUR</t>
        </is>
      </c>
      <c r="G406" s="7" t="n">
        <v>-11792680.849</v>
      </c>
      <c r="H406" t="inlineStr">
        <is>
          <t>GBP</t>
        </is>
      </c>
      <c r="I406" s="7" t="n">
        <v>-10118120.168</v>
      </c>
      <c r="J406" s="8" t="n">
        <v>46252.48847222222</v>
      </c>
      <c r="K406" t="inlineStr">
        <is>
          <t>CF260818 00400</t>
        </is>
      </c>
      <c r="L406" t="inlineStr">
        <is>
          <t>GL.NOSTRO.EUR.BRYG.009</t>
        </is>
      </c>
      <c r="M406" t="inlineStr">
        <is>
          <t>Sablewood Bank</t>
        </is>
      </c>
      <c r="N406" t="inlineStr">
        <is>
          <t>BRYGTRSY</t>
        </is>
      </c>
      <c r="O406" t="inlineStr">
        <is>
          <t>NEW</t>
        </is>
      </c>
      <c r="P406" t="inlineStr">
        <is>
          <t>NT26081800295</t>
        </is>
      </c>
      <c r="Q406" t="inlineStr">
        <is>
          <t>NETTER</t>
        </is>
      </c>
    </row>
    <row r="407">
      <c r="A407" t="inlineStr">
        <is>
          <t>468341071172</t>
        </is>
      </c>
      <c r="B407" t="inlineStr">
        <is>
          <t>TCQ</t>
        </is>
      </c>
      <c r="C407" t="inlineStr">
        <is>
          <t>BRCC</t>
        </is>
      </c>
      <c r="D407" s="6" t="n">
        <v>46252</v>
      </c>
      <c r="E407" t="inlineStr">
        <is>
          <t>DR</t>
        </is>
      </c>
      <c r="F407" t="inlineStr">
        <is>
          <t>EUR</t>
        </is>
      </c>
      <c r="G407" s="7" t="n">
        <v>-21550535.143</v>
      </c>
      <c r="H407" t="inlineStr">
        <is>
          <t>GBP</t>
        </is>
      </c>
      <c r="I407" s="7" t="n">
        <v>-18490359.153</v>
      </c>
      <c r="J407" s="8" t="n">
        <v>46252.56116898148</v>
      </c>
      <c r="K407" t="inlineStr">
        <is>
          <t>CF260818 00401</t>
        </is>
      </c>
      <c r="L407" t="inlineStr">
        <is>
          <t>GL.NOSTRO.EUR.BRCC.005</t>
        </is>
      </c>
      <c r="M407" t="inlineStr">
        <is>
          <t>Dunlin Bank</t>
        </is>
      </c>
      <c r="N407" t="inlineStr">
        <is>
          <t>BRCCMM</t>
        </is>
      </c>
      <c r="O407" t="inlineStr">
        <is>
          <t>NEW</t>
        </is>
      </c>
      <c r="Q407" t="inlineStr">
        <is>
          <t>NETTER</t>
        </is>
      </c>
    </row>
    <row r="408">
      <c r="A408" t="inlineStr">
        <is>
          <t>171857983160</t>
        </is>
      </c>
      <c r="B408" t="inlineStr">
        <is>
          <t>TCP</t>
        </is>
      </c>
      <c r="C408" t="inlineStr">
        <is>
          <t>BRBX</t>
        </is>
      </c>
      <c r="D408" s="6" t="n">
        <v>46252</v>
      </c>
      <c r="E408" t="inlineStr">
        <is>
          <t>CR</t>
        </is>
      </c>
      <c r="F408" t="inlineStr">
        <is>
          <t>AUD</t>
        </is>
      </c>
      <c r="G408" s="7" t="n">
        <v>221813184.709</v>
      </c>
      <c r="H408" t="inlineStr">
        <is>
          <t>GBP</t>
        </is>
      </c>
      <c r="I408" s="7" t="n">
        <v>113790163.756</v>
      </c>
      <c r="J408" s="8" t="n">
        <v>46252.38163194444</v>
      </c>
      <c r="K408" t="inlineStr">
        <is>
          <t>CF260818 00402</t>
        </is>
      </c>
      <c r="L408" t="inlineStr">
        <is>
          <t>GL.NOSTRO.AUD.BRBX.007</t>
        </is>
      </c>
      <c r="M408" t="inlineStr">
        <is>
          <t>Harrow Clearing</t>
        </is>
      </c>
      <c r="N408" t="inlineStr">
        <is>
          <t>BRBXMM</t>
        </is>
      </c>
      <c r="O408" t="inlineStr">
        <is>
          <t>NEW</t>
        </is>
      </c>
      <c r="P408" t="inlineStr">
        <is>
          <t>NT26081800300</t>
        </is>
      </c>
      <c r="Q408" t="inlineStr">
        <is>
          <t>GROSS</t>
        </is>
      </c>
    </row>
    <row r="409">
      <c r="A409" t="inlineStr">
        <is>
          <t>499062838623</t>
        </is>
      </c>
      <c r="B409" t="inlineStr">
        <is>
          <t>TCQ</t>
        </is>
      </c>
      <c r="C409" t="inlineStr">
        <is>
          <t>BRBX</t>
        </is>
      </c>
      <c r="D409" s="6" t="n">
        <v>46252</v>
      </c>
      <c r="E409" t="inlineStr">
        <is>
          <t>DR</t>
        </is>
      </c>
      <c r="F409" t="inlineStr">
        <is>
          <t>USD</t>
        </is>
      </c>
      <c r="G409" s="7" t="n">
        <v>-32203522.785</v>
      </c>
      <c r="H409" t="inlineStr">
        <is>
          <t>GBP</t>
        </is>
      </c>
      <c r="I409" s="7" t="n">
        <v>-25247561.863</v>
      </c>
      <c r="J409" s="8" t="n">
        <v>46252.72975694444</v>
      </c>
      <c r="K409" t="inlineStr">
        <is>
          <t>CF260818 00403</t>
        </is>
      </c>
      <c r="L409" t="inlineStr">
        <is>
          <t>GL.NOSTRO.USD.BRBX.001</t>
        </is>
      </c>
      <c r="M409" t="inlineStr">
        <is>
          <t>Alder Clearing</t>
        </is>
      </c>
      <c r="N409" t="inlineStr">
        <is>
          <t>BRBX</t>
        </is>
      </c>
      <c r="O409" t="inlineStr">
        <is>
          <t>NEW</t>
        </is>
      </c>
      <c r="P409" t="inlineStr">
        <is>
          <t>NT26081800299</t>
        </is>
      </c>
      <c r="Q409" t="inlineStr">
        <is>
          <t>GROSS</t>
        </is>
      </c>
    </row>
    <row r="410">
      <c r="A410" t="inlineStr">
        <is>
          <t>499062838623</t>
        </is>
      </c>
      <c r="B410" t="inlineStr">
        <is>
          <t>TCQ</t>
        </is>
      </c>
      <c r="C410" t="inlineStr">
        <is>
          <t>BRBX</t>
        </is>
      </c>
      <c r="D410" s="6" t="n">
        <v>46252</v>
      </c>
      <c r="E410" t="inlineStr">
        <is>
          <t>DR</t>
        </is>
      </c>
      <c r="F410" t="inlineStr">
        <is>
          <t>USD</t>
        </is>
      </c>
      <c r="G410" s="7" t="n">
        <v>-273292151.677</v>
      </c>
      <c r="H410" t="inlineStr">
        <is>
          <t>GBP</t>
        </is>
      </c>
      <c r="I410" s="7" t="n">
        <v>-214261046.915</v>
      </c>
      <c r="J410" s="8" t="n">
        <v>46252.79027777778</v>
      </c>
      <c r="K410" t="inlineStr">
        <is>
          <t>CF260818 00404</t>
        </is>
      </c>
      <c r="L410" t="inlineStr">
        <is>
          <t>GL.NOSTRO.USD.BRBX.006</t>
        </is>
      </c>
      <c r="M410" t="inlineStr">
        <is>
          <t>Wrenfield Commercial Bank</t>
        </is>
      </c>
      <c r="N410" t="inlineStr">
        <is>
          <t>BRBX</t>
        </is>
      </c>
      <c r="O410" t="inlineStr">
        <is>
          <t>NEW</t>
        </is>
      </c>
      <c r="Q410" t="inlineStr">
        <is>
          <t>GROSS</t>
        </is>
      </c>
    </row>
    <row r="411">
      <c r="A411" t="inlineStr">
        <is>
          <t>794226063698</t>
        </is>
      </c>
      <c r="B411" t="inlineStr">
        <is>
          <t>TCC</t>
        </is>
      </c>
      <c r="C411" t="inlineStr">
        <is>
          <t>BRMD</t>
        </is>
      </c>
      <c r="D411" s="6" t="n">
        <v>46252</v>
      </c>
      <c r="E411" t="inlineStr">
        <is>
          <t>CR</t>
        </is>
      </c>
      <c r="F411" t="inlineStr">
        <is>
          <t>AED</t>
        </is>
      </c>
      <c r="G411" s="7" t="n">
        <v>46604.731</v>
      </c>
      <c r="H411" t="inlineStr">
        <is>
          <t>GBP</t>
        </is>
      </c>
      <c r="I411" s="7" t="n">
        <v>9926.808000000001</v>
      </c>
      <c r="J411" s="8" t="n">
        <v>46252.59828703704</v>
      </c>
      <c r="K411" t="inlineStr">
        <is>
          <t>CF260818 00405</t>
        </is>
      </c>
      <c r="L411" t="inlineStr">
        <is>
          <t>GL.NOSTRO.AED.BRMD.006</t>
        </is>
      </c>
      <c r="M411" t="inlineStr">
        <is>
          <t>Dunlin Trust</t>
        </is>
      </c>
      <c r="N411" t="inlineStr">
        <is>
          <t>BRMDTRSY</t>
        </is>
      </c>
      <c r="O411" t="inlineStr">
        <is>
          <t>NEW</t>
        </is>
      </c>
      <c r="Q411" t="inlineStr">
        <is>
          <t>GROSS</t>
        </is>
      </c>
    </row>
    <row r="412">
      <c r="A412" t="inlineStr">
        <is>
          <t>499062838623</t>
        </is>
      </c>
      <c r="B412" t="inlineStr">
        <is>
          <t>TCP</t>
        </is>
      </c>
      <c r="C412" t="inlineStr">
        <is>
          <t>BRBX</t>
        </is>
      </c>
      <c r="D412" s="6" t="n">
        <v>46252</v>
      </c>
      <c r="E412" t="inlineStr">
        <is>
          <t>CR</t>
        </is>
      </c>
      <c r="F412" t="inlineStr">
        <is>
          <t>USD</t>
        </is>
      </c>
      <c r="G412" s="7" t="n">
        <v>599156272.2410001</v>
      </c>
      <c r="H412" t="inlineStr">
        <is>
          <t>GBP</t>
        </is>
      </c>
      <c r="I412" s="7" t="n">
        <v>469738517.437</v>
      </c>
      <c r="J412" s="8" t="n">
        <v>46252.45466435186</v>
      </c>
      <c r="K412" t="inlineStr">
        <is>
          <t>CF260818 00406</t>
        </is>
      </c>
      <c r="L412" t="inlineStr">
        <is>
          <t>GL.NOSTRO.USD.BRBX.007</t>
        </is>
      </c>
      <c r="M412" t="inlineStr">
        <is>
          <t>Yarrow Clearing</t>
        </is>
      </c>
      <c r="N412" t="inlineStr">
        <is>
          <t>BRBXTRSY</t>
        </is>
      </c>
      <c r="O412" t="inlineStr">
        <is>
          <t>NEW</t>
        </is>
      </c>
      <c r="P412" t="inlineStr">
        <is>
          <t>NT26081800278</t>
        </is>
      </c>
      <c r="Q412" t="inlineStr">
        <is>
          <t>INTERNAL</t>
        </is>
      </c>
    </row>
    <row r="413">
      <c r="A413" t="inlineStr">
        <is>
          <t>794226063698</t>
        </is>
      </c>
      <c r="B413" t="inlineStr">
        <is>
          <t>TCX</t>
        </is>
      </c>
      <c r="C413" t="inlineStr">
        <is>
          <t>BRMD</t>
        </is>
      </c>
      <c r="D413" s="6" t="n">
        <v>46252</v>
      </c>
      <c r="E413" t="inlineStr">
        <is>
          <t>CR</t>
        </is>
      </c>
      <c r="F413" t="inlineStr">
        <is>
          <t>AED</t>
        </is>
      </c>
      <c r="G413" s="7" t="n">
        <v>1153770.768</v>
      </c>
      <c r="H413" t="inlineStr">
        <is>
          <t>GBP</t>
        </is>
      </c>
      <c r="I413" s="7" t="n">
        <v>245753.174</v>
      </c>
      <c r="J413" s="8" t="n">
        <v>46252.68038194445</v>
      </c>
      <c r="K413" t="inlineStr">
        <is>
          <t>CF260818 00407</t>
        </is>
      </c>
      <c r="L413" t="inlineStr">
        <is>
          <t>GL.NOSTRO.AED.BRMD.007</t>
        </is>
      </c>
      <c r="M413" t="inlineStr">
        <is>
          <t>Bramble Bank</t>
        </is>
      </c>
      <c r="N413" t="inlineStr">
        <is>
          <t>BRMDCASH</t>
        </is>
      </c>
      <c r="O413" t="inlineStr">
        <is>
          <t>NEW</t>
        </is>
      </c>
      <c r="P413" t="inlineStr">
        <is>
          <t>NT26081800283</t>
        </is>
      </c>
      <c r="Q413" t="inlineStr">
        <is>
          <t>NETTER</t>
        </is>
      </c>
    </row>
    <row r="414">
      <c r="A414" t="inlineStr">
        <is>
          <t>171857983160</t>
        </is>
      </c>
      <c r="B414" t="inlineStr">
        <is>
          <t>TCC</t>
        </is>
      </c>
      <c r="C414" t="inlineStr">
        <is>
          <t>BRBX</t>
        </is>
      </c>
      <c r="D414" s="6" t="n">
        <v>46252</v>
      </c>
      <c r="E414" t="inlineStr">
        <is>
          <t>CR</t>
        </is>
      </c>
      <c r="F414" t="inlineStr">
        <is>
          <t>AUD</t>
        </is>
      </c>
      <c r="G414" s="7" t="n">
        <v>129616967.1</v>
      </c>
      <c r="H414" t="inlineStr">
        <is>
          <t>GBP</t>
        </is>
      </c>
      <c r="I414" s="7" t="n">
        <v>66493504.122</v>
      </c>
      <c r="J414" s="8" t="n">
        <v>46252.65628472222</v>
      </c>
      <c r="K414" t="inlineStr">
        <is>
          <t>CF260818 00408</t>
        </is>
      </c>
      <c r="L414" t="inlineStr">
        <is>
          <t>GL.NOSTRO.AUD.BRBX.008</t>
        </is>
      </c>
      <c r="M414" t="inlineStr">
        <is>
          <t>Oriel Trust</t>
        </is>
      </c>
      <c r="N414" t="inlineStr">
        <is>
          <t>BRBXMM</t>
        </is>
      </c>
      <c r="O414" t="inlineStr">
        <is>
          <t>NEW</t>
        </is>
      </c>
      <c r="P414" t="inlineStr">
        <is>
          <t>NT26081800300</t>
        </is>
      </c>
      <c r="Q414" t="inlineStr">
        <is>
          <t>GROSS</t>
        </is>
      </c>
    </row>
    <row r="415">
      <c r="A415" t="inlineStr">
        <is>
          <t>794226063698</t>
        </is>
      </c>
      <c r="B415" t="inlineStr">
        <is>
          <t>TCQ</t>
        </is>
      </c>
      <c r="C415" t="inlineStr">
        <is>
          <t>BRMD</t>
        </is>
      </c>
      <c r="D415" s="6" t="n">
        <v>46252</v>
      </c>
      <c r="E415" t="inlineStr">
        <is>
          <t>DR</t>
        </is>
      </c>
      <c r="F415" t="inlineStr">
        <is>
          <t>AED</t>
        </is>
      </c>
      <c r="G415" s="7" t="n">
        <v>-1657373239.573</v>
      </c>
      <c r="H415" t="inlineStr">
        <is>
          <t>GBP</t>
        </is>
      </c>
      <c r="I415" s="7" t="n">
        <v>-353020500.029</v>
      </c>
      <c r="J415" s="8" t="n">
        <v>46252.2059375</v>
      </c>
      <c r="K415" t="inlineStr">
        <is>
          <t>CF260818 00409</t>
        </is>
      </c>
      <c r="L415" t="inlineStr">
        <is>
          <t>GL.NOSTRO.AED.BRMD.005</t>
        </is>
      </c>
      <c r="M415" t="inlineStr">
        <is>
          <t>Yarrow Clearing</t>
        </is>
      </c>
      <c r="N415" t="inlineStr">
        <is>
          <t>BRMDTRSY</t>
        </is>
      </c>
      <c r="O415" t="inlineStr">
        <is>
          <t>NEW</t>
        </is>
      </c>
      <c r="Q415" t="inlineStr">
        <is>
          <t>GROSS</t>
        </is>
      </c>
    </row>
    <row r="416">
      <c r="A416" t="inlineStr">
        <is>
          <t>468341071172</t>
        </is>
      </c>
      <c r="B416" t="inlineStr">
        <is>
          <t>TCG</t>
        </is>
      </c>
      <c r="C416" t="inlineStr">
        <is>
          <t>BRCC</t>
        </is>
      </c>
      <c r="D416" s="6" t="n">
        <v>46252</v>
      </c>
      <c r="E416" t="inlineStr">
        <is>
          <t>DR</t>
        </is>
      </c>
      <c r="F416" t="inlineStr">
        <is>
          <t>EUR</t>
        </is>
      </c>
      <c r="G416" s="7" t="n">
        <v>-24122667.944</v>
      </c>
      <c r="H416" t="inlineStr">
        <is>
          <t>GBP</t>
        </is>
      </c>
      <c r="I416" s="7" t="n">
        <v>-20697249.096</v>
      </c>
      <c r="J416" s="8" t="n">
        <v>46252.74018518518</v>
      </c>
      <c r="K416" t="inlineStr">
        <is>
          <t>CF260818 00410</t>
        </is>
      </c>
      <c r="L416" t="inlineStr">
        <is>
          <t>GL.NOSTRO.EUR.BRCC.006</t>
        </is>
      </c>
      <c r="M416" t="inlineStr">
        <is>
          <t>Dunlin Clearing</t>
        </is>
      </c>
      <c r="N416" t="inlineStr">
        <is>
          <t>BRCC</t>
        </is>
      </c>
      <c r="O416" t="inlineStr">
        <is>
          <t>NEW</t>
        </is>
      </c>
      <c r="P416" t="inlineStr">
        <is>
          <t>NT26081800282</t>
        </is>
      </c>
      <c r="Q416" t="inlineStr">
        <is>
          <t>NETTER</t>
        </is>
      </c>
    </row>
    <row r="417">
      <c r="A417" t="inlineStr">
        <is>
          <t>898317028833</t>
        </is>
      </c>
      <c r="B417" t="inlineStr">
        <is>
          <t>TCX</t>
        </is>
      </c>
      <c r="C417" t="inlineStr">
        <is>
          <t>BRAA</t>
        </is>
      </c>
      <c r="D417" s="6" t="n">
        <v>46252</v>
      </c>
      <c r="E417" t="inlineStr">
        <is>
          <t>CR</t>
        </is>
      </c>
      <c r="F417" t="inlineStr">
        <is>
          <t>GBP</t>
        </is>
      </c>
      <c r="G417" s="7" t="n">
        <v>161423461.15</v>
      </c>
      <c r="H417" t="inlineStr">
        <is>
          <t>GBP</t>
        </is>
      </c>
      <c r="I417" s="7" t="n">
        <v>161423461.15</v>
      </c>
      <c r="J417" s="8" t="n">
        <v>46252.62434027778</v>
      </c>
      <c r="K417" t="inlineStr">
        <is>
          <t>CF260818 00411</t>
        </is>
      </c>
      <c r="L417" t="inlineStr">
        <is>
          <t>GL.NOSTRO.GBP.BRAA.005</t>
        </is>
      </c>
      <c r="M417" t="inlineStr">
        <is>
          <t>Oriel Trust</t>
        </is>
      </c>
      <c r="N417" t="inlineStr">
        <is>
          <t>BRAACASH</t>
        </is>
      </c>
      <c r="O417" t="inlineStr">
        <is>
          <t>NEW</t>
        </is>
      </c>
      <c r="Q417" t="inlineStr">
        <is>
          <t>NETTER</t>
        </is>
      </c>
    </row>
    <row r="418">
      <c r="A418" t="inlineStr">
        <is>
          <t>794226063698</t>
        </is>
      </c>
      <c r="B418" t="inlineStr">
        <is>
          <t>TCC</t>
        </is>
      </c>
      <c r="C418" t="inlineStr">
        <is>
          <t>BRMD</t>
        </is>
      </c>
      <c r="D418" s="6" t="n">
        <v>46252</v>
      </c>
      <c r="E418" t="inlineStr">
        <is>
          <t>DR</t>
        </is>
      </c>
      <c r="F418" t="inlineStr">
        <is>
          <t>AED</t>
        </is>
      </c>
      <c r="G418" s="7" t="n">
        <v>-3209585.103</v>
      </c>
      <c r="H418" t="inlineStr">
        <is>
          <t>GBP</t>
        </is>
      </c>
      <c r="I418" s="7" t="n">
        <v>-683641.627</v>
      </c>
      <c r="J418" s="8" t="n">
        <v>46252.66271990741</v>
      </c>
      <c r="K418" t="inlineStr">
        <is>
          <t>CF260818 00412</t>
        </is>
      </c>
      <c r="L418" t="inlineStr">
        <is>
          <t>GL.NOSTRO.AED.BRMD.004</t>
        </is>
      </c>
      <c r="M418" t="inlineStr">
        <is>
          <t>Oriel Trust</t>
        </is>
      </c>
      <c r="N418" t="inlineStr">
        <is>
          <t>BRMDMM</t>
        </is>
      </c>
      <c r="O418" t="inlineStr">
        <is>
          <t>NEW</t>
        </is>
      </c>
      <c r="Q418" t="inlineStr">
        <is>
          <t>NETTER</t>
        </is>
      </c>
    </row>
    <row r="419">
      <c r="A419" t="inlineStr">
        <is>
          <t>700726936098</t>
        </is>
      </c>
      <c r="B419" t="inlineStr">
        <is>
          <t>TCX</t>
        </is>
      </c>
      <c r="C419" t="inlineStr">
        <is>
          <t>BRMD</t>
        </is>
      </c>
      <c r="D419" s="6" t="n">
        <v>46252</v>
      </c>
      <c r="E419" t="inlineStr">
        <is>
          <t>CR</t>
        </is>
      </c>
      <c r="F419" t="inlineStr">
        <is>
          <t>SAR</t>
        </is>
      </c>
      <c r="G419" s="7" t="n">
        <v>218706531.727</v>
      </c>
      <c r="H419" t="inlineStr">
        <is>
          <t>GBP</t>
        </is>
      </c>
      <c r="I419" s="7" t="n">
        <v>45709665.131</v>
      </c>
      <c r="J419" s="8" t="n">
        <v>46252.62765046296</v>
      </c>
      <c r="K419" t="inlineStr">
        <is>
          <t>CF260818 00413</t>
        </is>
      </c>
      <c r="L419" t="inlineStr">
        <is>
          <t>GL.NOSTRO.SAR.BRMD.001</t>
        </is>
      </c>
      <c r="M419" t="inlineStr">
        <is>
          <t>Oriel Trust</t>
        </is>
      </c>
      <c r="N419" t="inlineStr">
        <is>
          <t>BRMDTRSY</t>
        </is>
      </c>
      <c r="O419" t="inlineStr">
        <is>
          <t>AMEND</t>
        </is>
      </c>
      <c r="P419" t="inlineStr">
        <is>
          <t>NT26081800286</t>
        </is>
      </c>
      <c r="Q419" t="inlineStr">
        <is>
          <t>NETTER</t>
        </is>
      </c>
    </row>
    <row r="420">
      <c r="A420" t="inlineStr">
        <is>
          <t>150316825069</t>
        </is>
      </c>
      <c r="B420" t="inlineStr">
        <is>
          <t>TCP</t>
        </is>
      </c>
      <c r="C420" t="inlineStr">
        <is>
          <t>BRGX</t>
        </is>
      </c>
      <c r="D420" s="6" t="n">
        <v>46252</v>
      </c>
      <c r="E420" t="inlineStr">
        <is>
          <t>CR</t>
        </is>
      </c>
      <c r="F420" t="inlineStr">
        <is>
          <t>GBP</t>
        </is>
      </c>
      <c r="G420" s="7" t="n">
        <v>337848963.092</v>
      </c>
      <c r="H420" t="inlineStr">
        <is>
          <t>GBP</t>
        </is>
      </c>
      <c r="I420" s="7" t="n">
        <v>337848963.092</v>
      </c>
      <c r="J420" s="8" t="n">
        <v>46252.49789351852</v>
      </c>
      <c r="K420" t="inlineStr">
        <is>
          <t>CF260818 00414</t>
        </is>
      </c>
      <c r="L420" t="inlineStr">
        <is>
          <t>GL.NOSTRO.GBP.BRGX.002</t>
        </is>
      </c>
      <c r="M420" t="inlineStr">
        <is>
          <t>Mallow Clearing</t>
        </is>
      </c>
      <c r="N420" t="inlineStr">
        <is>
          <t>BRGX</t>
        </is>
      </c>
      <c r="O420" t="inlineStr">
        <is>
          <t>NEW</t>
        </is>
      </c>
      <c r="Q420" t="inlineStr">
        <is>
          <t>NETTER</t>
        </is>
      </c>
    </row>
    <row r="421">
      <c r="A421" t="inlineStr">
        <is>
          <t>968942362772</t>
        </is>
      </c>
      <c r="B421" t="inlineStr">
        <is>
          <t>TCQ</t>
        </is>
      </c>
      <c r="C421" t="inlineStr">
        <is>
          <t>BRYG</t>
        </is>
      </c>
      <c r="D421" s="6" t="n">
        <v>46252</v>
      </c>
      <c r="E421" t="inlineStr">
        <is>
          <t>DR</t>
        </is>
      </c>
      <c r="F421" t="inlineStr">
        <is>
          <t>EUR</t>
        </is>
      </c>
      <c r="G421" s="7" t="n">
        <v>-10762767.25</v>
      </c>
      <c r="H421" t="inlineStr">
        <is>
          <t>GBP</t>
        </is>
      </c>
      <c r="I421" s="7" t="n">
        <v>-9234454.300000001</v>
      </c>
      <c r="J421" s="8" t="n">
        <v>46252.30962962963</v>
      </c>
      <c r="K421" t="inlineStr">
        <is>
          <t>CF260818 00415</t>
        </is>
      </c>
      <c r="L421" t="inlineStr">
        <is>
          <t>GL.NOSTRO.EUR.BRYG.005</t>
        </is>
      </c>
      <c r="M421" t="inlineStr">
        <is>
          <t>Fernway Settlement Bank</t>
        </is>
      </c>
      <c r="N421" t="inlineStr">
        <is>
          <t>BRYG</t>
        </is>
      </c>
      <c r="O421" t="inlineStr">
        <is>
          <t>NEW</t>
        </is>
      </c>
      <c r="Q421" t="inlineStr">
        <is>
          <t>GROSS</t>
        </is>
      </c>
    </row>
    <row r="422">
      <c r="A422" t="inlineStr">
        <is>
          <t>499062838623</t>
        </is>
      </c>
      <c r="B422" t="inlineStr">
        <is>
          <t>TCQ</t>
        </is>
      </c>
      <c r="C422" t="inlineStr">
        <is>
          <t>BRBX</t>
        </is>
      </c>
      <c r="D422" s="6" t="n">
        <v>46252</v>
      </c>
      <c r="E422" t="inlineStr">
        <is>
          <t>CR</t>
        </is>
      </c>
      <c r="F422" t="inlineStr">
        <is>
          <t>USD</t>
        </is>
      </c>
      <c r="G422" s="7" t="n">
        <v>133141374.63</v>
      </c>
      <c r="H422" t="inlineStr">
        <is>
          <t>GBP</t>
        </is>
      </c>
      <c r="I422" s="7" t="n">
        <v>104382837.71</v>
      </c>
      <c r="J422" s="8" t="n">
        <v>46252.6174537037</v>
      </c>
      <c r="K422" t="inlineStr">
        <is>
          <t>CF260818 00416</t>
        </is>
      </c>
      <c r="L422" t="inlineStr">
        <is>
          <t>GL.NOSTRO.USD.BRBX.004</t>
        </is>
      </c>
      <c r="M422" t="inlineStr">
        <is>
          <t>Elmwood Bank</t>
        </is>
      </c>
      <c r="N422" t="inlineStr">
        <is>
          <t>BRBX</t>
        </is>
      </c>
      <c r="O422" t="inlineStr">
        <is>
          <t>AMEND</t>
        </is>
      </c>
      <c r="P422" t="inlineStr">
        <is>
          <t>NT26081800298</t>
        </is>
      </c>
      <c r="Q422" t="inlineStr">
        <is>
          <t>GROSS</t>
        </is>
      </c>
    </row>
    <row r="423">
      <c r="A423" t="inlineStr">
        <is>
          <t>171857983160</t>
        </is>
      </c>
      <c r="B423" t="inlineStr">
        <is>
          <t>TCP</t>
        </is>
      </c>
      <c r="C423" t="inlineStr">
        <is>
          <t>BRBX</t>
        </is>
      </c>
      <c r="D423" s="6" t="n">
        <v>46252</v>
      </c>
      <c r="E423" t="inlineStr">
        <is>
          <t>CR</t>
        </is>
      </c>
      <c r="F423" t="inlineStr">
        <is>
          <t>AUD</t>
        </is>
      </c>
      <c r="G423" s="7" t="n">
        <v>38346365.554</v>
      </c>
      <c r="H423" t="inlineStr">
        <is>
          <t>GBP</t>
        </is>
      </c>
      <c r="I423" s="7" t="n">
        <v>19671685.529</v>
      </c>
      <c r="J423" s="8" t="n">
        <v>46252.75789351852</v>
      </c>
      <c r="K423" t="inlineStr">
        <is>
          <t>CF260818 00417</t>
        </is>
      </c>
      <c r="L423" t="inlineStr">
        <is>
          <t>GL.NOSTRO.AUD.BRBX.006</t>
        </is>
      </c>
      <c r="M423" t="inlineStr">
        <is>
          <t>Elmwood Bank</t>
        </is>
      </c>
      <c r="N423" t="inlineStr">
        <is>
          <t>BRBX</t>
        </is>
      </c>
      <c r="O423" t="inlineStr">
        <is>
          <t>NEW</t>
        </is>
      </c>
      <c r="P423" t="inlineStr">
        <is>
          <t>NT26081800280</t>
        </is>
      </c>
      <c r="Q423" t="inlineStr">
        <is>
          <t>NETTER</t>
        </is>
      </c>
    </row>
    <row r="424">
      <c r="A424" t="inlineStr">
        <is>
          <t>726928343448</t>
        </is>
      </c>
      <c r="B424" t="inlineStr">
        <is>
          <t>TCP</t>
        </is>
      </c>
      <c r="C424" t="inlineStr">
        <is>
          <t>BRGX</t>
        </is>
      </c>
      <c r="D424" s="6" t="n">
        <v>46252</v>
      </c>
      <c r="E424" t="inlineStr">
        <is>
          <t>DR</t>
        </is>
      </c>
      <c r="F424" t="inlineStr">
        <is>
          <t>EUR</t>
        </is>
      </c>
      <c r="G424" s="7" t="n">
        <v>-411358251.558</v>
      </c>
      <c r="H424" t="inlineStr">
        <is>
          <t>GBP</t>
        </is>
      </c>
      <c r="I424" s="7" t="n">
        <v>-352945379.837</v>
      </c>
      <c r="J424" s="8" t="n">
        <v>46252.46289351852</v>
      </c>
      <c r="K424" t="inlineStr">
        <is>
          <t>CF260818 00418</t>
        </is>
      </c>
      <c r="L424" t="inlineStr">
        <is>
          <t>GL.NOSTRO.EUR.BRGX.009</t>
        </is>
      </c>
      <c r="M424" t="inlineStr">
        <is>
          <t>Granite Bank</t>
        </is>
      </c>
      <c r="N424" t="inlineStr">
        <is>
          <t>BRGXCASH</t>
        </is>
      </c>
      <c r="O424" t="inlineStr">
        <is>
          <t>NEW</t>
        </is>
      </c>
      <c r="Q424" t="inlineStr">
        <is>
          <t>INTERNAL</t>
        </is>
      </c>
    </row>
    <row r="425">
      <c r="A425" t="inlineStr">
        <is>
          <t>150316825069</t>
        </is>
      </c>
      <c r="B425" t="inlineStr">
        <is>
          <t>TCG</t>
        </is>
      </c>
      <c r="C425" t="inlineStr">
        <is>
          <t>BRGX</t>
        </is>
      </c>
      <c r="D425" s="6" t="n">
        <v>46252</v>
      </c>
      <c r="E425" t="inlineStr">
        <is>
          <t>DR</t>
        </is>
      </c>
      <c r="F425" t="inlineStr">
        <is>
          <t>GBP</t>
        </is>
      </c>
      <c r="G425" s="7" t="n">
        <v>-762220.871</v>
      </c>
      <c r="H425" t="inlineStr">
        <is>
          <t>GBP</t>
        </is>
      </c>
      <c r="I425" s="7" t="n">
        <v>-762220.871</v>
      </c>
      <c r="J425" s="8" t="n">
        <v>46252.56994212963</v>
      </c>
      <c r="K425" t="inlineStr">
        <is>
          <t>CF260818 00419</t>
        </is>
      </c>
      <c r="L425" t="inlineStr">
        <is>
          <t>GL.NOSTRO.GBP.BRGX.002</t>
        </is>
      </c>
      <c r="M425" t="inlineStr">
        <is>
          <t>Yarrow Bank</t>
        </is>
      </c>
      <c r="N425" t="inlineStr">
        <is>
          <t>BRGX</t>
        </is>
      </c>
      <c r="O425" t="inlineStr">
        <is>
          <t>NEW</t>
        </is>
      </c>
      <c r="Q425" t="inlineStr">
        <is>
          <t>NETTER</t>
        </is>
      </c>
    </row>
    <row r="426">
      <c r="A426" t="inlineStr">
        <is>
          <t>284925023085</t>
        </is>
      </c>
      <c r="B426" t="inlineStr">
        <is>
          <t>TCC</t>
        </is>
      </c>
      <c r="C426" t="inlineStr">
        <is>
          <t>BRMD</t>
        </is>
      </c>
      <c r="D426" s="6" t="n">
        <v>46252</v>
      </c>
      <c r="E426" t="inlineStr">
        <is>
          <t>CR</t>
        </is>
      </c>
      <c r="F426" t="inlineStr">
        <is>
          <t>MXN</t>
        </is>
      </c>
      <c r="G426" s="7" t="n">
        <v>65246660.838</v>
      </c>
      <c r="H426" t="inlineStr">
        <is>
          <t>GBP</t>
        </is>
      </c>
      <c r="I426" s="7" t="n">
        <v>2792557.084</v>
      </c>
      <c r="J426" s="8" t="n">
        <v>46252.37306712963</v>
      </c>
      <c r="K426" t="inlineStr">
        <is>
          <t>CF260818 00420</t>
        </is>
      </c>
      <c r="L426" t="inlineStr">
        <is>
          <t>GL.NOSTRO.MXN.BRMD.006</t>
        </is>
      </c>
      <c r="M426" t="inlineStr">
        <is>
          <t>Wrenfield Commercial Bank</t>
        </is>
      </c>
      <c r="N426" t="inlineStr">
        <is>
          <t>BRMDCASH</t>
        </is>
      </c>
      <c r="O426" t="inlineStr">
        <is>
          <t>NEW</t>
        </is>
      </c>
      <c r="Q426" t="inlineStr">
        <is>
          <t>GROSS</t>
        </is>
      </c>
    </row>
    <row r="427">
      <c r="A427" t="inlineStr">
        <is>
          <t>499062838623</t>
        </is>
      </c>
      <c r="B427" t="inlineStr">
        <is>
          <t>TCG</t>
        </is>
      </c>
      <c r="C427" t="inlineStr">
        <is>
          <t>BRBX</t>
        </is>
      </c>
      <c r="D427" s="6" t="n">
        <v>46252</v>
      </c>
      <c r="E427" t="inlineStr">
        <is>
          <t>DR</t>
        </is>
      </c>
      <c r="F427" t="inlineStr">
        <is>
          <t>USD</t>
        </is>
      </c>
      <c r="G427" s="7" t="n">
        <v>-48971747.575</v>
      </c>
      <c r="H427" t="inlineStr">
        <is>
          <t>GBP</t>
        </is>
      </c>
      <c r="I427" s="7" t="n">
        <v>-38393850.099</v>
      </c>
      <c r="J427" s="8" t="n">
        <v>46252.32155092592</v>
      </c>
      <c r="K427" t="inlineStr">
        <is>
          <t>CF260818 00421</t>
        </is>
      </c>
      <c r="L427" t="inlineStr">
        <is>
          <t>GL.NOSTRO.USD.BRBX.003</t>
        </is>
      </c>
      <c r="M427" t="inlineStr">
        <is>
          <t>Alder Clearing</t>
        </is>
      </c>
      <c r="N427" t="inlineStr">
        <is>
          <t>BRBX</t>
        </is>
      </c>
      <c r="O427" t="inlineStr">
        <is>
          <t>NEW</t>
        </is>
      </c>
      <c r="P427" t="inlineStr">
        <is>
          <t>NT26081800283</t>
        </is>
      </c>
      <c r="Q427" t="inlineStr">
        <is>
          <t>NETTER</t>
        </is>
      </c>
    </row>
    <row r="428">
      <c r="A428" t="inlineStr">
        <is>
          <t>468341071172</t>
        </is>
      </c>
      <c r="B428" t="inlineStr">
        <is>
          <t>TCP</t>
        </is>
      </c>
      <c r="C428" t="inlineStr">
        <is>
          <t>BRCC</t>
        </is>
      </c>
      <c r="D428" s="6" t="n">
        <v>46252</v>
      </c>
      <c r="E428" t="inlineStr">
        <is>
          <t>CR</t>
        </is>
      </c>
      <c r="F428" t="inlineStr">
        <is>
          <t>EUR</t>
        </is>
      </c>
      <c r="G428" s="7" t="n">
        <v>13924235.132</v>
      </c>
      <c r="H428" t="inlineStr">
        <is>
          <t>GBP</t>
        </is>
      </c>
      <c r="I428" s="7" t="n">
        <v>11946993.743</v>
      </c>
      <c r="J428" s="8" t="n">
        <v>46252.37525462963</v>
      </c>
      <c r="K428" t="inlineStr">
        <is>
          <t>CF260818 00422</t>
        </is>
      </c>
      <c r="L428" t="inlineStr">
        <is>
          <t>GL.NOSTRO.EUR.BRCC.006</t>
        </is>
      </c>
      <c r="M428" t="inlineStr">
        <is>
          <t>Redstart Commercial Bank</t>
        </is>
      </c>
      <c r="N428" t="inlineStr">
        <is>
          <t>BRCCCASH</t>
        </is>
      </c>
      <c r="O428" t="inlineStr">
        <is>
          <t>NEW</t>
        </is>
      </c>
      <c r="Q428" t="inlineStr">
        <is>
          <t>GROSS</t>
        </is>
      </c>
    </row>
    <row r="429">
      <c r="A429" t="inlineStr">
        <is>
          <t>968942362772</t>
        </is>
      </c>
      <c r="B429" t="inlineStr">
        <is>
          <t>TCC</t>
        </is>
      </c>
      <c r="C429" t="inlineStr">
        <is>
          <t>BRYG</t>
        </is>
      </c>
      <c r="D429" s="6" t="n">
        <v>46252</v>
      </c>
      <c r="E429" t="inlineStr">
        <is>
          <t>CR</t>
        </is>
      </c>
      <c r="F429" t="inlineStr">
        <is>
          <t>EUR</t>
        </is>
      </c>
      <c r="G429" s="7" t="n">
        <v>1322411.118</v>
      </c>
      <c r="H429" t="inlineStr">
        <is>
          <t>GBP</t>
        </is>
      </c>
      <c r="I429" s="7" t="n">
        <v>1134628.739</v>
      </c>
      <c r="J429" s="8" t="n">
        <v>46252.30947916667</v>
      </c>
      <c r="K429" t="inlineStr">
        <is>
          <t>CF260818 00423</t>
        </is>
      </c>
      <c r="L429" t="inlineStr">
        <is>
          <t>GL.NOSTRO.EUR.BRYG.001</t>
        </is>
      </c>
      <c r="M429" t="inlineStr">
        <is>
          <t>Pinehurst Clearing</t>
        </is>
      </c>
      <c r="N429" t="inlineStr">
        <is>
          <t>BRYGMM</t>
        </is>
      </c>
      <c r="O429" t="inlineStr">
        <is>
          <t>NEW</t>
        </is>
      </c>
      <c r="Q429" t="inlineStr">
        <is>
          <t>GROSS</t>
        </is>
      </c>
    </row>
    <row r="430">
      <c r="A430" t="inlineStr">
        <is>
          <t>468341071172</t>
        </is>
      </c>
      <c r="B430" t="inlineStr">
        <is>
          <t>TCG</t>
        </is>
      </c>
      <c r="C430" t="inlineStr">
        <is>
          <t>BRCC</t>
        </is>
      </c>
      <c r="D430" s="6" t="n">
        <v>46252</v>
      </c>
      <c r="E430" t="inlineStr">
        <is>
          <t>CR</t>
        </is>
      </c>
      <c r="F430" t="inlineStr">
        <is>
          <t>EUR</t>
        </is>
      </c>
      <c r="G430" s="7" t="n">
        <v>1351509.68</v>
      </c>
      <c r="H430" t="inlineStr">
        <is>
          <t>GBP</t>
        </is>
      </c>
      <c r="I430" s="7" t="n">
        <v>1159595.305</v>
      </c>
      <c r="J430" s="8" t="n">
        <v>46252.64841435185</v>
      </c>
      <c r="K430" t="inlineStr">
        <is>
          <t>CF260818 00424</t>
        </is>
      </c>
      <c r="L430" t="inlineStr">
        <is>
          <t>GL.NOSTRO.EUR.BRCC.005</t>
        </is>
      </c>
      <c r="M430" t="inlineStr">
        <is>
          <t>Larkspur Clearing</t>
        </is>
      </c>
      <c r="N430" t="inlineStr">
        <is>
          <t>BRCCCASH</t>
        </is>
      </c>
      <c r="O430" t="inlineStr">
        <is>
          <t>NEW</t>
        </is>
      </c>
      <c r="P430" t="inlineStr">
        <is>
          <t>NT26081800293</t>
        </is>
      </c>
      <c r="Q430" t="inlineStr">
        <is>
          <t>GROSS</t>
        </is>
      </c>
    </row>
    <row r="431">
      <c r="A431" t="inlineStr">
        <is>
          <t>794226063698</t>
        </is>
      </c>
      <c r="B431" t="inlineStr">
        <is>
          <t>TCP</t>
        </is>
      </c>
      <c r="C431" t="inlineStr">
        <is>
          <t>BRMD</t>
        </is>
      </c>
      <c r="D431" s="6" t="n">
        <v>46252</v>
      </c>
      <c r="E431" t="inlineStr">
        <is>
          <t>CR</t>
        </is>
      </c>
      <c r="F431" t="inlineStr">
        <is>
          <t>AED</t>
        </is>
      </c>
      <c r="G431" s="7" t="n">
        <v>64079339.878</v>
      </c>
      <c r="H431" t="inlineStr">
        <is>
          <t>GBP</t>
        </is>
      </c>
      <c r="I431" s="7" t="n">
        <v>13648899.394</v>
      </c>
      <c r="J431" s="8" t="n">
        <v>46252.39809027778</v>
      </c>
      <c r="K431" t="inlineStr">
        <is>
          <t>CF260818 00425</t>
        </is>
      </c>
      <c r="L431" t="inlineStr">
        <is>
          <t>GL.NOSTRO.AED.BRMD.008</t>
        </is>
      </c>
      <c r="M431" t="inlineStr">
        <is>
          <t>Umberton Clearing</t>
        </is>
      </c>
      <c r="N431" t="inlineStr">
        <is>
          <t>BRMDCASH</t>
        </is>
      </c>
      <c r="O431" t="inlineStr">
        <is>
          <t>NEW</t>
        </is>
      </c>
      <c r="Q431" t="inlineStr">
        <is>
          <t>INTERNAL</t>
        </is>
      </c>
    </row>
    <row r="432">
      <c r="A432" t="inlineStr">
        <is>
          <t>794226063698</t>
        </is>
      </c>
      <c r="B432" t="inlineStr">
        <is>
          <t>TCX</t>
        </is>
      </c>
      <c r="C432" t="inlineStr">
        <is>
          <t>BRMD</t>
        </is>
      </c>
      <c r="D432" s="6" t="n">
        <v>46252</v>
      </c>
      <c r="E432" t="inlineStr">
        <is>
          <t>CR</t>
        </is>
      </c>
      <c r="F432" t="inlineStr">
        <is>
          <t>AED</t>
        </is>
      </c>
      <c r="G432" s="7" t="n">
        <v>27741307.936</v>
      </c>
      <c r="H432" t="inlineStr">
        <is>
          <t>GBP</t>
        </is>
      </c>
      <c r="I432" s="7" t="n">
        <v>5908898.59</v>
      </c>
      <c r="J432" s="8" t="n">
        <v>46252.44608796296</v>
      </c>
      <c r="K432" t="inlineStr">
        <is>
          <t>CF260818 00426</t>
        </is>
      </c>
      <c r="L432" t="inlineStr">
        <is>
          <t>GL.NOSTRO.AED.BRMD.009</t>
        </is>
      </c>
      <c r="M432" t="inlineStr">
        <is>
          <t>Juniper Settlement Bank</t>
        </is>
      </c>
      <c r="N432" t="inlineStr">
        <is>
          <t>BRMDCASH</t>
        </is>
      </c>
      <c r="O432" t="inlineStr">
        <is>
          <t>NEW</t>
        </is>
      </c>
      <c r="Q432" t="inlineStr">
        <is>
          <t>INTERNAL</t>
        </is>
      </c>
    </row>
    <row r="433">
      <c r="A433" t="inlineStr">
        <is>
          <t>927538182434</t>
        </is>
      </c>
      <c r="B433" t="inlineStr">
        <is>
          <t>TCC</t>
        </is>
      </c>
      <c r="C433" t="inlineStr">
        <is>
          <t>BRNK</t>
        </is>
      </c>
      <c r="D433" s="6" t="n">
        <v>46252</v>
      </c>
      <c r="E433" t="inlineStr">
        <is>
          <t>DR</t>
        </is>
      </c>
      <c r="F433" t="inlineStr">
        <is>
          <t>CNY</t>
        </is>
      </c>
      <c r="G433" s="7" t="n">
        <v>-14145637.776</v>
      </c>
      <c r="H433" t="inlineStr">
        <is>
          <t>GBP</t>
        </is>
      </c>
      <c r="I433" s="7" t="n">
        <v>-1541874.518</v>
      </c>
      <c r="J433" s="8" t="n">
        <v>46252.2687962963</v>
      </c>
      <c r="K433" t="inlineStr">
        <is>
          <t>CF260818 00427</t>
        </is>
      </c>
      <c r="L433" t="inlineStr">
        <is>
          <t>GL.NOSTRO.CNY.BRNK.009</t>
        </is>
      </c>
      <c r="M433" t="inlineStr">
        <is>
          <t>Ironbark Trust</t>
        </is>
      </c>
      <c r="N433" t="inlineStr">
        <is>
          <t>BRNK</t>
        </is>
      </c>
      <c r="O433" t="inlineStr">
        <is>
          <t>NEW</t>
        </is>
      </c>
      <c r="P433" t="inlineStr">
        <is>
          <t>NT26081800278</t>
        </is>
      </c>
      <c r="Q433" t="inlineStr">
        <is>
          <t>GROSS</t>
        </is>
      </c>
    </row>
    <row r="434">
      <c r="A434" t="inlineStr">
        <is>
          <t>150316825069</t>
        </is>
      </c>
      <c r="B434" t="inlineStr">
        <is>
          <t>TCP</t>
        </is>
      </c>
      <c r="C434" t="inlineStr">
        <is>
          <t>BRGX</t>
        </is>
      </c>
      <c r="D434" s="6" t="n">
        <v>46252</v>
      </c>
      <c r="E434" t="inlineStr">
        <is>
          <t>DR</t>
        </is>
      </c>
      <c r="F434" t="inlineStr">
        <is>
          <t>GBP</t>
        </is>
      </c>
      <c r="G434" s="7" t="n">
        <v>-700154394.8789999</v>
      </c>
      <c r="H434" t="inlineStr">
        <is>
          <t>GBP</t>
        </is>
      </c>
      <c r="I434" s="7" t="n">
        <v>-700154394.8789999</v>
      </c>
      <c r="J434" s="8" t="n">
        <v>46252.59711805556</v>
      </c>
      <c r="K434" t="inlineStr">
        <is>
          <t>CF260818 00428</t>
        </is>
      </c>
      <c r="L434" t="inlineStr">
        <is>
          <t>GL.NOSTRO.GBP.BRGX.008</t>
        </is>
      </c>
      <c r="M434" t="inlineStr">
        <is>
          <t>Nightjar Trust</t>
        </is>
      </c>
      <c r="N434" t="inlineStr">
        <is>
          <t>BRGX</t>
        </is>
      </c>
      <c r="O434" t="inlineStr">
        <is>
          <t>NEW</t>
        </is>
      </c>
      <c r="P434" t="inlineStr">
        <is>
          <t>NT26081800298</t>
        </is>
      </c>
      <c r="Q434" t="inlineStr">
        <is>
          <t>NETTER</t>
        </is>
      </c>
    </row>
    <row r="435">
      <c r="A435" t="inlineStr">
        <is>
          <t>265771593142</t>
        </is>
      </c>
      <c r="B435" t="inlineStr">
        <is>
          <t>TCQ</t>
        </is>
      </c>
      <c r="C435" t="inlineStr">
        <is>
          <t>BRYG</t>
        </is>
      </c>
      <c r="D435" s="6" t="n">
        <v>46252</v>
      </c>
      <c r="E435" t="inlineStr">
        <is>
          <t>DR</t>
        </is>
      </c>
      <c r="F435" t="inlineStr">
        <is>
          <t>EUR</t>
        </is>
      </c>
      <c r="G435" s="7" t="n">
        <v>-59804719.663</v>
      </c>
      <c r="H435" t="inlineStr">
        <is>
          <t>GBP</t>
        </is>
      </c>
      <c r="I435" s="7" t="n">
        <v>-51312449.471</v>
      </c>
      <c r="J435" s="8" t="n">
        <v>46252.57190972222</v>
      </c>
      <c r="K435" t="inlineStr">
        <is>
          <t>CF260818 00429</t>
        </is>
      </c>
      <c r="L435" t="inlineStr">
        <is>
          <t>GL.NOSTRO.EUR.BRYG.008</t>
        </is>
      </c>
      <c r="M435" t="inlineStr">
        <is>
          <t>Granite Bank</t>
        </is>
      </c>
      <c r="N435" t="inlineStr">
        <is>
          <t>BRYGCASH</t>
        </is>
      </c>
      <c r="O435" t="inlineStr">
        <is>
          <t>NEW</t>
        </is>
      </c>
      <c r="P435" t="inlineStr">
        <is>
          <t>NT26081800294</t>
        </is>
      </c>
      <c r="Q435" t="inlineStr">
        <is>
          <t>GROSS</t>
        </is>
      </c>
    </row>
    <row r="436">
      <c r="A436" t="inlineStr">
        <is>
          <t>132544340094</t>
        </is>
      </c>
      <c r="B436" t="inlineStr">
        <is>
          <t>TCC</t>
        </is>
      </c>
      <c r="C436" t="inlineStr">
        <is>
          <t>BRYG</t>
        </is>
      </c>
      <c r="D436" s="6" t="n">
        <v>46252</v>
      </c>
      <c r="E436" t="inlineStr">
        <is>
          <t>DR</t>
        </is>
      </c>
      <c r="F436" t="inlineStr">
        <is>
          <t>CZK</t>
        </is>
      </c>
      <c r="G436" s="7" t="n">
        <v>-1000233.368</v>
      </c>
      <c r="H436" t="inlineStr">
        <is>
          <t>GBP</t>
        </is>
      </c>
      <c r="I436" s="7" t="n">
        <v>-33907.911</v>
      </c>
      <c r="J436" s="8" t="n">
        <v>46252.41851851852</v>
      </c>
      <c r="K436" t="inlineStr">
        <is>
          <t>CF260818 00430</t>
        </is>
      </c>
      <c r="L436" t="inlineStr">
        <is>
          <t>GL.NOSTRO.CZK.BRYG.003</t>
        </is>
      </c>
      <c r="M436" t="inlineStr">
        <is>
          <t>Ironbark Trust</t>
        </is>
      </c>
      <c r="N436" t="inlineStr">
        <is>
          <t>BRYGTRSY</t>
        </is>
      </c>
      <c r="O436" t="inlineStr">
        <is>
          <t>NEW</t>
        </is>
      </c>
      <c r="P436" t="inlineStr">
        <is>
          <t>NT26081800285</t>
        </is>
      </c>
      <c r="Q436" t="inlineStr">
        <is>
          <t>INTERNAL</t>
        </is>
      </c>
    </row>
    <row r="437">
      <c r="A437" t="inlineStr">
        <is>
          <t>910703979141</t>
        </is>
      </c>
      <c r="B437" t="inlineStr">
        <is>
          <t>TCQ</t>
        </is>
      </c>
      <c r="C437" t="inlineStr">
        <is>
          <t>BRCC</t>
        </is>
      </c>
      <c r="D437" s="6" t="n">
        <v>46252</v>
      </c>
      <c r="E437" t="inlineStr">
        <is>
          <t>CR</t>
        </is>
      </c>
      <c r="F437" t="inlineStr">
        <is>
          <t>CHF</t>
        </is>
      </c>
      <c r="G437" s="7" t="n">
        <v>398372556.915</v>
      </c>
      <c r="H437" t="inlineStr">
        <is>
          <t>GBP</t>
        </is>
      </c>
      <c r="I437" s="7" t="n">
        <v>357340183.553</v>
      </c>
      <c r="J437" s="8" t="n">
        <v>46252.17511574074</v>
      </c>
      <c r="K437" t="inlineStr">
        <is>
          <t>CF260818 00431</t>
        </is>
      </c>
      <c r="L437" t="inlineStr">
        <is>
          <t>GL.NOSTRO.CHF.BRCC.003</t>
        </is>
      </c>
      <c r="M437" t="inlineStr">
        <is>
          <t>Wrenfield Commercial Bank</t>
        </is>
      </c>
      <c r="N437" t="inlineStr">
        <is>
          <t>BRCCMM</t>
        </is>
      </c>
      <c r="O437" t="inlineStr">
        <is>
          <t>NEW</t>
        </is>
      </c>
      <c r="Q437" t="inlineStr">
        <is>
          <t>NETTER</t>
        </is>
      </c>
    </row>
    <row r="438">
      <c r="A438" t="inlineStr">
        <is>
          <t>953625291146</t>
        </is>
      </c>
      <c r="B438" t="inlineStr">
        <is>
          <t>TCC</t>
        </is>
      </c>
      <c r="C438" t="inlineStr">
        <is>
          <t>BRGL</t>
        </is>
      </c>
      <c r="D438" s="6" t="n">
        <v>46252</v>
      </c>
      <c r="E438" t="inlineStr">
        <is>
          <t>CR</t>
        </is>
      </c>
      <c r="F438" t="inlineStr">
        <is>
          <t>USD</t>
        </is>
      </c>
      <c r="G438" s="7" t="n">
        <v>50240187.739</v>
      </c>
      <c r="H438" t="inlineStr">
        <is>
          <t>GBP</t>
        </is>
      </c>
      <c r="I438" s="7" t="n">
        <v>39388307.187</v>
      </c>
      <c r="J438" s="8" t="n">
        <v>46252.63057870371</v>
      </c>
      <c r="K438" t="inlineStr">
        <is>
          <t>CF260818 00432</t>
        </is>
      </c>
      <c r="L438" t="inlineStr">
        <is>
          <t>GL.NOSTRO.USD.BRGL.005</t>
        </is>
      </c>
      <c r="M438" t="inlineStr">
        <is>
          <t>Umberton Clearing</t>
        </is>
      </c>
      <c r="N438" t="inlineStr">
        <is>
          <t>BRGLMM</t>
        </is>
      </c>
      <c r="O438" t="inlineStr">
        <is>
          <t>NEW</t>
        </is>
      </c>
      <c r="Q438" t="inlineStr">
        <is>
          <t>GROSS</t>
        </is>
      </c>
    </row>
    <row r="439">
      <c r="A439" t="inlineStr">
        <is>
          <t>468341071172</t>
        </is>
      </c>
      <c r="B439" t="inlineStr">
        <is>
          <t>TCQ</t>
        </is>
      </c>
      <c r="C439" t="inlineStr">
        <is>
          <t>BRCC</t>
        </is>
      </c>
      <c r="D439" s="6" t="n">
        <v>46252</v>
      </c>
      <c r="E439" t="inlineStr">
        <is>
          <t>CR</t>
        </is>
      </c>
      <c r="F439" t="inlineStr">
        <is>
          <t>EUR</t>
        </is>
      </c>
      <c r="G439" s="7" t="n">
        <v>626697990.822</v>
      </c>
      <c r="H439" t="inlineStr">
        <is>
          <t>GBP</t>
        </is>
      </c>
      <c r="I439" s="7" t="n">
        <v>537706876.125</v>
      </c>
      <c r="J439" s="8" t="n">
        <v>46252.48087962963</v>
      </c>
      <c r="K439" t="inlineStr">
        <is>
          <t>CF260818 00433</t>
        </is>
      </c>
      <c r="L439" t="inlineStr">
        <is>
          <t>GL.NOSTRO.EUR.BRCC.008</t>
        </is>
      </c>
      <c r="M439" t="inlineStr">
        <is>
          <t>Vetchling Settlement Bank</t>
        </is>
      </c>
      <c r="N439" t="inlineStr">
        <is>
          <t>BRCCCASH</t>
        </is>
      </c>
      <c r="O439" t="inlineStr">
        <is>
          <t>NEW</t>
        </is>
      </c>
      <c r="P439" t="inlineStr">
        <is>
          <t>NT26081800288</t>
        </is>
      </c>
      <c r="Q439" t="inlineStr">
        <is>
          <t>INTERNAL</t>
        </is>
      </c>
    </row>
    <row r="440">
      <c r="A440" t="inlineStr">
        <is>
          <t>468341071172</t>
        </is>
      </c>
      <c r="B440" t="inlineStr">
        <is>
          <t>TCQ</t>
        </is>
      </c>
      <c r="C440" t="inlineStr">
        <is>
          <t>BRCC</t>
        </is>
      </c>
      <c r="D440" s="6" t="n">
        <v>46252</v>
      </c>
      <c r="E440" t="inlineStr">
        <is>
          <t>CR</t>
        </is>
      </c>
      <c r="F440" t="inlineStr">
        <is>
          <t>EUR</t>
        </is>
      </c>
      <c r="G440" s="7" t="n">
        <v>1024530.834</v>
      </c>
      <c r="H440" t="inlineStr">
        <is>
          <t>GBP</t>
        </is>
      </c>
      <c r="I440" s="7" t="n">
        <v>879047.456</v>
      </c>
      <c r="J440" s="8" t="n">
        <v>46252.11020833333</v>
      </c>
      <c r="K440" t="inlineStr">
        <is>
          <t>CF260818 00434</t>
        </is>
      </c>
      <c r="L440" t="inlineStr">
        <is>
          <t>GL.NOSTRO.EUR.BRCC.004</t>
        </is>
      </c>
      <c r="M440" t="inlineStr">
        <is>
          <t>Thornbury Bank</t>
        </is>
      </c>
      <c r="N440" t="inlineStr">
        <is>
          <t>BRCC</t>
        </is>
      </c>
      <c r="O440" t="inlineStr">
        <is>
          <t>NEW</t>
        </is>
      </c>
      <c r="P440" t="inlineStr">
        <is>
          <t>NT26081800280</t>
        </is>
      </c>
      <c r="Q440" t="inlineStr">
        <is>
          <t>NETTER</t>
        </is>
      </c>
    </row>
    <row r="441">
      <c r="A441" t="inlineStr">
        <is>
          <t>953625291146</t>
        </is>
      </c>
      <c r="B441" t="inlineStr">
        <is>
          <t>TCC</t>
        </is>
      </c>
      <c r="C441" t="inlineStr">
        <is>
          <t>BRGL</t>
        </is>
      </c>
      <c r="D441" s="6" t="n">
        <v>46252</v>
      </c>
      <c r="E441" t="inlineStr">
        <is>
          <t>DR</t>
        </is>
      </c>
      <c r="F441" t="inlineStr">
        <is>
          <t>USD</t>
        </is>
      </c>
      <c r="G441" s="7" t="n">
        <v>-100703634.416</v>
      </c>
      <c r="H441" t="inlineStr">
        <is>
          <t>GBP</t>
        </is>
      </c>
      <c r="I441" s="7" t="n">
        <v>-78951649.382</v>
      </c>
      <c r="J441" s="8" t="n">
        <v>46252.63527777778</v>
      </c>
      <c r="K441" t="inlineStr">
        <is>
          <t>CF260818 00435</t>
        </is>
      </c>
      <c r="L441" t="inlineStr">
        <is>
          <t>GL.NOSTRO.USD.BRGL.002</t>
        </is>
      </c>
      <c r="M441" t="inlineStr">
        <is>
          <t>Dunlin Trust</t>
        </is>
      </c>
      <c r="N441" t="inlineStr">
        <is>
          <t>BRGLTRSY</t>
        </is>
      </c>
      <c r="O441" t="inlineStr">
        <is>
          <t>NEW</t>
        </is>
      </c>
      <c r="P441" t="inlineStr">
        <is>
          <t>NT26081800281</t>
        </is>
      </c>
      <c r="Q441" t="inlineStr">
        <is>
          <t>NETTER</t>
        </is>
      </c>
    </row>
    <row r="442">
      <c r="A442" t="inlineStr">
        <is>
          <t>794226063698</t>
        </is>
      </c>
      <c r="B442" t="inlineStr">
        <is>
          <t>TCG</t>
        </is>
      </c>
      <c r="C442" t="inlineStr">
        <is>
          <t>BRMD</t>
        </is>
      </c>
      <c r="D442" s="6" t="n">
        <v>46252</v>
      </c>
      <c r="E442" t="inlineStr">
        <is>
          <t>DR</t>
        </is>
      </c>
      <c r="F442" t="inlineStr">
        <is>
          <t>AED</t>
        </is>
      </c>
      <c r="G442" s="7" t="n">
        <v>-1073430.629</v>
      </c>
      <c r="H442" t="inlineStr">
        <is>
          <t>GBP</t>
        </is>
      </c>
      <c r="I442" s="7" t="n">
        <v>-228640.724</v>
      </c>
      <c r="J442" s="8" t="n">
        <v>46252.58663194445</v>
      </c>
      <c r="K442" t="inlineStr">
        <is>
          <t>CF260818 00436</t>
        </is>
      </c>
      <c r="L442" t="inlineStr">
        <is>
          <t>GL.NOSTRO.AED.BRMD.002</t>
        </is>
      </c>
      <c r="M442" t="inlineStr">
        <is>
          <t>Vetchling Settlement Bank</t>
        </is>
      </c>
      <c r="N442" t="inlineStr">
        <is>
          <t>BRMDTRSY</t>
        </is>
      </c>
      <c r="O442" t="inlineStr">
        <is>
          <t>NEW</t>
        </is>
      </c>
      <c r="Q442" t="inlineStr">
        <is>
          <t>NETTER</t>
        </is>
      </c>
    </row>
    <row r="443">
      <c r="A443" t="inlineStr">
        <is>
          <t>150316825069</t>
        </is>
      </c>
      <c r="B443" t="inlineStr">
        <is>
          <t>TCP</t>
        </is>
      </c>
      <c r="C443" t="inlineStr">
        <is>
          <t>BRGX</t>
        </is>
      </c>
      <c r="D443" s="6" t="n">
        <v>46252</v>
      </c>
      <c r="E443" t="inlineStr">
        <is>
          <t>CR</t>
        </is>
      </c>
      <c r="F443" t="inlineStr">
        <is>
          <t>GBP</t>
        </is>
      </c>
      <c r="G443" s="7" t="n">
        <v>506110832.63</v>
      </c>
      <c r="H443" t="inlineStr">
        <is>
          <t>GBP</t>
        </is>
      </c>
      <c r="I443" s="7" t="n">
        <v>506110832.63</v>
      </c>
      <c r="J443" s="8" t="n">
        <v>46252.58513888889</v>
      </c>
      <c r="K443" t="inlineStr">
        <is>
          <t>CF260818 00437</t>
        </is>
      </c>
      <c r="L443" t="inlineStr">
        <is>
          <t>GL.NOSTRO.GBP.BRGX.004</t>
        </is>
      </c>
      <c r="M443" t="inlineStr">
        <is>
          <t>Juniper Settlement Bank</t>
        </is>
      </c>
      <c r="N443" t="inlineStr">
        <is>
          <t>BRGXCASH</t>
        </is>
      </c>
      <c r="O443" t="inlineStr">
        <is>
          <t>NEW</t>
        </is>
      </c>
      <c r="Q443" t="inlineStr">
        <is>
          <t>NETTER</t>
        </is>
      </c>
    </row>
    <row r="444">
      <c r="A444" t="inlineStr">
        <is>
          <t>284925023085</t>
        </is>
      </c>
      <c r="B444" t="inlineStr">
        <is>
          <t>TCX</t>
        </is>
      </c>
      <c r="C444" t="inlineStr">
        <is>
          <t>BRMD</t>
        </is>
      </c>
      <c r="D444" s="6" t="n">
        <v>46252</v>
      </c>
      <c r="E444" t="inlineStr">
        <is>
          <t>CR</t>
        </is>
      </c>
      <c r="F444" t="inlineStr">
        <is>
          <t>MXN</t>
        </is>
      </c>
      <c r="G444" s="7" t="n">
        <v>6218731.692</v>
      </c>
      <c r="H444" t="inlineStr">
        <is>
          <t>GBP</t>
        </is>
      </c>
      <c r="I444" s="7" t="n">
        <v>266161.716</v>
      </c>
      <c r="J444" s="8" t="n">
        <v>46252.50333333333</v>
      </c>
      <c r="K444" t="inlineStr">
        <is>
          <t>CF260818 00438</t>
        </is>
      </c>
      <c r="L444" t="inlineStr">
        <is>
          <t>GL.NOSTRO.MXN.BRMD.007</t>
        </is>
      </c>
      <c r="M444" t="inlineStr">
        <is>
          <t>Wrenfield Settlement Bank</t>
        </is>
      </c>
      <c r="N444" t="inlineStr">
        <is>
          <t>BRMDTRSY</t>
        </is>
      </c>
      <c r="O444" t="inlineStr">
        <is>
          <t>NEW</t>
        </is>
      </c>
      <c r="Q444" t="inlineStr">
        <is>
          <t>NETTER</t>
        </is>
      </c>
    </row>
    <row r="445">
      <c r="A445" t="inlineStr">
        <is>
          <t>468341071172</t>
        </is>
      </c>
      <c r="B445" t="inlineStr">
        <is>
          <t>TCC</t>
        </is>
      </c>
      <c r="C445" t="inlineStr">
        <is>
          <t>BRCC</t>
        </is>
      </c>
      <c r="D445" s="6" t="n">
        <v>46252</v>
      </c>
      <c r="E445" t="inlineStr">
        <is>
          <t>CR</t>
        </is>
      </c>
      <c r="F445" t="inlineStr">
        <is>
          <t>EUR</t>
        </is>
      </c>
      <c r="G445" s="7" t="n">
        <v>376675628.768</v>
      </c>
      <c r="H445" t="inlineStr">
        <is>
          <t>GBP</t>
        </is>
      </c>
      <c r="I445" s="7" t="n">
        <v>323187689.483</v>
      </c>
      <c r="J445" s="8" t="n">
        <v>46252.81422453704</v>
      </c>
      <c r="K445" t="inlineStr">
        <is>
          <t>CF260818 00439</t>
        </is>
      </c>
      <c r="L445" t="inlineStr">
        <is>
          <t>GL.NOSTRO.EUR.BRCC.006</t>
        </is>
      </c>
      <c r="M445" t="inlineStr">
        <is>
          <t>Yarrow Bank</t>
        </is>
      </c>
      <c r="N445" t="inlineStr">
        <is>
          <t>BRCCTRSY</t>
        </is>
      </c>
      <c r="O445" t="inlineStr">
        <is>
          <t>CANCEL</t>
        </is>
      </c>
      <c r="Q445" t="inlineStr">
        <is>
          <t>GROSS</t>
        </is>
      </c>
    </row>
    <row r="446">
      <c r="A446" t="inlineStr">
        <is>
          <t>132544340094</t>
        </is>
      </c>
      <c r="B446" t="inlineStr">
        <is>
          <t>TCC</t>
        </is>
      </c>
      <c r="C446" t="inlineStr">
        <is>
          <t>BRYG</t>
        </is>
      </c>
      <c r="D446" s="6" t="n">
        <v>46252</v>
      </c>
      <c r="E446" t="inlineStr">
        <is>
          <t>CR</t>
        </is>
      </c>
      <c r="F446" t="inlineStr">
        <is>
          <t>CZK</t>
        </is>
      </c>
      <c r="G446" s="7" t="n">
        <v>1932577104.583</v>
      </c>
      <c r="H446" t="inlineStr">
        <is>
          <t>GBP</t>
        </is>
      </c>
      <c r="I446" s="7" t="n">
        <v>65514363.845</v>
      </c>
      <c r="J446" s="8" t="n">
        <v>46252.32466435185</v>
      </c>
      <c r="K446" t="inlineStr">
        <is>
          <t>CF260818 00440</t>
        </is>
      </c>
      <c r="L446" t="inlineStr">
        <is>
          <t>GL.NOSTRO.CZK.BRYG.002</t>
        </is>
      </c>
      <c r="M446" t="inlineStr">
        <is>
          <t>Elmwood Settlement Bank</t>
        </is>
      </c>
      <c r="N446" t="inlineStr">
        <is>
          <t>BRYGCASH</t>
        </is>
      </c>
      <c r="O446" t="inlineStr">
        <is>
          <t>NEW</t>
        </is>
      </c>
      <c r="Q446" t="inlineStr">
        <is>
          <t>GROSS</t>
        </is>
      </c>
    </row>
    <row r="447">
      <c r="A447" t="inlineStr">
        <is>
          <t>700726936098</t>
        </is>
      </c>
      <c r="B447" t="inlineStr">
        <is>
          <t>TCG</t>
        </is>
      </c>
      <c r="C447" t="inlineStr">
        <is>
          <t>BRMD</t>
        </is>
      </c>
      <c r="D447" s="6" t="n">
        <v>46252</v>
      </c>
      <c r="E447" t="inlineStr">
        <is>
          <t>CR</t>
        </is>
      </c>
      <c r="F447" t="inlineStr">
        <is>
          <t>SAR</t>
        </is>
      </c>
      <c r="G447" s="7" t="n">
        <v>2139531.159</v>
      </c>
      <c r="H447" t="inlineStr">
        <is>
          <t>GBP</t>
        </is>
      </c>
      <c r="I447" s="7" t="n">
        <v>447162.012</v>
      </c>
      <c r="J447" s="8" t="n">
        <v>46252.2697800926</v>
      </c>
      <c r="K447" t="inlineStr">
        <is>
          <t>CF260818 00441</t>
        </is>
      </c>
      <c r="L447" t="inlineStr">
        <is>
          <t>GL.NOSTRO.SAR.BRMD.004</t>
        </is>
      </c>
      <c r="M447" t="inlineStr">
        <is>
          <t>Pinehurst Bank</t>
        </is>
      </c>
      <c r="N447" t="inlineStr">
        <is>
          <t>BRMD</t>
        </is>
      </c>
      <c r="O447" t="inlineStr">
        <is>
          <t>NEW</t>
        </is>
      </c>
      <c r="Q447" t="inlineStr">
        <is>
          <t>GROSS</t>
        </is>
      </c>
    </row>
    <row r="448">
      <c r="A448" t="inlineStr">
        <is>
          <t>150316825069</t>
        </is>
      </c>
      <c r="B448" t="inlineStr">
        <is>
          <t>TCQ</t>
        </is>
      </c>
      <c r="C448" t="inlineStr">
        <is>
          <t>BRGX</t>
        </is>
      </c>
      <c r="D448" s="6" t="n">
        <v>46252</v>
      </c>
      <c r="E448" t="inlineStr">
        <is>
          <t>DR</t>
        </is>
      </c>
      <c r="F448" t="inlineStr">
        <is>
          <t>GBP</t>
        </is>
      </c>
      <c r="G448" s="7" t="n">
        <v>-18282138.112</v>
      </c>
      <c r="H448" t="inlineStr">
        <is>
          <t>GBP</t>
        </is>
      </c>
      <c r="I448" s="7" t="n">
        <v>-18282138.112</v>
      </c>
      <c r="J448" s="8" t="n">
        <v>46252.62564814815</v>
      </c>
      <c r="K448" t="inlineStr">
        <is>
          <t>CF260818 00442</t>
        </is>
      </c>
      <c r="L448" t="inlineStr">
        <is>
          <t>GL.NOSTRO.GBP.BRGX.003</t>
        </is>
      </c>
      <c r="M448" t="inlineStr">
        <is>
          <t>Umberton Clearing</t>
        </is>
      </c>
      <c r="N448" t="inlineStr">
        <is>
          <t>BRGXTRSY</t>
        </is>
      </c>
      <c r="O448" t="inlineStr">
        <is>
          <t>NEW</t>
        </is>
      </c>
      <c r="P448" t="inlineStr">
        <is>
          <t>NT26081800313</t>
        </is>
      </c>
      <c r="Q448" t="inlineStr">
        <is>
          <t>INTERNAL</t>
        </is>
      </c>
    </row>
    <row r="449">
      <c r="A449" t="inlineStr">
        <is>
          <t>359365220160</t>
        </is>
      </c>
      <c r="B449" t="inlineStr">
        <is>
          <t>TCQ</t>
        </is>
      </c>
      <c r="C449" t="inlineStr">
        <is>
          <t>BRGX</t>
        </is>
      </c>
      <c r="D449" s="6" t="n">
        <v>46252</v>
      </c>
      <c r="E449" t="inlineStr">
        <is>
          <t>DR</t>
        </is>
      </c>
      <c r="F449" t="inlineStr">
        <is>
          <t>EUR</t>
        </is>
      </c>
      <c r="G449" s="7" t="n">
        <v>-206238569.366</v>
      </c>
      <c r="H449" t="inlineStr">
        <is>
          <t>GBP</t>
        </is>
      </c>
      <c r="I449" s="7" t="n">
        <v>-176952692.516</v>
      </c>
      <c r="J449" s="8" t="n">
        <v>46252.41204861111</v>
      </c>
      <c r="K449" t="inlineStr">
        <is>
          <t>CF260818 00443</t>
        </is>
      </c>
      <c r="L449" t="inlineStr">
        <is>
          <t>GL.NOSTRO.EUR.BRGX.007</t>
        </is>
      </c>
      <c r="M449" t="inlineStr">
        <is>
          <t>Redstart Trust</t>
        </is>
      </c>
      <c r="N449" t="inlineStr">
        <is>
          <t>BRGXTRSY</t>
        </is>
      </c>
      <c r="O449" t="inlineStr">
        <is>
          <t>NEW</t>
        </is>
      </c>
      <c r="P449" t="inlineStr">
        <is>
          <t>NT26081800310</t>
        </is>
      </c>
      <c r="Q449" t="inlineStr">
        <is>
          <t>GROSS</t>
        </is>
      </c>
    </row>
    <row r="450">
      <c r="A450" t="inlineStr">
        <is>
          <t>499062838623</t>
        </is>
      </c>
      <c r="B450" t="inlineStr">
        <is>
          <t>TCP</t>
        </is>
      </c>
      <c r="C450" t="inlineStr">
        <is>
          <t>BRBX</t>
        </is>
      </c>
      <c r="D450" s="6" t="n">
        <v>46252</v>
      </c>
      <c r="E450" t="inlineStr">
        <is>
          <t>DR</t>
        </is>
      </c>
      <c r="F450" t="inlineStr">
        <is>
          <t>USD</t>
        </is>
      </c>
      <c r="G450" s="7" t="n">
        <v>-5030833.386</v>
      </c>
      <c r="H450" t="inlineStr">
        <is>
          <t>GBP</t>
        </is>
      </c>
      <c r="I450" s="7" t="n">
        <v>-3944173.375</v>
      </c>
      <c r="J450" s="8" t="n">
        <v>46252.65122685185</v>
      </c>
      <c r="K450" t="inlineStr">
        <is>
          <t>CF260818 00444</t>
        </is>
      </c>
      <c r="L450" t="inlineStr">
        <is>
          <t>GL.NOSTRO.USD.BRBX.009</t>
        </is>
      </c>
      <c r="M450" t="inlineStr">
        <is>
          <t>Alder Trust</t>
        </is>
      </c>
      <c r="N450" t="inlineStr">
        <is>
          <t>BRBX</t>
        </is>
      </c>
      <c r="O450" t="inlineStr">
        <is>
          <t>NEW</t>
        </is>
      </c>
      <c r="P450" t="inlineStr">
        <is>
          <t>NT26081800282</t>
        </is>
      </c>
      <c r="Q450" t="inlineStr">
        <is>
          <t>NETTER</t>
        </is>
      </c>
    </row>
    <row r="451">
      <c r="A451" t="inlineStr">
        <is>
          <t>171857983160</t>
        </is>
      </c>
      <c r="B451" t="inlineStr">
        <is>
          <t>TCG</t>
        </is>
      </c>
      <c r="C451" t="inlineStr">
        <is>
          <t>BRBX</t>
        </is>
      </c>
      <c r="D451" s="6" t="n">
        <v>46252</v>
      </c>
      <c r="E451" t="inlineStr">
        <is>
          <t>CR</t>
        </is>
      </c>
      <c r="F451" t="inlineStr">
        <is>
          <t>AUD</t>
        </is>
      </c>
      <c r="G451" s="7" t="n">
        <v>35147.291</v>
      </c>
      <c r="H451" t="inlineStr">
        <is>
          <t>GBP</t>
        </is>
      </c>
      <c r="I451" s="7" t="n">
        <v>18030.56</v>
      </c>
      <c r="J451" s="8" t="n">
        <v>46252.42125</v>
      </c>
      <c r="K451" t="inlineStr">
        <is>
          <t>CF260818 00445</t>
        </is>
      </c>
      <c r="L451" t="inlineStr">
        <is>
          <t>GL.NOSTRO.AUD.BRBX.008</t>
        </is>
      </c>
      <c r="M451" t="inlineStr">
        <is>
          <t>Nightjar Bank</t>
        </is>
      </c>
      <c r="N451" t="inlineStr">
        <is>
          <t>BRBXTRSY</t>
        </is>
      </c>
      <c r="O451" t="inlineStr">
        <is>
          <t>NEW</t>
        </is>
      </c>
      <c r="P451" t="inlineStr">
        <is>
          <t>NT26081800305</t>
        </is>
      </c>
      <c r="Q451" t="inlineStr">
        <is>
          <t>GROSS</t>
        </is>
      </c>
    </row>
    <row r="452">
      <c r="A452" t="inlineStr">
        <is>
          <t>265771593142</t>
        </is>
      </c>
      <c r="B452" t="inlineStr">
        <is>
          <t>TCX</t>
        </is>
      </c>
      <c r="C452" t="inlineStr">
        <is>
          <t>BRYG</t>
        </is>
      </c>
      <c r="D452" s="6" t="n">
        <v>46252</v>
      </c>
      <c r="E452" t="inlineStr">
        <is>
          <t>CR</t>
        </is>
      </c>
      <c r="F452" t="inlineStr">
        <is>
          <t>EUR</t>
        </is>
      </c>
      <c r="G452" s="7" t="n">
        <v>303052.034</v>
      </c>
      <c r="H452" t="inlineStr">
        <is>
          <t>GBP</t>
        </is>
      </c>
      <c r="I452" s="7" t="n">
        <v>260018.645</v>
      </c>
      <c r="J452" s="8" t="n">
        <v>46252.4075</v>
      </c>
      <c r="K452" t="inlineStr">
        <is>
          <t>CF260818 00446</t>
        </is>
      </c>
      <c r="L452" t="inlineStr">
        <is>
          <t>GL.NOSTRO.EUR.BRYG.004</t>
        </is>
      </c>
      <c r="M452" t="inlineStr">
        <is>
          <t>Vetchling Commercial Bank</t>
        </is>
      </c>
      <c r="N452" t="inlineStr">
        <is>
          <t>BRYG</t>
        </is>
      </c>
      <c r="O452" t="inlineStr">
        <is>
          <t>NEW</t>
        </is>
      </c>
      <c r="Q452" t="inlineStr">
        <is>
          <t>GROSS</t>
        </is>
      </c>
    </row>
    <row r="453">
      <c r="A453" t="inlineStr">
        <is>
          <t>499062838623</t>
        </is>
      </c>
      <c r="B453" t="inlineStr">
        <is>
          <t>TCX</t>
        </is>
      </c>
      <c r="C453" t="inlineStr">
        <is>
          <t>BRBX</t>
        </is>
      </c>
      <c r="D453" s="6" t="n">
        <v>46252</v>
      </c>
      <c r="E453" t="inlineStr">
        <is>
          <t>CR</t>
        </is>
      </c>
      <c r="F453" t="inlineStr">
        <is>
          <t>USD</t>
        </is>
      </c>
      <c r="G453" s="7" t="n">
        <v>9027188.252</v>
      </c>
      <c r="H453" t="inlineStr">
        <is>
          <t>GBP</t>
        </is>
      </c>
      <c r="I453" s="7" t="n">
        <v>7077315.59</v>
      </c>
      <c r="J453" s="8" t="n">
        <v>46252.49974537037</v>
      </c>
      <c r="K453" t="inlineStr">
        <is>
          <t>CF260818 00447</t>
        </is>
      </c>
      <c r="L453" t="inlineStr">
        <is>
          <t>GL.NOSTRO.USD.BRBX.001</t>
        </is>
      </c>
      <c r="M453" t="inlineStr">
        <is>
          <t>Elmwood Settlement Bank</t>
        </is>
      </c>
      <c r="N453" t="inlineStr">
        <is>
          <t>BRBXTRSY</t>
        </is>
      </c>
      <c r="O453" t="inlineStr">
        <is>
          <t>NEW</t>
        </is>
      </c>
      <c r="Q453" t="inlineStr">
        <is>
          <t>GROSS</t>
        </is>
      </c>
    </row>
    <row r="454">
      <c r="A454" t="inlineStr">
        <is>
          <t>132544340094</t>
        </is>
      </c>
      <c r="B454" t="inlineStr">
        <is>
          <t>TCQ</t>
        </is>
      </c>
      <c r="C454" t="inlineStr">
        <is>
          <t>BRYG</t>
        </is>
      </c>
      <c r="D454" s="6" t="n">
        <v>46252</v>
      </c>
      <c r="E454" t="inlineStr">
        <is>
          <t>DR</t>
        </is>
      </c>
      <c r="F454" t="inlineStr">
        <is>
          <t>CZK</t>
        </is>
      </c>
      <c r="G454" s="7" t="n">
        <v>-42587190.164</v>
      </c>
      <c r="H454" t="inlineStr">
        <is>
          <t>GBP</t>
        </is>
      </c>
      <c r="I454" s="7" t="n">
        <v>-1443705.747</v>
      </c>
      <c r="J454" s="8" t="n">
        <v>46252.34319444445</v>
      </c>
      <c r="K454" t="inlineStr">
        <is>
          <t>CF260818 00448</t>
        </is>
      </c>
      <c r="L454" t="inlineStr">
        <is>
          <t>GL.NOSTRO.CZK.BRYG.004</t>
        </is>
      </c>
      <c r="M454" t="inlineStr">
        <is>
          <t>Alder Trust</t>
        </is>
      </c>
      <c r="N454" t="inlineStr">
        <is>
          <t>BRYG</t>
        </is>
      </c>
      <c r="O454" t="inlineStr">
        <is>
          <t>NEW</t>
        </is>
      </c>
      <c r="Q454" t="inlineStr">
        <is>
          <t>NETTER</t>
        </is>
      </c>
    </row>
    <row r="455">
      <c r="A455" t="inlineStr">
        <is>
          <t>898317028833</t>
        </is>
      </c>
      <c r="B455" t="inlineStr">
        <is>
          <t>TCP</t>
        </is>
      </c>
      <c r="C455" t="inlineStr">
        <is>
          <t>BRAA</t>
        </is>
      </c>
      <c r="D455" s="6" t="n">
        <v>46252</v>
      </c>
      <c r="E455" t="inlineStr">
        <is>
          <t>CR</t>
        </is>
      </c>
      <c r="F455" t="inlineStr">
        <is>
          <t>GBP</t>
        </is>
      </c>
      <c r="G455" s="7" t="n">
        <v>5400651.694</v>
      </c>
      <c r="H455" t="inlineStr">
        <is>
          <t>GBP</t>
        </is>
      </c>
      <c r="I455" s="7" t="n">
        <v>5400651.694</v>
      </c>
      <c r="J455" s="8" t="n">
        <v>46252.37851851852</v>
      </c>
      <c r="K455" t="inlineStr">
        <is>
          <t>CF260818 00449</t>
        </is>
      </c>
      <c r="L455" t="inlineStr">
        <is>
          <t>GL.NOSTRO.GBP.BRAA.005</t>
        </is>
      </c>
      <c r="M455" t="inlineStr">
        <is>
          <t>Wrenfield Commercial Bank</t>
        </is>
      </c>
      <c r="N455" t="inlineStr">
        <is>
          <t>BRAA</t>
        </is>
      </c>
      <c r="O455" t="inlineStr">
        <is>
          <t>NEW</t>
        </is>
      </c>
      <c r="P455" t="inlineStr">
        <is>
          <t>NT26081800277</t>
        </is>
      </c>
      <c r="Q455" t="inlineStr">
        <is>
          <t>NETTER</t>
        </is>
      </c>
    </row>
    <row r="456">
      <c r="A456" t="inlineStr">
        <is>
          <t>794226063698</t>
        </is>
      </c>
      <c r="B456" t="inlineStr">
        <is>
          <t>TCC</t>
        </is>
      </c>
      <c r="C456" t="inlineStr">
        <is>
          <t>BRMD</t>
        </is>
      </c>
      <c r="D456" s="6" t="n">
        <v>46252</v>
      </c>
      <c r="E456" t="inlineStr">
        <is>
          <t>DR</t>
        </is>
      </c>
      <c r="F456" t="inlineStr">
        <is>
          <t>AED</t>
        </is>
      </c>
      <c r="G456" s="7" t="n">
        <v>-54458520.783</v>
      </c>
      <c r="H456" t="inlineStr">
        <is>
          <t>GBP</t>
        </is>
      </c>
      <c r="I456" s="7" t="n">
        <v>-11599664.927</v>
      </c>
      <c r="J456" s="8" t="n">
        <v>46252.50140046296</v>
      </c>
      <c r="K456" t="inlineStr">
        <is>
          <t>CF260818 00450</t>
        </is>
      </c>
      <c r="L456" t="inlineStr">
        <is>
          <t>GL.NOSTRO.AED.BRMD.004</t>
        </is>
      </c>
      <c r="M456" t="inlineStr">
        <is>
          <t>Zephyr Commercial Bank</t>
        </is>
      </c>
      <c r="N456" t="inlineStr">
        <is>
          <t>BRMD</t>
        </is>
      </c>
      <c r="O456" t="inlineStr">
        <is>
          <t>NEW</t>
        </is>
      </c>
      <c r="P456" t="inlineStr">
        <is>
          <t>NT26081800308</t>
        </is>
      </c>
      <c r="Q456" t="inlineStr">
        <is>
          <t>GROSS</t>
        </is>
      </c>
    </row>
    <row r="457">
      <c r="A457" t="inlineStr">
        <is>
          <t>968942362772</t>
        </is>
      </c>
      <c r="B457" t="inlineStr">
        <is>
          <t>TCC</t>
        </is>
      </c>
      <c r="C457" t="inlineStr">
        <is>
          <t>BRYG</t>
        </is>
      </c>
      <c r="D457" s="6" t="n">
        <v>46252</v>
      </c>
      <c r="E457" t="inlineStr">
        <is>
          <t>DR</t>
        </is>
      </c>
      <c r="F457" t="inlineStr">
        <is>
          <t>EUR</t>
        </is>
      </c>
      <c r="G457" s="7" t="n">
        <v>-10018374.956</v>
      </c>
      <c r="H457" t="inlineStr">
        <is>
          <t>GBP</t>
        </is>
      </c>
      <c r="I457" s="7" t="n">
        <v>-8595765.711999999</v>
      </c>
      <c r="J457" s="8" t="n">
        <v>46252.47010416666</v>
      </c>
      <c r="K457" t="inlineStr">
        <is>
          <t>CF260818 00451</t>
        </is>
      </c>
      <c r="L457" t="inlineStr">
        <is>
          <t>GL.NOSTRO.EUR.BRYG.006</t>
        </is>
      </c>
      <c r="M457" t="inlineStr">
        <is>
          <t>Mallow Commercial Bank</t>
        </is>
      </c>
      <c r="N457" t="inlineStr">
        <is>
          <t>BRYGMM</t>
        </is>
      </c>
      <c r="O457" t="inlineStr">
        <is>
          <t>AMEND</t>
        </is>
      </c>
      <c r="P457" t="inlineStr">
        <is>
          <t>NT26081800295</t>
        </is>
      </c>
      <c r="Q457" t="inlineStr">
        <is>
          <t>NETTER</t>
        </is>
      </c>
    </row>
    <row r="458">
      <c r="A458" t="inlineStr">
        <is>
          <t>468341071172</t>
        </is>
      </c>
      <c r="B458" t="inlineStr">
        <is>
          <t>TCG</t>
        </is>
      </c>
      <c r="C458" t="inlineStr">
        <is>
          <t>BRCC</t>
        </is>
      </c>
      <c r="D458" s="6" t="n">
        <v>46252</v>
      </c>
      <c r="E458" t="inlineStr">
        <is>
          <t>DR</t>
        </is>
      </c>
      <c r="F458" t="inlineStr">
        <is>
          <t>EUR</t>
        </is>
      </c>
      <c r="G458" s="7" t="n">
        <v>-31993282.68</v>
      </c>
      <c r="H458" t="inlineStr">
        <is>
          <t>GBP</t>
        </is>
      </c>
      <c r="I458" s="7" t="n">
        <v>-27450236.539</v>
      </c>
      <c r="J458" s="8" t="n">
        <v>46252.47899305556</v>
      </c>
      <c r="K458" t="inlineStr">
        <is>
          <t>CF260818 00452</t>
        </is>
      </c>
      <c r="L458" t="inlineStr">
        <is>
          <t>GL.NOSTRO.EUR.BRCC.005</t>
        </is>
      </c>
      <c r="M458" t="inlineStr">
        <is>
          <t>Vetchling Commercial Bank</t>
        </is>
      </c>
      <c r="N458" t="inlineStr">
        <is>
          <t>BRCCCASH</t>
        </is>
      </c>
      <c r="O458" t="inlineStr">
        <is>
          <t>NEW</t>
        </is>
      </c>
      <c r="P458" t="inlineStr">
        <is>
          <t>NT26081800297</t>
        </is>
      </c>
      <c r="Q458" t="inlineStr">
        <is>
          <t>GROSS</t>
        </is>
      </c>
    </row>
    <row r="459">
      <c r="A459" t="inlineStr">
        <is>
          <t>150316825069</t>
        </is>
      </c>
      <c r="B459" t="inlineStr">
        <is>
          <t>TCP</t>
        </is>
      </c>
      <c r="C459" t="inlineStr">
        <is>
          <t>BRGX</t>
        </is>
      </c>
      <c r="D459" s="6" t="n">
        <v>46252</v>
      </c>
      <c r="E459" t="inlineStr">
        <is>
          <t>DR</t>
        </is>
      </c>
      <c r="F459" t="inlineStr">
        <is>
          <t>GBP</t>
        </is>
      </c>
      <c r="G459" s="7" t="n">
        <v>-16007977.195</v>
      </c>
      <c r="H459" t="inlineStr">
        <is>
          <t>GBP</t>
        </is>
      </c>
      <c r="I459" s="7" t="n">
        <v>-16007977.195</v>
      </c>
      <c r="J459" s="8" t="n">
        <v>46252.61520833334</v>
      </c>
      <c r="K459" t="inlineStr">
        <is>
          <t>CF260818 00453</t>
        </is>
      </c>
      <c r="L459" t="inlineStr">
        <is>
          <t>GL.NOSTRO.GBP.BRGX.001</t>
        </is>
      </c>
      <c r="M459" t="inlineStr">
        <is>
          <t>Pinehurst Settlement Bank</t>
        </is>
      </c>
      <c r="N459" t="inlineStr">
        <is>
          <t>BRGXMM</t>
        </is>
      </c>
      <c r="O459" t="inlineStr">
        <is>
          <t>NEW</t>
        </is>
      </c>
      <c r="Q459" t="inlineStr">
        <is>
          <t>NETTER</t>
        </is>
      </c>
    </row>
    <row r="460">
      <c r="A460" t="inlineStr">
        <is>
          <t>910703979141</t>
        </is>
      </c>
      <c r="B460" t="inlineStr">
        <is>
          <t>TCG</t>
        </is>
      </c>
      <c r="C460" t="inlineStr">
        <is>
          <t>BRCC</t>
        </is>
      </c>
      <c r="D460" s="6" t="n">
        <v>46252</v>
      </c>
      <c r="E460" t="inlineStr">
        <is>
          <t>DR</t>
        </is>
      </c>
      <c r="F460" t="inlineStr">
        <is>
          <t>CHF</t>
        </is>
      </c>
      <c r="G460" s="7" t="n">
        <v>-4488942.702</v>
      </c>
      <c r="H460" t="inlineStr">
        <is>
          <t>GBP</t>
        </is>
      </c>
      <c r="I460" s="7" t="n">
        <v>-4026581.604</v>
      </c>
      <c r="J460" s="8" t="n">
        <v>46252.41640046296</v>
      </c>
      <c r="K460" t="inlineStr">
        <is>
          <t>CF260818 00454</t>
        </is>
      </c>
      <c r="L460" t="inlineStr">
        <is>
          <t>GL.NOSTRO.CHF.BRCC.002</t>
        </is>
      </c>
      <c r="M460" t="inlineStr">
        <is>
          <t>Sablewood Settlement Bank</t>
        </is>
      </c>
      <c r="N460" t="inlineStr">
        <is>
          <t>BRCCMM</t>
        </is>
      </c>
      <c r="O460" t="inlineStr">
        <is>
          <t>NEW</t>
        </is>
      </c>
      <c r="P460" t="inlineStr">
        <is>
          <t>NT26081800283</t>
        </is>
      </c>
      <c r="Q460" t="inlineStr">
        <is>
          <t>NETTER</t>
        </is>
      </c>
    </row>
    <row r="461">
      <c r="A461" t="inlineStr">
        <is>
          <t>953625291146</t>
        </is>
      </c>
      <c r="B461" t="inlineStr">
        <is>
          <t>TCG</t>
        </is>
      </c>
      <c r="C461" t="inlineStr">
        <is>
          <t>BRGL</t>
        </is>
      </c>
      <c r="D461" s="6" t="n">
        <v>46252</v>
      </c>
      <c r="E461" t="inlineStr">
        <is>
          <t>DR</t>
        </is>
      </c>
      <c r="F461" t="inlineStr">
        <is>
          <t>USD</t>
        </is>
      </c>
      <c r="G461" s="7" t="n">
        <v>-2508467.734</v>
      </c>
      <c r="H461" t="inlineStr">
        <is>
          <t>GBP</t>
        </is>
      </c>
      <c r="I461" s="7" t="n">
        <v>-1966638.703</v>
      </c>
      <c r="J461" s="8" t="n">
        <v>46252.63078703704</v>
      </c>
      <c r="K461" t="inlineStr">
        <is>
          <t>CF260818 00455</t>
        </is>
      </c>
      <c r="L461" t="inlineStr">
        <is>
          <t>GL.NOSTRO.USD.BRGL.004</t>
        </is>
      </c>
      <c r="M461" t="inlineStr">
        <is>
          <t>Zephyr Commercial Bank</t>
        </is>
      </c>
      <c r="N461" t="inlineStr">
        <is>
          <t>BRGLMM</t>
        </is>
      </c>
      <c r="O461" t="inlineStr">
        <is>
          <t>NEW</t>
        </is>
      </c>
      <c r="Q461" t="inlineStr">
        <is>
          <t>GROSS</t>
        </is>
      </c>
    </row>
    <row r="462">
      <c r="A462" t="inlineStr">
        <is>
          <t>898317028833</t>
        </is>
      </c>
      <c r="B462" t="inlineStr">
        <is>
          <t>TCQ</t>
        </is>
      </c>
      <c r="C462" t="inlineStr">
        <is>
          <t>BRAA</t>
        </is>
      </c>
      <c r="D462" s="6" t="n">
        <v>46252</v>
      </c>
      <c r="E462" t="inlineStr">
        <is>
          <t>CR</t>
        </is>
      </c>
      <c r="F462" t="inlineStr">
        <is>
          <t>GBP</t>
        </is>
      </c>
      <c r="G462" s="7" t="n">
        <v>383969915.16</v>
      </c>
      <c r="H462" t="inlineStr">
        <is>
          <t>GBP</t>
        </is>
      </c>
      <c r="I462" s="7" t="n">
        <v>383969915.16</v>
      </c>
      <c r="J462" s="8" t="n">
        <v>46252.61409722222</v>
      </c>
      <c r="K462" t="inlineStr">
        <is>
          <t>CF260818 00456</t>
        </is>
      </c>
      <c r="L462" t="inlineStr">
        <is>
          <t>GL.NOSTRO.GBP.BRAA.005</t>
        </is>
      </c>
      <c r="M462" t="inlineStr">
        <is>
          <t>Alder Clearing</t>
        </is>
      </c>
      <c r="N462" t="inlineStr">
        <is>
          <t>BRAACASH</t>
        </is>
      </c>
      <c r="O462" t="inlineStr">
        <is>
          <t>NEW</t>
        </is>
      </c>
      <c r="P462" t="inlineStr">
        <is>
          <t>NT26081800310</t>
        </is>
      </c>
      <c r="Q462" t="inlineStr">
        <is>
          <t>NETTER</t>
        </is>
      </c>
    </row>
    <row r="463">
      <c r="A463" t="inlineStr">
        <is>
          <t>499062838623</t>
        </is>
      </c>
      <c r="B463" t="inlineStr">
        <is>
          <t>TCC</t>
        </is>
      </c>
      <c r="C463" t="inlineStr">
        <is>
          <t>BRBX</t>
        </is>
      </c>
      <c r="D463" s="6" t="n">
        <v>46252</v>
      </c>
      <c r="E463" t="inlineStr">
        <is>
          <t>DR</t>
        </is>
      </c>
      <c r="F463" t="inlineStr">
        <is>
          <t>USD</t>
        </is>
      </c>
      <c r="G463" s="7" t="n">
        <v>-65474746.433</v>
      </c>
      <c r="H463" t="inlineStr">
        <is>
          <t>GBP</t>
        </is>
      </c>
      <c r="I463" s="7" t="n">
        <v>-51332201.203</v>
      </c>
      <c r="J463" s="8" t="n">
        <v>46252.43278935185</v>
      </c>
      <c r="K463" t="inlineStr">
        <is>
          <t>CF260818 00457</t>
        </is>
      </c>
      <c r="L463" t="inlineStr">
        <is>
          <t>GL.NOSTRO.USD.BRBX.004</t>
        </is>
      </c>
      <c r="M463" t="inlineStr">
        <is>
          <t>Fernway Settlement Bank</t>
        </is>
      </c>
      <c r="N463" t="inlineStr">
        <is>
          <t>BRBXCASH</t>
        </is>
      </c>
      <c r="O463" t="inlineStr">
        <is>
          <t>NEW</t>
        </is>
      </c>
      <c r="P463" t="inlineStr">
        <is>
          <t>NT26081800295</t>
        </is>
      </c>
      <c r="Q463" t="inlineStr">
        <is>
          <t>NETTER</t>
        </is>
      </c>
    </row>
    <row r="464">
      <c r="A464" t="inlineStr">
        <is>
          <t>794226063698</t>
        </is>
      </c>
      <c r="B464" t="inlineStr">
        <is>
          <t>TCG</t>
        </is>
      </c>
      <c r="C464" t="inlineStr">
        <is>
          <t>BRMD</t>
        </is>
      </c>
      <c r="D464" s="6" t="n">
        <v>46252</v>
      </c>
      <c r="E464" t="inlineStr">
        <is>
          <t>CR</t>
        </is>
      </c>
      <c r="F464" t="inlineStr">
        <is>
          <t>AED</t>
        </is>
      </c>
      <c r="G464" s="7" t="n">
        <v>37580474.902</v>
      </c>
      <c r="H464" t="inlineStr">
        <is>
          <t>GBP</t>
        </is>
      </c>
      <c r="I464" s="7" t="n">
        <v>8004641.154</v>
      </c>
      <c r="J464" s="8" t="n">
        <v>46252.4721875</v>
      </c>
      <c r="K464" t="inlineStr">
        <is>
          <t>CF260818 00458</t>
        </is>
      </c>
      <c r="L464" t="inlineStr">
        <is>
          <t>GL.NOSTRO.AED.BRMD.007</t>
        </is>
      </c>
      <c r="M464" t="inlineStr">
        <is>
          <t>Vetchling Settlement Bank</t>
        </is>
      </c>
      <c r="N464" t="inlineStr">
        <is>
          <t>BRMDTRSY</t>
        </is>
      </c>
      <c r="O464" t="inlineStr">
        <is>
          <t>NEW</t>
        </is>
      </c>
      <c r="Q464" t="inlineStr">
        <is>
          <t>NETTER</t>
        </is>
      </c>
    </row>
    <row r="465">
      <c r="A465" t="inlineStr">
        <is>
          <t>794226063698</t>
        </is>
      </c>
      <c r="B465" t="inlineStr">
        <is>
          <t>TCG</t>
        </is>
      </c>
      <c r="C465" t="inlineStr">
        <is>
          <t>BRMD</t>
        </is>
      </c>
      <c r="D465" s="6" t="n">
        <v>46252</v>
      </c>
      <c r="E465" t="inlineStr">
        <is>
          <t>CR</t>
        </is>
      </c>
      <c r="F465" t="inlineStr">
        <is>
          <t>AED</t>
        </is>
      </c>
      <c r="G465" s="7" t="n">
        <v>926201861.8279999</v>
      </c>
      <c r="H465" t="inlineStr">
        <is>
          <t>GBP</t>
        </is>
      </c>
      <c r="I465" s="7" t="n">
        <v>197280996.569</v>
      </c>
      <c r="J465" s="8" t="n">
        <v>46252.3602662037</v>
      </c>
      <c r="K465" t="inlineStr">
        <is>
          <t>CF260818 00459</t>
        </is>
      </c>
      <c r="L465" t="inlineStr">
        <is>
          <t>GL.NOSTRO.AED.BRMD.002</t>
        </is>
      </c>
      <c r="M465" t="inlineStr">
        <is>
          <t>Oriel Trust</t>
        </is>
      </c>
      <c r="N465" t="inlineStr">
        <is>
          <t>BRMDCASH</t>
        </is>
      </c>
      <c r="O465" t="inlineStr">
        <is>
          <t>NEW</t>
        </is>
      </c>
      <c r="P465" t="inlineStr">
        <is>
          <t>NT26081800308</t>
        </is>
      </c>
      <c r="Q465" t="inlineStr">
        <is>
          <t>NETTER</t>
        </is>
      </c>
    </row>
    <row r="466">
      <c r="A466" t="inlineStr">
        <is>
          <t>700726936098</t>
        </is>
      </c>
      <c r="B466" t="inlineStr">
        <is>
          <t>TCX</t>
        </is>
      </c>
      <c r="C466" t="inlineStr">
        <is>
          <t>BRMD</t>
        </is>
      </c>
      <c r="D466" s="6" t="n">
        <v>46252</v>
      </c>
      <c r="E466" t="inlineStr">
        <is>
          <t>DR</t>
        </is>
      </c>
      <c r="F466" t="inlineStr">
        <is>
          <t>SAR</t>
        </is>
      </c>
      <c r="G466" s="7" t="n">
        <v>-109603.598</v>
      </c>
      <c r="H466" t="inlineStr">
        <is>
          <t>GBP</t>
        </is>
      </c>
      <c r="I466" s="7" t="n">
        <v>-22907.152</v>
      </c>
      <c r="J466" s="8" t="n">
        <v>46252.34670138889</v>
      </c>
      <c r="K466" t="inlineStr">
        <is>
          <t>CF260818 00460</t>
        </is>
      </c>
      <c r="L466" t="inlineStr">
        <is>
          <t>GL.NOSTRO.SAR.BRMD.003</t>
        </is>
      </c>
      <c r="M466" t="inlineStr">
        <is>
          <t>Yarrow Bank</t>
        </is>
      </c>
      <c r="N466" t="inlineStr">
        <is>
          <t>BRMDTRSY</t>
        </is>
      </c>
      <c r="O466" t="inlineStr">
        <is>
          <t>NEW</t>
        </is>
      </c>
      <c r="Q466" t="inlineStr">
        <is>
          <t>NETTER</t>
        </is>
      </c>
    </row>
    <row r="467">
      <c r="A467" t="inlineStr">
        <is>
          <t>621381112674</t>
        </is>
      </c>
      <c r="B467" t="inlineStr">
        <is>
          <t>TCP</t>
        </is>
      </c>
      <c r="C467" t="inlineStr">
        <is>
          <t>BRAA</t>
        </is>
      </c>
      <c r="D467" s="6" t="n">
        <v>46252</v>
      </c>
      <c r="E467" t="inlineStr">
        <is>
          <t>DR</t>
        </is>
      </c>
      <c r="F467" t="inlineStr">
        <is>
          <t>PLN</t>
        </is>
      </c>
      <c r="G467" s="7" t="n">
        <v>-1675817.17</v>
      </c>
      <c r="H467" t="inlineStr">
        <is>
          <t>GBP</t>
        </is>
      </c>
      <c r="I467" s="7" t="n">
        <v>-331811.8</v>
      </c>
      <c r="J467" s="8" t="n">
        <v>46252.66947916667</v>
      </c>
      <c r="K467" t="inlineStr">
        <is>
          <t>CF260818 00461</t>
        </is>
      </c>
      <c r="L467" t="inlineStr">
        <is>
          <t>GL.NOSTRO.PLN.BRAA.004</t>
        </is>
      </c>
      <c r="M467" t="inlineStr">
        <is>
          <t>Pinehurst Clearing</t>
        </is>
      </c>
      <c r="N467" t="inlineStr">
        <is>
          <t>BRAACASH</t>
        </is>
      </c>
      <c r="O467" t="inlineStr">
        <is>
          <t>NEW</t>
        </is>
      </c>
      <c r="P467" t="inlineStr">
        <is>
          <t>NT26081800300</t>
        </is>
      </c>
      <c r="Q467" t="inlineStr">
        <is>
          <t>GROSS</t>
        </is>
      </c>
    </row>
    <row r="468">
      <c r="A468" t="inlineStr">
        <is>
          <t>468341071172</t>
        </is>
      </c>
      <c r="B468" t="inlineStr">
        <is>
          <t>TCC</t>
        </is>
      </c>
      <c r="C468" t="inlineStr">
        <is>
          <t>BRCC</t>
        </is>
      </c>
      <c r="D468" s="6" t="n">
        <v>46252</v>
      </c>
      <c r="E468" t="inlineStr">
        <is>
          <t>DR</t>
        </is>
      </c>
      <c r="F468" t="inlineStr">
        <is>
          <t>EUR</t>
        </is>
      </c>
      <c r="G468" s="7" t="n">
        <v>-29320850.277</v>
      </c>
      <c r="H468" t="inlineStr">
        <is>
          <t>GBP</t>
        </is>
      </c>
      <c r="I468" s="7" t="n">
        <v>-25157289.538</v>
      </c>
      <c r="J468" s="8" t="n">
        <v>46252.30543981482</v>
      </c>
      <c r="K468" t="inlineStr">
        <is>
          <t>CF260818 00462</t>
        </is>
      </c>
      <c r="L468" t="inlineStr">
        <is>
          <t>GL.NOSTRO.EUR.BRCC.002</t>
        </is>
      </c>
      <c r="M468" t="inlineStr">
        <is>
          <t>Mallow Clearing</t>
        </is>
      </c>
      <c r="N468" t="inlineStr">
        <is>
          <t>BRCCTRSY</t>
        </is>
      </c>
      <c r="O468" t="inlineStr">
        <is>
          <t>AMEND</t>
        </is>
      </c>
      <c r="Q468" t="inlineStr">
        <is>
          <t>NETTER</t>
        </is>
      </c>
    </row>
    <row r="469">
      <c r="A469" t="inlineStr">
        <is>
          <t>150316825069</t>
        </is>
      </c>
      <c r="B469" t="inlineStr">
        <is>
          <t>TCX</t>
        </is>
      </c>
      <c r="C469" t="inlineStr">
        <is>
          <t>BRGX</t>
        </is>
      </c>
      <c r="D469" s="6" t="n">
        <v>46252</v>
      </c>
      <c r="E469" t="inlineStr">
        <is>
          <t>DR</t>
        </is>
      </c>
      <c r="F469" t="inlineStr">
        <is>
          <t>GBP</t>
        </is>
      </c>
      <c r="G469" s="7" t="n">
        <v>-158665.405</v>
      </c>
      <c r="H469" t="inlineStr">
        <is>
          <t>GBP</t>
        </is>
      </c>
      <c r="I469" s="7" t="n">
        <v>-158665.405</v>
      </c>
      <c r="J469" s="8" t="n">
        <v>46252.34978009259</v>
      </c>
      <c r="K469" t="inlineStr">
        <is>
          <t>CF260818 00463</t>
        </is>
      </c>
      <c r="L469" t="inlineStr">
        <is>
          <t>GL.NOSTRO.GBP.BRGX.002</t>
        </is>
      </c>
      <c r="M469" t="inlineStr">
        <is>
          <t>Elmwood Trust</t>
        </is>
      </c>
      <c r="N469" t="inlineStr">
        <is>
          <t>BRGXTRSY</t>
        </is>
      </c>
      <c r="O469" t="inlineStr">
        <is>
          <t>NEW</t>
        </is>
      </c>
      <c r="P469" t="inlineStr">
        <is>
          <t>NT26081800299</t>
        </is>
      </c>
      <c r="Q469" t="inlineStr">
        <is>
          <t>NETTER</t>
        </is>
      </c>
    </row>
    <row r="470">
      <c r="A470" t="inlineStr">
        <is>
          <t>910703979141</t>
        </is>
      </c>
      <c r="B470" t="inlineStr">
        <is>
          <t>TCC</t>
        </is>
      </c>
      <c r="C470" t="inlineStr">
        <is>
          <t>BRCC</t>
        </is>
      </c>
      <c r="D470" s="6" t="n">
        <v>46252</v>
      </c>
      <c r="E470" t="inlineStr">
        <is>
          <t>CR</t>
        </is>
      </c>
      <c r="F470" t="inlineStr">
        <is>
          <t>CHF</t>
        </is>
      </c>
      <c r="G470" s="7" t="n">
        <v>453593816.415</v>
      </c>
      <c r="H470" t="inlineStr">
        <is>
          <t>GBP</t>
        </is>
      </c>
      <c r="I470" s="7" t="n">
        <v>406873653.324</v>
      </c>
      <c r="J470" s="8" t="n">
        <v>46252.63159722222</v>
      </c>
      <c r="K470" t="inlineStr">
        <is>
          <t>CF260818 00464</t>
        </is>
      </c>
      <c r="L470" t="inlineStr">
        <is>
          <t>GL.NOSTRO.CHF.BRCC.007</t>
        </is>
      </c>
      <c r="M470" t="inlineStr">
        <is>
          <t>Larkspur Clearing</t>
        </is>
      </c>
      <c r="N470" t="inlineStr">
        <is>
          <t>BRCCMM</t>
        </is>
      </c>
      <c r="O470" t="inlineStr">
        <is>
          <t>NEW</t>
        </is>
      </c>
      <c r="P470" t="inlineStr">
        <is>
          <t>NT26081800278</t>
        </is>
      </c>
      <c r="Q470" t="inlineStr">
        <is>
          <t>GROSS</t>
        </is>
      </c>
    </row>
    <row r="471">
      <c r="A471" t="inlineStr">
        <is>
          <t>910703979141</t>
        </is>
      </c>
      <c r="B471" t="inlineStr">
        <is>
          <t>TCC</t>
        </is>
      </c>
      <c r="C471" t="inlineStr">
        <is>
          <t>BRCC</t>
        </is>
      </c>
      <c r="D471" s="6" t="n">
        <v>46252</v>
      </c>
      <c r="E471" t="inlineStr">
        <is>
          <t>CR</t>
        </is>
      </c>
      <c r="F471" t="inlineStr">
        <is>
          <t>CHF</t>
        </is>
      </c>
      <c r="G471" s="7" t="n">
        <v>24022378.207</v>
      </c>
      <c r="H471" t="inlineStr">
        <is>
          <t>GBP</t>
        </is>
      </c>
      <c r="I471" s="7" t="n">
        <v>21548073.252</v>
      </c>
      <c r="J471" s="8" t="n">
        <v>46252.3700462963</v>
      </c>
      <c r="K471" t="inlineStr">
        <is>
          <t>CF260818 00465</t>
        </is>
      </c>
      <c r="L471" t="inlineStr">
        <is>
          <t>GL.NOSTRO.CHF.BRCC.008</t>
        </is>
      </c>
      <c r="M471" t="inlineStr">
        <is>
          <t>Thornbury Bank</t>
        </is>
      </c>
      <c r="N471" t="inlineStr">
        <is>
          <t>BRCC</t>
        </is>
      </c>
      <c r="O471" t="inlineStr">
        <is>
          <t>NEW</t>
        </is>
      </c>
      <c r="Q471" t="inlineStr">
        <is>
          <t>GROSS</t>
        </is>
      </c>
    </row>
    <row r="472">
      <c r="A472" t="inlineStr">
        <is>
          <t>794226063698</t>
        </is>
      </c>
      <c r="B472" t="inlineStr">
        <is>
          <t>TCP</t>
        </is>
      </c>
      <c r="C472" t="inlineStr">
        <is>
          <t>BRMD</t>
        </is>
      </c>
      <c r="D472" s="6" t="n">
        <v>46252</v>
      </c>
      <c r="E472" t="inlineStr">
        <is>
          <t>DR</t>
        </is>
      </c>
      <c r="F472" t="inlineStr">
        <is>
          <t>AED</t>
        </is>
      </c>
      <c r="G472" s="7" t="n">
        <v>-115863607.129</v>
      </c>
      <c r="H472" t="inlineStr">
        <is>
          <t>GBP</t>
        </is>
      </c>
      <c r="I472" s="7" t="n">
        <v>-24678948.318</v>
      </c>
      <c r="J472" s="8" t="n">
        <v>46252.46538194444</v>
      </c>
      <c r="K472" t="inlineStr">
        <is>
          <t>CF260818 00466</t>
        </is>
      </c>
      <c r="L472" t="inlineStr">
        <is>
          <t>GL.NOSTRO.AED.BRMD.009</t>
        </is>
      </c>
      <c r="M472" t="inlineStr">
        <is>
          <t>Umberton Clearing</t>
        </is>
      </c>
      <c r="N472" t="inlineStr">
        <is>
          <t>BRMDTRSY</t>
        </is>
      </c>
      <c r="O472" t="inlineStr">
        <is>
          <t>NEW</t>
        </is>
      </c>
      <c r="Q472" t="inlineStr">
        <is>
          <t>GROSS</t>
        </is>
      </c>
    </row>
    <row r="473">
      <c r="A473" t="inlineStr">
        <is>
          <t>968942362772</t>
        </is>
      </c>
      <c r="B473" t="inlineStr">
        <is>
          <t>TCC</t>
        </is>
      </c>
      <c r="C473" t="inlineStr">
        <is>
          <t>BRYG</t>
        </is>
      </c>
      <c r="D473" s="6" t="n">
        <v>46252</v>
      </c>
      <c r="E473" t="inlineStr">
        <is>
          <t>DR</t>
        </is>
      </c>
      <c r="F473" t="inlineStr">
        <is>
          <t>EUR</t>
        </is>
      </c>
      <c r="G473" s="7" t="n">
        <v>-12567200.574</v>
      </c>
      <c r="H473" t="inlineStr">
        <is>
          <t>GBP</t>
        </is>
      </c>
      <c r="I473" s="7" t="n">
        <v>-10782658.092</v>
      </c>
      <c r="J473" s="8" t="n">
        <v>46252.55376157408</v>
      </c>
      <c r="K473" t="inlineStr">
        <is>
          <t>CF260818 00467</t>
        </is>
      </c>
      <c r="L473" t="inlineStr">
        <is>
          <t>GL.NOSTRO.EUR.BRYG.009</t>
        </is>
      </c>
      <c r="M473" t="inlineStr">
        <is>
          <t>Mallow Trust</t>
        </is>
      </c>
      <c r="N473" t="inlineStr">
        <is>
          <t>BRYGCASH</t>
        </is>
      </c>
      <c r="O473" t="inlineStr">
        <is>
          <t>NEW</t>
        </is>
      </c>
      <c r="P473" t="inlineStr">
        <is>
          <t>NT26081800284</t>
        </is>
      </c>
      <c r="Q473" t="inlineStr">
        <is>
          <t>NETTER</t>
        </is>
      </c>
    </row>
    <row r="474">
      <c r="A474" t="inlineStr">
        <is>
          <t>794226063698</t>
        </is>
      </c>
      <c r="B474" t="inlineStr">
        <is>
          <t>TCP</t>
        </is>
      </c>
      <c r="C474" t="inlineStr">
        <is>
          <t>BRMD</t>
        </is>
      </c>
      <c r="D474" s="6" t="n">
        <v>46252</v>
      </c>
      <c r="E474" t="inlineStr">
        <is>
          <t>DR</t>
        </is>
      </c>
      <c r="F474" t="inlineStr">
        <is>
          <t>AED</t>
        </is>
      </c>
      <c r="G474" s="7" t="n">
        <v>-1612607.798</v>
      </c>
      <c r="H474" t="inlineStr">
        <is>
          <t>GBP</t>
        </is>
      </c>
      <c r="I474" s="7" t="n">
        <v>-343485.461</v>
      </c>
      <c r="J474" s="8" t="n">
        <v>46252.66768518519</v>
      </c>
      <c r="K474" t="inlineStr">
        <is>
          <t>CF260818 00468</t>
        </is>
      </c>
      <c r="L474" t="inlineStr">
        <is>
          <t>GL.NOSTRO.AED.BRMD.003</t>
        </is>
      </c>
      <c r="M474" t="inlineStr">
        <is>
          <t>Ironbark Trust</t>
        </is>
      </c>
      <c r="N474" t="inlineStr">
        <is>
          <t>BRMDCASH</t>
        </is>
      </c>
      <c r="O474" t="inlineStr">
        <is>
          <t>NEW</t>
        </is>
      </c>
      <c r="P474" t="inlineStr">
        <is>
          <t>NT26081800289</t>
        </is>
      </c>
      <c r="Q474" t="inlineStr">
        <is>
          <t>NETTER</t>
        </is>
      </c>
    </row>
    <row r="475">
      <c r="A475" t="inlineStr">
        <is>
          <t>927538182434</t>
        </is>
      </c>
      <c r="B475" t="inlineStr">
        <is>
          <t>TCP</t>
        </is>
      </c>
      <c r="C475" t="inlineStr">
        <is>
          <t>BRNK</t>
        </is>
      </c>
      <c r="D475" s="6" t="n">
        <v>46252</v>
      </c>
      <c r="E475" t="inlineStr">
        <is>
          <t>CR</t>
        </is>
      </c>
      <c r="F475" t="inlineStr">
        <is>
          <t>CNY</t>
        </is>
      </c>
      <c r="G475" s="7" t="n">
        <v>143557.926</v>
      </c>
      <c r="H475" t="inlineStr">
        <is>
          <t>GBP</t>
        </is>
      </c>
      <c r="I475" s="7" t="n">
        <v>15647.814</v>
      </c>
      <c r="J475" s="8" t="n">
        <v>46252.42048611111</v>
      </c>
      <c r="K475" t="inlineStr">
        <is>
          <t>CF260818 00469</t>
        </is>
      </c>
      <c r="L475" t="inlineStr">
        <is>
          <t>GL.NOSTRO.CNY.BRNK.009</t>
        </is>
      </c>
      <c r="M475" t="inlineStr">
        <is>
          <t>Pinehurst Settlement Bank</t>
        </is>
      </c>
      <c r="N475" t="inlineStr">
        <is>
          <t>BRNKTRSY</t>
        </is>
      </c>
      <c r="O475" t="inlineStr">
        <is>
          <t>NEW</t>
        </is>
      </c>
      <c r="P475" t="inlineStr">
        <is>
          <t>NT26081800288</t>
        </is>
      </c>
      <c r="Q475" t="inlineStr">
        <is>
          <t>NETTER</t>
        </is>
      </c>
    </row>
    <row r="476">
      <c r="A476" t="inlineStr">
        <is>
          <t>910703979141</t>
        </is>
      </c>
      <c r="B476" t="inlineStr">
        <is>
          <t>TCG</t>
        </is>
      </c>
      <c r="C476" t="inlineStr">
        <is>
          <t>BRCC</t>
        </is>
      </c>
      <c r="D476" s="6" t="n">
        <v>46252</v>
      </c>
      <c r="E476" t="inlineStr">
        <is>
          <t>DR</t>
        </is>
      </c>
      <c r="F476" t="inlineStr">
        <is>
          <t>CHF</t>
        </is>
      </c>
      <c r="G476" s="7" t="n">
        <v>-71296605.287</v>
      </c>
      <c r="H476" t="inlineStr">
        <is>
          <t>GBP</t>
        </is>
      </c>
      <c r="I476" s="7" t="n">
        <v>-63953054.942</v>
      </c>
      <c r="J476" s="8" t="n">
        <v>46252.35586805556</v>
      </c>
      <c r="K476" t="inlineStr">
        <is>
          <t>CF260818 00470</t>
        </is>
      </c>
      <c r="L476" t="inlineStr">
        <is>
          <t>GL.NOSTRO.CHF.BRCC.008</t>
        </is>
      </c>
      <c r="M476" t="inlineStr">
        <is>
          <t>Alder Clearing</t>
        </is>
      </c>
      <c r="N476" t="inlineStr">
        <is>
          <t>BRCCCASH</t>
        </is>
      </c>
      <c r="O476" t="inlineStr">
        <is>
          <t>NEW</t>
        </is>
      </c>
      <c r="P476" t="inlineStr">
        <is>
          <t>NT26081800283</t>
        </is>
      </c>
      <c r="Q476" t="inlineStr">
        <is>
          <t>NETTER</t>
        </is>
      </c>
    </row>
    <row r="477">
      <c r="A477" t="inlineStr">
        <is>
          <t>910703979141</t>
        </is>
      </c>
      <c r="B477" t="inlineStr">
        <is>
          <t>TCP</t>
        </is>
      </c>
      <c r="C477" t="inlineStr">
        <is>
          <t>BRCC</t>
        </is>
      </c>
      <c r="D477" s="6" t="n">
        <v>46252</v>
      </c>
      <c r="E477" t="inlineStr">
        <is>
          <t>DR</t>
        </is>
      </c>
      <c r="F477" t="inlineStr">
        <is>
          <t>CHF</t>
        </is>
      </c>
      <c r="G477" s="7" t="n">
        <v>-83064156.072</v>
      </c>
      <c r="H477" t="inlineStr">
        <is>
          <t>GBP</t>
        </is>
      </c>
      <c r="I477" s="7" t="n">
        <v>-74508547.99699999</v>
      </c>
      <c r="J477" s="8" t="n">
        <v>46252.34572916666</v>
      </c>
      <c r="K477" t="inlineStr">
        <is>
          <t>CF260818 00471</t>
        </is>
      </c>
      <c r="L477" t="inlineStr">
        <is>
          <t>GL.NOSTRO.CHF.BRCC.005</t>
        </is>
      </c>
      <c r="M477" t="inlineStr">
        <is>
          <t>Redstart Commercial Bank</t>
        </is>
      </c>
      <c r="N477" t="inlineStr">
        <is>
          <t>BRCCCASH</t>
        </is>
      </c>
      <c r="O477" t="inlineStr">
        <is>
          <t>NEW</t>
        </is>
      </c>
      <c r="P477" t="inlineStr">
        <is>
          <t>NT26081800309</t>
        </is>
      </c>
      <c r="Q477" t="inlineStr">
        <is>
          <t>INTERNAL</t>
        </is>
      </c>
    </row>
    <row r="478">
      <c r="A478" t="inlineStr">
        <is>
          <t>794226063698</t>
        </is>
      </c>
      <c r="B478" t="inlineStr">
        <is>
          <t>TCP</t>
        </is>
      </c>
      <c r="C478" t="inlineStr">
        <is>
          <t>BRMD</t>
        </is>
      </c>
      <c r="D478" s="6" t="n">
        <v>46252</v>
      </c>
      <c r="E478" t="inlineStr">
        <is>
          <t>CR</t>
        </is>
      </c>
      <c r="F478" t="inlineStr">
        <is>
          <t>AED</t>
        </is>
      </c>
      <c r="G478" s="7" t="n">
        <v>99775965.66</v>
      </c>
      <c r="H478" t="inlineStr">
        <is>
          <t>GBP</t>
        </is>
      </c>
      <c r="I478" s="7" t="n">
        <v>21252280.686</v>
      </c>
      <c r="J478" s="8" t="n">
        <v>46252.65268518519</v>
      </c>
      <c r="K478" t="inlineStr">
        <is>
          <t>CF260818 00472</t>
        </is>
      </c>
      <c r="L478" t="inlineStr">
        <is>
          <t>GL.NOSTRO.AED.BRMD.009</t>
        </is>
      </c>
      <c r="M478" t="inlineStr">
        <is>
          <t>Mallow Clearing</t>
        </is>
      </c>
      <c r="N478" t="inlineStr">
        <is>
          <t>BRMDMM</t>
        </is>
      </c>
      <c r="O478" t="inlineStr">
        <is>
          <t>NEW</t>
        </is>
      </c>
      <c r="Q478" t="inlineStr">
        <is>
          <t>INTERNAL</t>
        </is>
      </c>
    </row>
    <row r="479">
      <c r="A479" t="inlineStr">
        <is>
          <t>700726936098</t>
        </is>
      </c>
      <c r="B479" t="inlineStr">
        <is>
          <t>TCQ</t>
        </is>
      </c>
      <c r="C479" t="inlineStr">
        <is>
          <t>BRMD</t>
        </is>
      </c>
      <c r="D479" s="6" t="n">
        <v>46252</v>
      </c>
      <c r="E479" t="inlineStr">
        <is>
          <t>DR</t>
        </is>
      </c>
      <c r="F479" t="inlineStr">
        <is>
          <t>SAR</t>
        </is>
      </c>
      <c r="G479" s="7" t="n">
        <v>-14150019.85</v>
      </c>
      <c r="H479" t="inlineStr">
        <is>
          <t>GBP</t>
        </is>
      </c>
      <c r="I479" s="7" t="n">
        <v>-2957354.149</v>
      </c>
      <c r="J479" s="8" t="n">
        <v>46252.70725694444</v>
      </c>
      <c r="K479" t="inlineStr">
        <is>
          <t>CF260818 00473</t>
        </is>
      </c>
      <c r="L479" t="inlineStr">
        <is>
          <t>GL.NOSTRO.SAR.BRMD.002</t>
        </is>
      </c>
      <c r="M479" t="inlineStr">
        <is>
          <t>Cedar Commercial Bank</t>
        </is>
      </c>
      <c r="N479" t="inlineStr">
        <is>
          <t>BRMDTRSY</t>
        </is>
      </c>
      <c r="O479" t="inlineStr">
        <is>
          <t>NEW</t>
        </is>
      </c>
      <c r="Q479" t="inlineStr">
        <is>
          <t>INTERNAL</t>
        </is>
      </c>
    </row>
    <row r="480">
      <c r="A480" t="inlineStr">
        <is>
          <t>953625291146</t>
        </is>
      </c>
      <c r="B480" t="inlineStr">
        <is>
          <t>TCC</t>
        </is>
      </c>
      <c r="C480" t="inlineStr">
        <is>
          <t>BRGL</t>
        </is>
      </c>
      <c r="D480" s="6" t="n">
        <v>46252</v>
      </c>
      <c r="E480" t="inlineStr">
        <is>
          <t>CR</t>
        </is>
      </c>
      <c r="F480" t="inlineStr">
        <is>
          <t>USD</t>
        </is>
      </c>
      <c r="G480" s="7" t="n">
        <v>74397548.18000001</v>
      </c>
      <c r="H480" t="inlineStr">
        <is>
          <t>GBP</t>
        </is>
      </c>
      <c r="I480" s="7" t="n">
        <v>58327677.773</v>
      </c>
      <c r="J480" s="8" t="n">
        <v>46252.48243055555</v>
      </c>
      <c r="K480" t="inlineStr">
        <is>
          <t>CF260818 00474</t>
        </is>
      </c>
      <c r="L480" t="inlineStr">
        <is>
          <t>GL.NOSTRO.USD.BRGL.003</t>
        </is>
      </c>
      <c r="M480" t="inlineStr">
        <is>
          <t>Elmwood Bank</t>
        </is>
      </c>
      <c r="N480" t="inlineStr">
        <is>
          <t>BRGLMM</t>
        </is>
      </c>
      <c r="O480" t="inlineStr">
        <is>
          <t>AMEND</t>
        </is>
      </c>
      <c r="Q480" t="inlineStr">
        <is>
          <t>GROSS</t>
        </is>
      </c>
    </row>
    <row r="481">
      <c r="A481" t="inlineStr">
        <is>
          <t>150316825069</t>
        </is>
      </c>
      <c r="B481" t="inlineStr">
        <is>
          <t>TCP</t>
        </is>
      </c>
      <c r="C481" t="inlineStr">
        <is>
          <t>BRGX</t>
        </is>
      </c>
      <c r="D481" s="6" t="n">
        <v>46252</v>
      </c>
      <c r="E481" t="inlineStr">
        <is>
          <t>CR</t>
        </is>
      </c>
      <c r="F481" t="inlineStr">
        <is>
          <t>GBP</t>
        </is>
      </c>
      <c r="G481" s="7" t="n">
        <v>2684616.86</v>
      </c>
      <c r="H481" t="inlineStr">
        <is>
          <t>GBP</t>
        </is>
      </c>
      <c r="I481" s="7" t="n">
        <v>2684616.86</v>
      </c>
      <c r="J481" s="8" t="n">
        <v>46252.89484953704</v>
      </c>
      <c r="K481" t="inlineStr">
        <is>
          <t>CF260818 00475</t>
        </is>
      </c>
      <c r="L481" t="inlineStr">
        <is>
          <t>GL.NOSTRO.GBP.BRGX.006</t>
        </is>
      </c>
      <c r="M481" t="inlineStr">
        <is>
          <t>Ironbark Trust</t>
        </is>
      </c>
      <c r="N481" t="inlineStr">
        <is>
          <t>BRGXCASH</t>
        </is>
      </c>
      <c r="O481" t="inlineStr">
        <is>
          <t>NEW</t>
        </is>
      </c>
      <c r="Q481" t="inlineStr">
        <is>
          <t>GROSS</t>
        </is>
      </c>
    </row>
    <row r="482">
      <c r="A482" t="inlineStr">
        <is>
          <t>794226063698</t>
        </is>
      </c>
      <c r="B482" t="inlineStr">
        <is>
          <t>TCX</t>
        </is>
      </c>
      <c r="C482" t="inlineStr">
        <is>
          <t>BRMD</t>
        </is>
      </c>
      <c r="D482" s="6" t="n">
        <v>46252</v>
      </c>
      <c r="E482" t="inlineStr">
        <is>
          <t>CR</t>
        </is>
      </c>
      <c r="F482" t="inlineStr">
        <is>
          <t>AED</t>
        </is>
      </c>
      <c r="G482" s="7" t="n">
        <v>11231629.081</v>
      </c>
      <c r="H482" t="inlineStr">
        <is>
          <t>GBP</t>
        </is>
      </c>
      <c r="I482" s="7" t="n">
        <v>2392336.994</v>
      </c>
      <c r="J482" s="8" t="n">
        <v>46252.44320601852</v>
      </c>
      <c r="K482" t="inlineStr">
        <is>
          <t>CF260818 00476</t>
        </is>
      </c>
      <c r="L482" t="inlineStr">
        <is>
          <t>GL.NOSTRO.AED.BRMD.003</t>
        </is>
      </c>
      <c r="M482" t="inlineStr">
        <is>
          <t>Dunlin Clearing</t>
        </is>
      </c>
      <c r="N482" t="inlineStr">
        <is>
          <t>BRMDTRSY</t>
        </is>
      </c>
      <c r="O482" t="inlineStr">
        <is>
          <t>NEW</t>
        </is>
      </c>
      <c r="P482" t="inlineStr">
        <is>
          <t>NT26081800291</t>
        </is>
      </c>
      <c r="Q482" t="inlineStr">
        <is>
          <t>NETTER</t>
        </is>
      </c>
    </row>
    <row r="483">
      <c r="A483" t="inlineStr">
        <is>
          <t>359365220160</t>
        </is>
      </c>
      <c r="B483" t="inlineStr">
        <is>
          <t>TCG</t>
        </is>
      </c>
      <c r="C483" t="inlineStr">
        <is>
          <t>BRGX</t>
        </is>
      </c>
      <c r="D483" s="6" t="n">
        <v>46252</v>
      </c>
      <c r="E483" t="inlineStr">
        <is>
          <t>CR</t>
        </is>
      </c>
      <c r="F483" t="inlineStr">
        <is>
          <t>EUR</t>
        </is>
      </c>
      <c r="G483" s="7" t="n">
        <v>265754855.852</v>
      </c>
      <c r="H483" t="inlineStr">
        <is>
          <t>GBP</t>
        </is>
      </c>
      <c r="I483" s="7" t="n">
        <v>228017666.321</v>
      </c>
      <c r="J483" s="8" t="n">
        <v>46252.63202546296</v>
      </c>
      <c r="K483" t="inlineStr">
        <is>
          <t>CF260818 00477</t>
        </is>
      </c>
      <c r="L483" t="inlineStr">
        <is>
          <t>GL.NOSTRO.EUR.BRGX.002</t>
        </is>
      </c>
      <c r="M483" t="inlineStr">
        <is>
          <t>Elmwood Settlement Bank</t>
        </is>
      </c>
      <c r="N483" t="inlineStr">
        <is>
          <t>BRGXMM</t>
        </is>
      </c>
      <c r="O483" t="inlineStr">
        <is>
          <t>NEW</t>
        </is>
      </c>
      <c r="P483" t="inlineStr">
        <is>
          <t>NT26081800297</t>
        </is>
      </c>
      <c r="Q483" t="inlineStr">
        <is>
          <t>NETTER</t>
        </is>
      </c>
    </row>
    <row r="484">
      <c r="A484" t="inlineStr">
        <is>
          <t>794226063698</t>
        </is>
      </c>
      <c r="B484" t="inlineStr">
        <is>
          <t>TCC</t>
        </is>
      </c>
      <c r="C484" t="inlineStr">
        <is>
          <t>BRMD</t>
        </is>
      </c>
      <c r="D484" s="6" t="n">
        <v>46252</v>
      </c>
      <c r="E484" t="inlineStr">
        <is>
          <t>CR</t>
        </is>
      </c>
      <c r="F484" t="inlineStr">
        <is>
          <t>AED</t>
        </is>
      </c>
      <c r="G484" s="7" t="n">
        <v>4487064.902</v>
      </c>
      <c r="H484" t="inlineStr">
        <is>
          <t>GBP</t>
        </is>
      </c>
      <c r="I484" s="7" t="n">
        <v>955744.824</v>
      </c>
      <c r="J484" s="8" t="n">
        <v>46252.40001157407</v>
      </c>
      <c r="K484" t="inlineStr">
        <is>
          <t>CF260818 00478</t>
        </is>
      </c>
      <c r="L484" t="inlineStr">
        <is>
          <t>GL.NOSTRO.AED.BRMD.007</t>
        </is>
      </c>
      <c r="M484" t="inlineStr">
        <is>
          <t>Nightjar Bank</t>
        </is>
      </c>
      <c r="N484" t="inlineStr">
        <is>
          <t>BRMD</t>
        </is>
      </c>
      <c r="O484" t="inlineStr">
        <is>
          <t>NEW</t>
        </is>
      </c>
      <c r="Q484" t="inlineStr">
        <is>
          <t>NETTER</t>
        </is>
      </c>
    </row>
    <row r="485">
      <c r="A485" t="inlineStr">
        <is>
          <t>910703979141</t>
        </is>
      </c>
      <c r="B485" t="inlineStr">
        <is>
          <t>TCG</t>
        </is>
      </c>
      <c r="C485" t="inlineStr">
        <is>
          <t>BRCC</t>
        </is>
      </c>
      <c r="D485" s="6" t="n">
        <v>46252</v>
      </c>
      <c r="E485" t="inlineStr">
        <is>
          <t>CR</t>
        </is>
      </c>
      <c r="F485" t="inlineStr">
        <is>
          <t>CHF</t>
        </is>
      </c>
      <c r="G485" s="7" t="n">
        <v>9390605.862</v>
      </c>
      <c r="H485" t="inlineStr">
        <is>
          <t>GBP</t>
        </is>
      </c>
      <c r="I485" s="7" t="n">
        <v>8423373.458000001</v>
      </c>
      <c r="J485" s="8" t="n">
        <v>46252.59413194445</v>
      </c>
      <c r="K485" t="inlineStr">
        <is>
          <t>CF260818 00479</t>
        </is>
      </c>
      <c r="L485" t="inlineStr">
        <is>
          <t>GL.NOSTRO.CHF.BRCC.002</t>
        </is>
      </c>
      <c r="M485" t="inlineStr">
        <is>
          <t>Harrow Clearing</t>
        </is>
      </c>
      <c r="N485" t="inlineStr">
        <is>
          <t>BRCC</t>
        </is>
      </c>
      <c r="O485" t="inlineStr">
        <is>
          <t>NEW</t>
        </is>
      </c>
      <c r="P485" t="inlineStr">
        <is>
          <t>NT26081800316</t>
        </is>
      </c>
      <c r="Q485" t="inlineStr">
        <is>
          <t>GROSS</t>
        </is>
      </c>
    </row>
    <row r="486">
      <c r="A486" t="inlineStr">
        <is>
          <t>910703979141</t>
        </is>
      </c>
      <c r="B486" t="inlineStr">
        <is>
          <t>TCX</t>
        </is>
      </c>
      <c r="C486" t="inlineStr">
        <is>
          <t>BRCC</t>
        </is>
      </c>
      <c r="D486" s="6" t="n">
        <v>46252</v>
      </c>
      <c r="E486" t="inlineStr">
        <is>
          <t>DR</t>
        </is>
      </c>
      <c r="F486" t="inlineStr">
        <is>
          <t>CHF</t>
        </is>
      </c>
      <c r="G486" s="7" t="n">
        <v>-1740573.281</v>
      </c>
      <c r="H486" t="inlineStr">
        <is>
          <t>GBP</t>
        </is>
      </c>
      <c r="I486" s="7" t="n">
        <v>-1561294.233</v>
      </c>
      <c r="J486" s="8" t="n">
        <v>46252.45733796297</v>
      </c>
      <c r="K486" t="inlineStr">
        <is>
          <t>CF260818 00480</t>
        </is>
      </c>
      <c r="L486" t="inlineStr">
        <is>
          <t>GL.NOSTRO.CHF.BRCC.006</t>
        </is>
      </c>
      <c r="M486" t="inlineStr">
        <is>
          <t>Ironbark Trust</t>
        </is>
      </c>
      <c r="N486" t="inlineStr">
        <is>
          <t>BRCCMM</t>
        </is>
      </c>
      <c r="O486" t="inlineStr">
        <is>
          <t>NEW</t>
        </is>
      </c>
      <c r="P486" t="inlineStr">
        <is>
          <t>NT26081800277</t>
        </is>
      </c>
      <c r="Q486" t="inlineStr">
        <is>
          <t>GROSS</t>
        </is>
      </c>
    </row>
    <row r="487">
      <c r="A487" t="inlineStr">
        <is>
          <t>499062838623</t>
        </is>
      </c>
      <c r="B487" t="inlineStr">
        <is>
          <t>TCQ</t>
        </is>
      </c>
      <c r="C487" t="inlineStr">
        <is>
          <t>BRBX</t>
        </is>
      </c>
      <c r="D487" s="6" t="n">
        <v>46252</v>
      </c>
      <c r="E487" t="inlineStr">
        <is>
          <t>CR</t>
        </is>
      </c>
      <c r="F487" t="inlineStr">
        <is>
          <t>USD</t>
        </is>
      </c>
      <c r="G487" s="7" t="n">
        <v>92039478.315</v>
      </c>
      <c r="H487" t="inlineStr">
        <is>
          <t>GBP</t>
        </is>
      </c>
      <c r="I487" s="7" t="n">
        <v>72158950.999</v>
      </c>
      <c r="J487" s="8" t="n">
        <v>46252.49563657407</v>
      </c>
      <c r="K487" t="inlineStr">
        <is>
          <t>CF260818 00481</t>
        </is>
      </c>
      <c r="L487" t="inlineStr">
        <is>
          <t>GL.NOSTRO.USD.BRBX.001</t>
        </is>
      </c>
      <c r="M487" t="inlineStr">
        <is>
          <t>Mallow Clearing</t>
        </is>
      </c>
      <c r="N487" t="inlineStr">
        <is>
          <t>BRBX</t>
        </is>
      </c>
      <c r="O487" t="inlineStr">
        <is>
          <t>NEW</t>
        </is>
      </c>
      <c r="P487" t="inlineStr">
        <is>
          <t>NT26081800297</t>
        </is>
      </c>
      <c r="Q487" t="inlineStr">
        <is>
          <t>GROSS</t>
        </is>
      </c>
    </row>
    <row r="488">
      <c r="A488" t="inlineStr">
        <is>
          <t>726928343448</t>
        </is>
      </c>
      <c r="B488" t="inlineStr">
        <is>
          <t>TCG</t>
        </is>
      </c>
      <c r="C488" t="inlineStr">
        <is>
          <t>BRGX</t>
        </is>
      </c>
      <c r="D488" s="6" t="n">
        <v>46252</v>
      </c>
      <c r="E488" t="inlineStr">
        <is>
          <t>DR</t>
        </is>
      </c>
      <c r="F488" t="inlineStr">
        <is>
          <t>EUR</t>
        </is>
      </c>
      <c r="G488" s="7" t="n">
        <v>-22077333.597</v>
      </c>
      <c r="H488" t="inlineStr">
        <is>
          <t>GBP</t>
        </is>
      </c>
      <c r="I488" s="7" t="n">
        <v>-18942352.226</v>
      </c>
      <c r="J488" s="8" t="n">
        <v>46252.62841435185</v>
      </c>
      <c r="K488" t="inlineStr">
        <is>
          <t>CF260818 00482</t>
        </is>
      </c>
      <c r="L488" t="inlineStr">
        <is>
          <t>GL.NOSTRO.EUR.BRGX.007</t>
        </is>
      </c>
      <c r="M488" t="inlineStr">
        <is>
          <t>Wrenfield Commercial Bank</t>
        </is>
      </c>
      <c r="N488" t="inlineStr">
        <is>
          <t>BRGXMM</t>
        </is>
      </c>
      <c r="O488" t="inlineStr">
        <is>
          <t>NEW</t>
        </is>
      </c>
      <c r="P488" t="inlineStr">
        <is>
          <t>NT26081800312</t>
        </is>
      </c>
      <c r="Q488" t="inlineStr">
        <is>
          <t>NETTER</t>
        </is>
      </c>
    </row>
    <row r="489">
      <c r="A489" t="inlineStr">
        <is>
          <t>132544340094</t>
        </is>
      </c>
      <c r="B489" t="inlineStr">
        <is>
          <t>TCG</t>
        </is>
      </c>
      <c r="C489" t="inlineStr">
        <is>
          <t>BRYG</t>
        </is>
      </c>
      <c r="D489" s="6" t="n">
        <v>46252</v>
      </c>
      <c r="E489" t="inlineStr">
        <is>
          <t>CR</t>
        </is>
      </c>
      <c r="F489" t="inlineStr">
        <is>
          <t>CZK</t>
        </is>
      </c>
      <c r="G489" s="7" t="n">
        <v>21836127.554</v>
      </c>
      <c r="H489" t="inlineStr">
        <is>
          <t>GBP</t>
        </is>
      </c>
      <c r="I489" s="7" t="n">
        <v>740244.724</v>
      </c>
      <c r="J489" s="8" t="n">
        <v>46252.56842592593</v>
      </c>
      <c r="K489" t="inlineStr">
        <is>
          <t>CF260818 00483</t>
        </is>
      </c>
      <c r="L489" t="inlineStr">
        <is>
          <t>GL.NOSTRO.CZK.BRYG.001</t>
        </is>
      </c>
      <c r="M489" t="inlineStr">
        <is>
          <t>Dunlin Bank</t>
        </is>
      </c>
      <c r="N489" t="inlineStr">
        <is>
          <t>BRYGTRSY</t>
        </is>
      </c>
      <c r="O489" t="inlineStr">
        <is>
          <t>NEW</t>
        </is>
      </c>
      <c r="Q489" t="inlineStr">
        <is>
          <t>GROSS</t>
        </is>
      </c>
    </row>
    <row r="490">
      <c r="A490" t="inlineStr">
        <is>
          <t>150316825069</t>
        </is>
      </c>
      <c r="B490" t="inlineStr">
        <is>
          <t>TCP</t>
        </is>
      </c>
      <c r="C490" t="inlineStr">
        <is>
          <t>BRGX</t>
        </is>
      </c>
      <c r="D490" s="6" t="n">
        <v>46252</v>
      </c>
      <c r="E490" t="inlineStr">
        <is>
          <t>DR</t>
        </is>
      </c>
      <c r="F490" t="inlineStr">
        <is>
          <t>GBP</t>
        </is>
      </c>
      <c r="G490" s="7" t="n">
        <v>-27492241.988</v>
      </c>
      <c r="H490" t="inlineStr">
        <is>
          <t>GBP</t>
        </is>
      </c>
      <c r="I490" s="7" t="n">
        <v>-27492241.988</v>
      </c>
      <c r="J490" s="8" t="n">
        <v>46252.51107638889</v>
      </c>
      <c r="K490" t="inlineStr">
        <is>
          <t>CF260818 00484</t>
        </is>
      </c>
      <c r="L490" t="inlineStr">
        <is>
          <t>GL.NOSTRO.GBP.BRGX.007</t>
        </is>
      </c>
      <c r="M490" t="inlineStr">
        <is>
          <t>Bramble Bank</t>
        </is>
      </c>
      <c r="N490" t="inlineStr">
        <is>
          <t>BRGXTRSY</t>
        </is>
      </c>
      <c r="O490" t="inlineStr">
        <is>
          <t>NEW</t>
        </is>
      </c>
      <c r="Q490" t="inlineStr">
        <is>
          <t>GROSS</t>
        </is>
      </c>
    </row>
    <row r="491">
      <c r="A491" t="inlineStr">
        <is>
          <t>113829985108</t>
        </is>
      </c>
      <c r="B491" t="inlineStr">
        <is>
          <t>TCQ</t>
        </is>
      </c>
      <c r="C491" t="inlineStr">
        <is>
          <t>BRGL</t>
        </is>
      </c>
      <c r="D491" s="6" t="n">
        <v>46252</v>
      </c>
      <c r="E491" t="inlineStr">
        <is>
          <t>CR</t>
        </is>
      </c>
      <c r="F491" t="inlineStr">
        <is>
          <t>EUR</t>
        </is>
      </c>
      <c r="G491" s="7" t="n">
        <v>165310.263</v>
      </c>
      <c r="H491" t="inlineStr">
        <is>
          <t>GBP</t>
        </is>
      </c>
      <c r="I491" s="7" t="n">
        <v>141836.206</v>
      </c>
      <c r="J491" s="8" t="n">
        <v>46252.37723379629</v>
      </c>
      <c r="K491" t="inlineStr">
        <is>
          <t>CF260818 00485</t>
        </is>
      </c>
      <c r="L491" t="inlineStr">
        <is>
          <t>GL.NOSTRO.EUR.BRGL.008</t>
        </is>
      </c>
      <c r="M491" t="inlineStr">
        <is>
          <t>Wrenfield Settlement Bank</t>
        </is>
      </c>
      <c r="N491" t="inlineStr">
        <is>
          <t>BRGLCASH</t>
        </is>
      </c>
      <c r="O491" t="inlineStr">
        <is>
          <t>AMEND</t>
        </is>
      </c>
      <c r="P491" t="inlineStr">
        <is>
          <t>NT26081800298</t>
        </is>
      </c>
      <c r="Q491" t="inlineStr">
        <is>
          <t>GROSS</t>
        </is>
      </c>
    </row>
    <row r="492">
      <c r="A492" t="inlineStr">
        <is>
          <t>898317028833</t>
        </is>
      </c>
      <c r="B492" t="inlineStr">
        <is>
          <t>TCP</t>
        </is>
      </c>
      <c r="C492" t="inlineStr">
        <is>
          <t>BRAA</t>
        </is>
      </c>
      <c r="D492" s="6" t="n">
        <v>46252</v>
      </c>
      <c r="E492" t="inlineStr">
        <is>
          <t>CR</t>
        </is>
      </c>
      <c r="F492" t="inlineStr">
        <is>
          <t>GBP</t>
        </is>
      </c>
      <c r="G492" s="7" t="n">
        <v>510277222.766</v>
      </c>
      <c r="H492" t="inlineStr">
        <is>
          <t>GBP</t>
        </is>
      </c>
      <c r="I492" s="7" t="n">
        <v>510277222.766</v>
      </c>
      <c r="J492" s="8" t="n">
        <v>46252.66030092593</v>
      </c>
      <c r="K492" t="inlineStr">
        <is>
          <t>CF260818 00486</t>
        </is>
      </c>
      <c r="L492" t="inlineStr">
        <is>
          <t>GL.NOSTRO.GBP.BRAA.002</t>
        </is>
      </c>
      <c r="M492" t="inlineStr">
        <is>
          <t>Nightjar Trust</t>
        </is>
      </c>
      <c r="N492" t="inlineStr">
        <is>
          <t>BRAAMM</t>
        </is>
      </c>
      <c r="O492" t="inlineStr">
        <is>
          <t>CANCEL</t>
        </is>
      </c>
      <c r="Q492" t="inlineStr">
        <is>
          <t>NETTER</t>
        </is>
      </c>
    </row>
    <row r="493">
      <c r="A493" t="inlineStr">
        <is>
          <t>499062838623</t>
        </is>
      </c>
      <c r="B493" t="inlineStr">
        <is>
          <t>TCC</t>
        </is>
      </c>
      <c r="C493" t="inlineStr">
        <is>
          <t>BRBX</t>
        </is>
      </c>
      <c r="D493" s="6" t="n">
        <v>46252</v>
      </c>
      <c r="E493" t="inlineStr">
        <is>
          <t>DR</t>
        </is>
      </c>
      <c r="F493" t="inlineStr">
        <is>
          <t>USD</t>
        </is>
      </c>
      <c r="G493" s="7" t="n">
        <v>-141302.936</v>
      </c>
      <c r="H493" t="inlineStr">
        <is>
          <t>GBP</t>
        </is>
      </c>
      <c r="I493" s="7" t="n">
        <v>-110781.502</v>
      </c>
      <c r="J493" s="8" t="n">
        <v>46252.41405092592</v>
      </c>
      <c r="K493" t="inlineStr">
        <is>
          <t>CF260818 00487</t>
        </is>
      </c>
      <c r="L493" t="inlineStr">
        <is>
          <t>GL.NOSTRO.USD.BRBX.002</t>
        </is>
      </c>
      <c r="M493" t="inlineStr">
        <is>
          <t>Ironbark Commercial Bank</t>
        </is>
      </c>
      <c r="N493" t="inlineStr">
        <is>
          <t>BRBX</t>
        </is>
      </c>
      <c r="O493" t="inlineStr">
        <is>
          <t>AMEND</t>
        </is>
      </c>
      <c r="Q493" t="inlineStr">
        <is>
          <t>NETTER</t>
        </is>
      </c>
    </row>
    <row r="494">
      <c r="A494" t="inlineStr">
        <is>
          <t>150316825069</t>
        </is>
      </c>
      <c r="B494" t="inlineStr">
        <is>
          <t>TCQ</t>
        </is>
      </c>
      <c r="C494" t="inlineStr">
        <is>
          <t>BRGX</t>
        </is>
      </c>
      <c r="D494" s="6" t="n">
        <v>46252</v>
      </c>
      <c r="E494" t="inlineStr">
        <is>
          <t>CR</t>
        </is>
      </c>
      <c r="F494" t="inlineStr">
        <is>
          <t>GBP</t>
        </is>
      </c>
      <c r="G494" s="7" t="n">
        <v>1842858.515</v>
      </c>
      <c r="H494" t="inlineStr">
        <is>
          <t>GBP</t>
        </is>
      </c>
      <c r="I494" s="7" t="n">
        <v>1842858.515</v>
      </c>
      <c r="J494" s="8" t="n">
        <v>46252.54483796296</v>
      </c>
      <c r="K494" t="inlineStr">
        <is>
          <t>CF260818 00488</t>
        </is>
      </c>
      <c r="L494" t="inlineStr">
        <is>
          <t>GL.NOSTRO.GBP.BRGX.002</t>
        </is>
      </c>
      <c r="M494" t="inlineStr">
        <is>
          <t>Dunlin Clearing</t>
        </is>
      </c>
      <c r="N494" t="inlineStr">
        <is>
          <t>BRGXTRSY</t>
        </is>
      </c>
      <c r="O494" t="inlineStr">
        <is>
          <t>NEW</t>
        </is>
      </c>
      <c r="P494" t="inlineStr">
        <is>
          <t>NT26081800286</t>
        </is>
      </c>
      <c r="Q494" t="inlineStr">
        <is>
          <t>GROSS</t>
        </is>
      </c>
    </row>
    <row r="495">
      <c r="A495" t="inlineStr">
        <is>
          <t>794226063698</t>
        </is>
      </c>
      <c r="B495" t="inlineStr">
        <is>
          <t>TCQ</t>
        </is>
      </c>
      <c r="C495" t="inlineStr">
        <is>
          <t>BRMD</t>
        </is>
      </c>
      <c r="D495" s="6" t="n">
        <v>46252</v>
      </c>
      <c r="E495" t="inlineStr">
        <is>
          <t>DR</t>
        </is>
      </c>
      <c r="F495" t="inlineStr">
        <is>
          <t>AED</t>
        </is>
      </c>
      <c r="G495" s="7" t="n">
        <v>-9023954.698999999</v>
      </c>
      <c r="H495" t="inlineStr">
        <is>
          <t>GBP</t>
        </is>
      </c>
      <c r="I495" s="7" t="n">
        <v>-1922102.351</v>
      </c>
      <c r="J495" s="8" t="n">
        <v>46252.35929398148</v>
      </c>
      <c r="K495" t="inlineStr">
        <is>
          <t>CF260818 00489</t>
        </is>
      </c>
      <c r="L495" t="inlineStr">
        <is>
          <t>GL.NOSTRO.AED.BRMD.008</t>
        </is>
      </c>
      <c r="M495" t="inlineStr">
        <is>
          <t>Sablewood Bank</t>
        </is>
      </c>
      <c r="N495" t="inlineStr">
        <is>
          <t>BRMDCASH</t>
        </is>
      </c>
      <c r="O495" t="inlineStr">
        <is>
          <t>NEW</t>
        </is>
      </c>
      <c r="Q495" t="inlineStr">
        <is>
          <t>GROSS</t>
        </is>
      </c>
    </row>
    <row r="496">
      <c r="A496" t="inlineStr">
        <is>
          <t>113829985108</t>
        </is>
      </c>
      <c r="B496" t="inlineStr">
        <is>
          <t>TCP</t>
        </is>
      </c>
      <c r="C496" t="inlineStr">
        <is>
          <t>BRGL</t>
        </is>
      </c>
      <c r="D496" s="6" t="n">
        <v>46252</v>
      </c>
      <c r="E496" t="inlineStr">
        <is>
          <t>DR</t>
        </is>
      </c>
      <c r="F496" t="inlineStr">
        <is>
          <t>EUR</t>
        </is>
      </c>
      <c r="G496" s="7" t="n">
        <v>-239438019.372</v>
      </c>
      <c r="H496" t="inlineStr">
        <is>
          <t>GBP</t>
        </is>
      </c>
      <c r="I496" s="7" t="n">
        <v>-205437820.621</v>
      </c>
      <c r="J496" s="8" t="n">
        <v>46252.64857638889</v>
      </c>
      <c r="K496" t="inlineStr">
        <is>
          <t>CF260818 00490</t>
        </is>
      </c>
      <c r="L496" t="inlineStr">
        <is>
          <t>GL.NOSTRO.EUR.BRGL.003</t>
        </is>
      </c>
      <c r="M496" t="inlineStr">
        <is>
          <t>Granite Clearing</t>
        </is>
      </c>
      <c r="N496" t="inlineStr">
        <is>
          <t>BRGL</t>
        </is>
      </c>
      <c r="O496" t="inlineStr">
        <is>
          <t>NEW</t>
        </is>
      </c>
      <c r="Q496" t="inlineStr">
        <is>
          <t>NETTER</t>
        </is>
      </c>
    </row>
    <row r="497">
      <c r="A497" t="inlineStr">
        <is>
          <t>150316825069</t>
        </is>
      </c>
      <c r="B497" t="inlineStr">
        <is>
          <t>TCX</t>
        </is>
      </c>
      <c r="C497" t="inlineStr">
        <is>
          <t>BRGX</t>
        </is>
      </c>
      <c r="D497" s="6" t="n">
        <v>46252</v>
      </c>
      <c r="E497" t="inlineStr">
        <is>
          <t>DR</t>
        </is>
      </c>
      <c r="F497" t="inlineStr">
        <is>
          <t>GBP</t>
        </is>
      </c>
      <c r="G497" s="7" t="n">
        <v>-1622197.474</v>
      </c>
      <c r="H497" t="inlineStr">
        <is>
          <t>GBP</t>
        </is>
      </c>
      <c r="I497" s="7" t="n">
        <v>-1622197.474</v>
      </c>
      <c r="J497" s="8" t="n">
        <v>46252.63486111111</v>
      </c>
      <c r="K497" t="inlineStr">
        <is>
          <t>CF260818 00491</t>
        </is>
      </c>
      <c r="L497" t="inlineStr">
        <is>
          <t>GL.NOSTRO.GBP.BRGX.007</t>
        </is>
      </c>
      <c r="M497" t="inlineStr">
        <is>
          <t>Juniper Settlement Bank</t>
        </is>
      </c>
      <c r="N497" t="inlineStr">
        <is>
          <t>BRGXTRSY</t>
        </is>
      </c>
      <c r="O497" t="inlineStr">
        <is>
          <t>NEW</t>
        </is>
      </c>
      <c r="P497" t="inlineStr">
        <is>
          <t>NT26081800293</t>
        </is>
      </c>
      <c r="Q497" t="inlineStr">
        <is>
          <t>NETTER</t>
        </is>
      </c>
    </row>
    <row r="498">
      <c r="A498" t="inlineStr">
        <is>
          <t>150316825069</t>
        </is>
      </c>
      <c r="B498" t="inlineStr">
        <is>
          <t>TCP</t>
        </is>
      </c>
      <c r="C498" t="inlineStr">
        <is>
          <t>BRGX</t>
        </is>
      </c>
      <c r="D498" s="6" t="n">
        <v>46252</v>
      </c>
      <c r="E498" t="inlineStr">
        <is>
          <t>CR</t>
        </is>
      </c>
      <c r="F498" t="inlineStr">
        <is>
          <t>GBP</t>
        </is>
      </c>
      <c r="G498" s="7" t="n">
        <v>1254431.791</v>
      </c>
      <c r="H498" t="inlineStr">
        <is>
          <t>GBP</t>
        </is>
      </c>
      <c r="I498" s="7" t="n">
        <v>1254431.791</v>
      </c>
      <c r="J498" s="8" t="n">
        <v>46252.94221064815</v>
      </c>
      <c r="K498" t="inlineStr">
        <is>
          <t>CF260818 00492</t>
        </is>
      </c>
      <c r="L498" t="inlineStr">
        <is>
          <t>GL.NOSTRO.GBP.BRGX.001</t>
        </is>
      </c>
      <c r="M498" t="inlineStr">
        <is>
          <t>Elmwood Trust</t>
        </is>
      </c>
      <c r="N498" t="inlineStr">
        <is>
          <t>BRGXCASH</t>
        </is>
      </c>
      <c r="O498" t="inlineStr">
        <is>
          <t>AMEND</t>
        </is>
      </c>
      <c r="P498" t="inlineStr">
        <is>
          <t>NT26081800289</t>
        </is>
      </c>
      <c r="Q498" t="inlineStr">
        <is>
          <t>NETTER</t>
        </is>
      </c>
    </row>
    <row r="499">
      <c r="A499" t="inlineStr">
        <is>
          <t>968942362772</t>
        </is>
      </c>
      <c r="B499" t="inlineStr">
        <is>
          <t>TCP</t>
        </is>
      </c>
      <c r="C499" t="inlineStr">
        <is>
          <t>BRYG</t>
        </is>
      </c>
      <c r="D499" s="6" t="n">
        <v>46252</v>
      </c>
      <c r="E499" t="inlineStr">
        <is>
          <t>DR</t>
        </is>
      </c>
      <c r="F499" t="inlineStr">
        <is>
          <t>EUR</t>
        </is>
      </c>
      <c r="G499" s="7" t="n">
        <v>-373469.646</v>
      </c>
      <c r="H499" t="inlineStr">
        <is>
          <t>GBP</t>
        </is>
      </c>
      <c r="I499" s="7" t="n">
        <v>-320436.956</v>
      </c>
      <c r="J499" s="8" t="n">
        <v>46252.21561342593</v>
      </c>
      <c r="K499" t="inlineStr">
        <is>
          <t>CF260818 00493</t>
        </is>
      </c>
      <c r="L499" t="inlineStr">
        <is>
          <t>GL.NOSTRO.EUR.BRYG.004</t>
        </is>
      </c>
      <c r="M499" t="inlineStr">
        <is>
          <t>Elmwood Bank</t>
        </is>
      </c>
      <c r="N499" t="inlineStr">
        <is>
          <t>BRYGTRSY</t>
        </is>
      </c>
      <c r="O499" t="inlineStr">
        <is>
          <t>NEW</t>
        </is>
      </c>
      <c r="P499" t="inlineStr">
        <is>
          <t>NT26081800315</t>
        </is>
      </c>
      <c r="Q499" t="inlineStr">
        <is>
          <t>NETTER</t>
        </is>
      </c>
    </row>
    <row r="500">
      <c r="A500" t="inlineStr">
        <is>
          <t>150316825069</t>
        </is>
      </c>
      <c r="B500" t="inlineStr">
        <is>
          <t>TCP</t>
        </is>
      </c>
      <c r="C500" t="inlineStr">
        <is>
          <t>BRGX</t>
        </is>
      </c>
      <c r="D500" s="6" t="n">
        <v>46252</v>
      </c>
      <c r="E500" t="inlineStr">
        <is>
          <t>DR</t>
        </is>
      </c>
      <c r="F500" t="inlineStr">
        <is>
          <t>GBP</t>
        </is>
      </c>
      <c r="G500" s="7" t="n">
        <v>-30099399.847</v>
      </c>
      <c r="H500" t="inlineStr">
        <is>
          <t>GBP</t>
        </is>
      </c>
      <c r="I500" s="7" t="n">
        <v>-30099399.847</v>
      </c>
      <c r="J500" s="8" t="n">
        <v>46252.44087962963</v>
      </c>
      <c r="K500" t="inlineStr">
        <is>
          <t>CF260818 00494</t>
        </is>
      </c>
      <c r="L500" t="inlineStr">
        <is>
          <t>GL.NOSTRO.GBP.BRGX.007</t>
        </is>
      </c>
      <c r="M500" t="inlineStr">
        <is>
          <t>Zephyr Bank</t>
        </is>
      </c>
      <c r="N500" t="inlineStr">
        <is>
          <t>BRGXTRSY</t>
        </is>
      </c>
      <c r="O500" t="inlineStr">
        <is>
          <t>NEW</t>
        </is>
      </c>
      <c r="P500" t="inlineStr">
        <is>
          <t>NT26081800292</t>
        </is>
      </c>
      <c r="Q500" t="inlineStr">
        <is>
          <t>INTERNAL</t>
        </is>
      </c>
    </row>
    <row r="501">
      <c r="A501" t="inlineStr">
        <is>
          <t>726928343448</t>
        </is>
      </c>
      <c r="B501" t="inlineStr">
        <is>
          <t>TCP</t>
        </is>
      </c>
      <c r="C501" t="inlineStr">
        <is>
          <t>BRGX</t>
        </is>
      </c>
      <c r="D501" s="6" t="n">
        <v>46252</v>
      </c>
      <c r="E501" t="inlineStr">
        <is>
          <t>CR</t>
        </is>
      </c>
      <c r="F501" t="inlineStr">
        <is>
          <t>EUR</t>
        </is>
      </c>
      <c r="G501" s="7" t="n">
        <v>2939144.383</v>
      </c>
      <c r="H501" t="inlineStr">
        <is>
          <t>GBP</t>
        </is>
      </c>
      <c r="I501" s="7" t="n">
        <v>2521785.881</v>
      </c>
      <c r="J501" s="8" t="n">
        <v>46252.59087962963</v>
      </c>
      <c r="K501" t="inlineStr">
        <is>
          <t>CF260818 00495</t>
        </is>
      </c>
      <c r="L501" t="inlineStr">
        <is>
          <t>GL.NOSTRO.EUR.BRGX.005</t>
        </is>
      </c>
      <c r="M501" t="inlineStr">
        <is>
          <t>Mallow Trust</t>
        </is>
      </c>
      <c r="N501" t="inlineStr">
        <is>
          <t>BRGX</t>
        </is>
      </c>
      <c r="O501" t="inlineStr">
        <is>
          <t>NEW</t>
        </is>
      </c>
      <c r="Q501" t="inlineStr">
        <is>
          <t>GROSS</t>
        </is>
      </c>
    </row>
    <row r="502">
      <c r="A502" t="inlineStr">
        <is>
          <t>150316825069</t>
        </is>
      </c>
      <c r="B502" t="inlineStr">
        <is>
          <t>TCQ</t>
        </is>
      </c>
      <c r="C502" t="inlineStr">
        <is>
          <t>BRGX</t>
        </is>
      </c>
      <c r="D502" s="6" t="n">
        <v>46252</v>
      </c>
      <c r="E502" t="inlineStr">
        <is>
          <t>CR</t>
        </is>
      </c>
      <c r="F502" t="inlineStr">
        <is>
          <t>GBP</t>
        </is>
      </c>
      <c r="G502" s="7" t="n">
        <v>802781.4620000001</v>
      </c>
      <c r="H502" t="inlineStr">
        <is>
          <t>GBP</t>
        </is>
      </c>
      <c r="I502" s="7" t="n">
        <v>802781.4620000001</v>
      </c>
      <c r="J502" s="8" t="n">
        <v>46252.44554398148</v>
      </c>
      <c r="K502" t="inlineStr">
        <is>
          <t>CF260818 00496</t>
        </is>
      </c>
      <c r="L502" t="inlineStr">
        <is>
          <t>GL.NOSTRO.GBP.BRGX.004</t>
        </is>
      </c>
      <c r="M502" t="inlineStr">
        <is>
          <t>Mallow Trust</t>
        </is>
      </c>
      <c r="N502" t="inlineStr">
        <is>
          <t>BRGXTRSY</t>
        </is>
      </c>
      <c r="O502" t="inlineStr">
        <is>
          <t>NEW</t>
        </is>
      </c>
      <c r="Q502" t="inlineStr">
        <is>
          <t>NETTER</t>
        </is>
      </c>
    </row>
    <row r="503">
      <c r="A503" t="inlineStr">
        <is>
          <t>726928343448</t>
        </is>
      </c>
      <c r="B503" t="inlineStr">
        <is>
          <t>TCX</t>
        </is>
      </c>
      <c r="C503" t="inlineStr">
        <is>
          <t>BRGX</t>
        </is>
      </c>
      <c r="D503" s="6" t="n">
        <v>46252</v>
      </c>
      <c r="E503" t="inlineStr">
        <is>
          <t>CR</t>
        </is>
      </c>
      <c r="F503" t="inlineStr">
        <is>
          <t>EUR</t>
        </is>
      </c>
      <c r="G503" s="7" t="n">
        <v>135.004</v>
      </c>
      <c r="H503" t="inlineStr">
        <is>
          <t>GBP</t>
        </is>
      </c>
      <c r="I503" s="7" t="n">
        <v>115.833</v>
      </c>
      <c r="J503" s="8" t="n">
        <v>46252.55055555556</v>
      </c>
      <c r="K503" t="inlineStr">
        <is>
          <t>CF260818 00497</t>
        </is>
      </c>
      <c r="L503" t="inlineStr">
        <is>
          <t>GL.NOSTRO.EUR.BRGX.007</t>
        </is>
      </c>
      <c r="M503" t="inlineStr">
        <is>
          <t>Sablewood Bank</t>
        </is>
      </c>
      <c r="N503" t="inlineStr">
        <is>
          <t>BRGXMM</t>
        </is>
      </c>
      <c r="O503" t="inlineStr">
        <is>
          <t>NEW</t>
        </is>
      </c>
      <c r="P503" t="inlineStr">
        <is>
          <t>NT26081800297</t>
        </is>
      </c>
      <c r="Q503" t="inlineStr">
        <is>
          <t>NETTER</t>
        </is>
      </c>
    </row>
    <row r="504">
      <c r="A504" t="inlineStr">
        <is>
          <t>824840705580</t>
        </is>
      </c>
      <c r="B504" t="inlineStr">
        <is>
          <t>TCX</t>
        </is>
      </c>
      <c r="C504" t="inlineStr">
        <is>
          <t>BRGL</t>
        </is>
      </c>
      <c r="D504" s="6" t="n">
        <v>46252</v>
      </c>
      <c r="E504" t="inlineStr">
        <is>
          <t>CR</t>
        </is>
      </c>
      <c r="F504" t="inlineStr">
        <is>
          <t>EUR</t>
        </is>
      </c>
      <c r="G504" s="7" t="n">
        <v>166664.068</v>
      </c>
      <c r="H504" t="inlineStr">
        <is>
          <t>GBP</t>
        </is>
      </c>
      <c r="I504" s="7" t="n">
        <v>142997.77</v>
      </c>
      <c r="J504" s="8" t="n">
        <v>46252.5078587963</v>
      </c>
      <c r="K504" t="inlineStr">
        <is>
          <t>CF260818 00498</t>
        </is>
      </c>
      <c r="L504" t="inlineStr">
        <is>
          <t>GL.NOSTRO.EUR.BRGL.006</t>
        </is>
      </c>
      <c r="M504" t="inlineStr">
        <is>
          <t>Vetchling Settlement Bank</t>
        </is>
      </c>
      <c r="N504" t="inlineStr">
        <is>
          <t>BRGLMM</t>
        </is>
      </c>
      <c r="O504" t="inlineStr">
        <is>
          <t>NEW</t>
        </is>
      </c>
      <c r="Q504" t="inlineStr">
        <is>
          <t>NETTER</t>
        </is>
      </c>
    </row>
    <row r="505">
      <c r="A505" t="inlineStr">
        <is>
          <t>150316825069</t>
        </is>
      </c>
      <c r="B505" t="inlineStr">
        <is>
          <t>TCQ</t>
        </is>
      </c>
      <c r="C505" t="inlineStr">
        <is>
          <t>BRGX</t>
        </is>
      </c>
      <c r="D505" s="6" t="n">
        <v>46252</v>
      </c>
      <c r="E505" t="inlineStr">
        <is>
          <t>CR</t>
        </is>
      </c>
      <c r="F505" t="inlineStr">
        <is>
          <t>GBP</t>
        </is>
      </c>
      <c r="G505" s="7" t="n">
        <v>1695470.635</v>
      </c>
      <c r="H505" t="inlineStr">
        <is>
          <t>GBP</t>
        </is>
      </c>
      <c r="I505" s="7" t="n">
        <v>1695470.635</v>
      </c>
      <c r="J505" s="8" t="n">
        <v>46252.36863425926</v>
      </c>
      <c r="K505" t="inlineStr">
        <is>
          <t>CF260818 00499</t>
        </is>
      </c>
      <c r="L505" t="inlineStr">
        <is>
          <t>GL.NOSTRO.GBP.BRGX.002</t>
        </is>
      </c>
      <c r="M505" t="inlineStr">
        <is>
          <t>Granite Clearing</t>
        </is>
      </c>
      <c r="N505" t="inlineStr">
        <is>
          <t>BRGXCASH</t>
        </is>
      </c>
      <c r="O505" t="inlineStr">
        <is>
          <t>NEW</t>
        </is>
      </c>
      <c r="P505" t="inlineStr">
        <is>
          <t>NT26081800291</t>
        </is>
      </c>
      <c r="Q505" t="inlineStr">
        <is>
          <t>NETTER</t>
        </is>
      </c>
    </row>
    <row r="506">
      <c r="A506" t="inlineStr">
        <is>
          <t>621381112674</t>
        </is>
      </c>
      <c r="B506" t="inlineStr">
        <is>
          <t>TCX</t>
        </is>
      </c>
      <c r="C506" t="inlineStr">
        <is>
          <t>BRAA</t>
        </is>
      </c>
      <c r="D506" s="6" t="n">
        <v>46252</v>
      </c>
      <c r="E506" t="inlineStr">
        <is>
          <t>DR</t>
        </is>
      </c>
      <c r="F506" t="inlineStr">
        <is>
          <t>PLN</t>
        </is>
      </c>
      <c r="G506" s="7" t="n">
        <v>-6568536.385</v>
      </c>
      <c r="H506" t="inlineStr">
        <is>
          <t>GBP</t>
        </is>
      </c>
      <c r="I506" s="7" t="n">
        <v>-1300570.204</v>
      </c>
      <c r="J506" s="8" t="n">
        <v>46252.31674768519</v>
      </c>
      <c r="K506" t="inlineStr">
        <is>
          <t>CF260818 00500</t>
        </is>
      </c>
      <c r="L506" t="inlineStr">
        <is>
          <t>GL.NOSTRO.PLN.BRAA.005</t>
        </is>
      </c>
      <c r="M506" t="inlineStr">
        <is>
          <t>Yarrow Commercial Bank</t>
        </is>
      </c>
      <c r="N506" t="inlineStr">
        <is>
          <t>BRAAMM</t>
        </is>
      </c>
      <c r="O506" t="inlineStr">
        <is>
          <t>NEW</t>
        </is>
      </c>
      <c r="P506" t="inlineStr">
        <is>
          <t>NT26081800278</t>
        </is>
      </c>
      <c r="Q506" t="inlineStr">
        <is>
          <t>GROSS</t>
        </is>
      </c>
    </row>
    <row r="507">
      <c r="A507" t="inlineStr">
        <is>
          <t>499062838623</t>
        </is>
      </c>
      <c r="B507" t="inlineStr">
        <is>
          <t>TCX</t>
        </is>
      </c>
      <c r="C507" t="inlineStr">
        <is>
          <t>BRBX</t>
        </is>
      </c>
      <c r="D507" s="6" t="n">
        <v>46252</v>
      </c>
      <c r="E507" t="inlineStr">
        <is>
          <t>DR</t>
        </is>
      </c>
      <c r="F507" t="inlineStr">
        <is>
          <t>USD</t>
        </is>
      </c>
      <c r="G507" s="7" t="n">
        <v>-44071991.283</v>
      </c>
      <c r="H507" t="inlineStr">
        <is>
          <t>GBP</t>
        </is>
      </c>
      <c r="I507" s="7" t="n">
        <v>-34552441.166</v>
      </c>
      <c r="J507" s="8" t="n">
        <v>46252.55074074074</v>
      </c>
      <c r="K507" t="inlineStr">
        <is>
          <t>CF260818 00501</t>
        </is>
      </c>
      <c r="L507" t="inlineStr">
        <is>
          <t>GL.NOSTRO.USD.BRBX.007</t>
        </is>
      </c>
      <c r="M507" t="inlineStr">
        <is>
          <t>Mallow Trust</t>
        </is>
      </c>
      <c r="N507" t="inlineStr">
        <is>
          <t>BRBX</t>
        </is>
      </c>
      <c r="O507" t="inlineStr">
        <is>
          <t>NEW</t>
        </is>
      </c>
      <c r="Q507" t="inlineStr">
        <is>
          <t>GROSS</t>
        </is>
      </c>
    </row>
    <row r="508">
      <c r="A508" t="inlineStr">
        <is>
          <t>794226063698</t>
        </is>
      </c>
      <c r="B508" t="inlineStr">
        <is>
          <t>TCG</t>
        </is>
      </c>
      <c r="C508" t="inlineStr">
        <is>
          <t>BRMD</t>
        </is>
      </c>
      <c r="D508" s="6" t="n">
        <v>46252</v>
      </c>
      <c r="E508" t="inlineStr">
        <is>
          <t>CR</t>
        </is>
      </c>
      <c r="F508" t="inlineStr">
        <is>
          <t>AED</t>
        </is>
      </c>
      <c r="G508" s="7" t="n">
        <v>88465641.647</v>
      </c>
      <c r="H508" t="inlineStr">
        <is>
          <t>GBP</t>
        </is>
      </c>
      <c r="I508" s="7" t="n">
        <v>18843181.671</v>
      </c>
      <c r="J508" s="8" t="n">
        <v>46252.7396875</v>
      </c>
      <c r="K508" t="inlineStr">
        <is>
          <t>CF260818 00502</t>
        </is>
      </c>
      <c r="L508" t="inlineStr">
        <is>
          <t>GL.NOSTRO.AED.BRMD.008</t>
        </is>
      </c>
      <c r="M508" t="inlineStr">
        <is>
          <t>Larkspur Clearing</t>
        </is>
      </c>
      <c r="N508" t="inlineStr">
        <is>
          <t>BRMD</t>
        </is>
      </c>
      <c r="O508" t="inlineStr">
        <is>
          <t>NEW</t>
        </is>
      </c>
      <c r="Q508" t="inlineStr">
        <is>
          <t>NETTER</t>
        </is>
      </c>
    </row>
    <row r="509">
      <c r="A509" t="inlineStr">
        <is>
          <t>953625291146</t>
        </is>
      </c>
      <c r="B509" t="inlineStr">
        <is>
          <t>TCQ</t>
        </is>
      </c>
      <c r="C509" t="inlineStr">
        <is>
          <t>BRGL</t>
        </is>
      </c>
      <c r="D509" s="6" t="n">
        <v>46252</v>
      </c>
      <c r="E509" t="inlineStr">
        <is>
          <t>DR</t>
        </is>
      </c>
      <c r="F509" t="inlineStr">
        <is>
          <t>USD</t>
        </is>
      </c>
      <c r="G509" s="7" t="n">
        <v>-37384.5</v>
      </c>
      <c r="H509" t="inlineStr">
        <is>
          <t>GBP</t>
        </is>
      </c>
      <c r="I509" s="7" t="n">
        <v>-29309.448</v>
      </c>
      <c r="J509" s="8" t="n">
        <v>46252.34081018518</v>
      </c>
      <c r="K509" t="inlineStr">
        <is>
          <t>CF260818 00503</t>
        </is>
      </c>
      <c r="L509" t="inlineStr">
        <is>
          <t>GL.NOSTRO.USD.BRGL.001</t>
        </is>
      </c>
      <c r="M509" t="inlineStr">
        <is>
          <t>Yarrow Clearing</t>
        </is>
      </c>
      <c r="N509" t="inlineStr">
        <is>
          <t>BRGLTRSY</t>
        </is>
      </c>
      <c r="O509" t="inlineStr">
        <is>
          <t>NEW</t>
        </is>
      </c>
      <c r="Q509" t="inlineStr">
        <is>
          <t>INTERNAL</t>
        </is>
      </c>
    </row>
    <row r="510">
      <c r="A510" t="inlineStr">
        <is>
          <t>468341071172</t>
        </is>
      </c>
      <c r="B510" t="inlineStr">
        <is>
          <t>TCQ</t>
        </is>
      </c>
      <c r="C510" t="inlineStr">
        <is>
          <t>BRCC</t>
        </is>
      </c>
      <c r="D510" s="6" t="n">
        <v>46252</v>
      </c>
      <c r="E510" t="inlineStr">
        <is>
          <t>CR</t>
        </is>
      </c>
      <c r="F510" t="inlineStr">
        <is>
          <t>EUR</t>
        </is>
      </c>
      <c r="G510" s="7" t="n">
        <v>210668.345</v>
      </c>
      <c r="H510" t="inlineStr">
        <is>
          <t>GBP</t>
        </is>
      </c>
      <c r="I510" s="7" t="n">
        <v>180753.44</v>
      </c>
      <c r="J510" s="8" t="n">
        <v>46252.39119212963</v>
      </c>
      <c r="K510" t="inlineStr">
        <is>
          <t>CF260818 00504</t>
        </is>
      </c>
      <c r="L510" t="inlineStr">
        <is>
          <t>GL.NOSTRO.EUR.BRCC.008</t>
        </is>
      </c>
      <c r="M510" t="inlineStr">
        <is>
          <t>Fernway Settlement Bank</t>
        </is>
      </c>
      <c r="N510" t="inlineStr">
        <is>
          <t>BRCCTRSY</t>
        </is>
      </c>
      <c r="O510" t="inlineStr">
        <is>
          <t>AMEND</t>
        </is>
      </c>
      <c r="Q510" t="inlineStr">
        <is>
          <t>NETTER</t>
        </is>
      </c>
    </row>
    <row r="511">
      <c r="A511" t="inlineStr">
        <is>
          <t>150316825069</t>
        </is>
      </c>
      <c r="B511" t="inlineStr">
        <is>
          <t>TCC</t>
        </is>
      </c>
      <c r="C511" t="inlineStr">
        <is>
          <t>BRGX</t>
        </is>
      </c>
      <c r="D511" s="6" t="n">
        <v>46252</v>
      </c>
      <c r="E511" t="inlineStr">
        <is>
          <t>CR</t>
        </is>
      </c>
      <c r="F511" t="inlineStr">
        <is>
          <t>GBP</t>
        </is>
      </c>
      <c r="G511" s="7" t="n">
        <v>40915843.894</v>
      </c>
      <c r="H511" t="inlineStr">
        <is>
          <t>GBP</t>
        </is>
      </c>
      <c r="I511" s="7" t="n">
        <v>40915843.894</v>
      </c>
      <c r="J511" s="8" t="n">
        <v>46252.35736111111</v>
      </c>
      <c r="K511" t="inlineStr">
        <is>
          <t>CF260818 00505</t>
        </is>
      </c>
      <c r="L511" t="inlineStr">
        <is>
          <t>GL.NOSTRO.GBP.BRGX.008</t>
        </is>
      </c>
      <c r="M511" t="inlineStr">
        <is>
          <t>Wrenfield Settlement Bank</t>
        </is>
      </c>
      <c r="N511" t="inlineStr">
        <is>
          <t>BRGXMM</t>
        </is>
      </c>
      <c r="O511" t="inlineStr">
        <is>
          <t>NEW</t>
        </is>
      </c>
      <c r="P511" t="inlineStr">
        <is>
          <t>NT26081800297</t>
        </is>
      </c>
      <c r="Q511" t="inlineStr">
        <is>
          <t>INTERNAL</t>
        </is>
      </c>
    </row>
    <row r="512">
      <c r="A512" t="inlineStr">
        <is>
          <t>953625291146</t>
        </is>
      </c>
      <c r="B512" t="inlineStr">
        <is>
          <t>TCC</t>
        </is>
      </c>
      <c r="C512" t="inlineStr">
        <is>
          <t>BRGL</t>
        </is>
      </c>
      <c r="D512" s="6" t="n">
        <v>46252</v>
      </c>
      <c r="E512" t="inlineStr">
        <is>
          <t>DR</t>
        </is>
      </c>
      <c r="F512" t="inlineStr">
        <is>
          <t>USD</t>
        </is>
      </c>
      <c r="G512" s="7" t="n">
        <v>-133634172.576</v>
      </c>
      <c r="H512" t="inlineStr">
        <is>
          <t>GBP</t>
        </is>
      </c>
      <c r="I512" s="7" t="n">
        <v>-104769191.3</v>
      </c>
      <c r="J512" s="8" t="n">
        <v>46252.36743055555</v>
      </c>
      <c r="K512" t="inlineStr">
        <is>
          <t>CF260818 00506</t>
        </is>
      </c>
      <c r="L512" t="inlineStr">
        <is>
          <t>GL.NOSTRO.USD.BRGL.005</t>
        </is>
      </c>
      <c r="M512" t="inlineStr">
        <is>
          <t>Oriel Trust</t>
        </is>
      </c>
      <c r="N512" t="inlineStr">
        <is>
          <t>BRGL</t>
        </is>
      </c>
      <c r="O512" t="inlineStr">
        <is>
          <t>NEW</t>
        </is>
      </c>
      <c r="Q512" t="inlineStr">
        <is>
          <t>NETTER</t>
        </is>
      </c>
    </row>
    <row r="513">
      <c r="A513" t="inlineStr">
        <is>
          <t>700726936098</t>
        </is>
      </c>
      <c r="B513" t="inlineStr">
        <is>
          <t>TCP</t>
        </is>
      </c>
      <c r="C513" t="inlineStr">
        <is>
          <t>BRMD</t>
        </is>
      </c>
      <c r="D513" s="6" t="n">
        <v>46252</v>
      </c>
      <c r="E513" t="inlineStr">
        <is>
          <t>DR</t>
        </is>
      </c>
      <c r="F513" t="inlineStr">
        <is>
          <t>SAR</t>
        </is>
      </c>
      <c r="G513" s="7" t="n">
        <v>-629645196.378</v>
      </c>
      <c r="H513" t="inlineStr">
        <is>
          <t>GBP</t>
        </is>
      </c>
      <c r="I513" s="7" t="n">
        <v>-131595846.043</v>
      </c>
      <c r="J513" s="8" t="n">
        <v>46252.62493055555</v>
      </c>
      <c r="K513" t="inlineStr">
        <is>
          <t>CF260818 00507</t>
        </is>
      </c>
      <c r="L513" t="inlineStr">
        <is>
          <t>GL.NOSTRO.SAR.BRMD.001</t>
        </is>
      </c>
      <c r="M513" t="inlineStr">
        <is>
          <t>Mallow Clearing</t>
        </is>
      </c>
      <c r="N513" t="inlineStr">
        <is>
          <t>BRMDCASH</t>
        </is>
      </c>
      <c r="O513" t="inlineStr">
        <is>
          <t>AMEND</t>
        </is>
      </c>
      <c r="Q513" t="inlineStr">
        <is>
          <t>GROSS</t>
        </is>
      </c>
    </row>
    <row r="514">
      <c r="A514" t="inlineStr">
        <is>
          <t>150316825069</t>
        </is>
      </c>
      <c r="B514" t="inlineStr">
        <is>
          <t>TCQ</t>
        </is>
      </c>
      <c r="C514" t="inlineStr">
        <is>
          <t>BRGX</t>
        </is>
      </c>
      <c r="D514" s="6" t="n">
        <v>46252</v>
      </c>
      <c r="E514" t="inlineStr">
        <is>
          <t>CR</t>
        </is>
      </c>
      <c r="F514" t="inlineStr">
        <is>
          <t>GBP</t>
        </is>
      </c>
      <c r="G514" s="7" t="n">
        <v>3739337.544</v>
      </c>
      <c r="H514" t="inlineStr">
        <is>
          <t>GBP</t>
        </is>
      </c>
      <c r="I514" s="7" t="n">
        <v>3739337.544</v>
      </c>
      <c r="J514" s="8" t="n">
        <v>46252.48049768519</v>
      </c>
      <c r="K514" t="inlineStr">
        <is>
          <t>CF260818 00508</t>
        </is>
      </c>
      <c r="L514" t="inlineStr">
        <is>
          <t>GL.NOSTRO.GBP.BRGX.002</t>
        </is>
      </c>
      <c r="M514" t="inlineStr">
        <is>
          <t>Pinehurst Clearing</t>
        </is>
      </c>
      <c r="N514" t="inlineStr">
        <is>
          <t>BRGXCASH</t>
        </is>
      </c>
      <c r="O514" t="inlineStr">
        <is>
          <t>NEW</t>
        </is>
      </c>
      <c r="Q514" t="inlineStr">
        <is>
          <t>NETTER</t>
        </is>
      </c>
    </row>
    <row r="515">
      <c r="A515" t="inlineStr">
        <is>
          <t>468341071172</t>
        </is>
      </c>
      <c r="B515" t="inlineStr">
        <is>
          <t>TCG</t>
        </is>
      </c>
      <c r="C515" t="inlineStr">
        <is>
          <t>BRCC</t>
        </is>
      </c>
      <c r="D515" s="6" t="n">
        <v>46252</v>
      </c>
      <c r="E515" t="inlineStr">
        <is>
          <t>DR</t>
        </is>
      </c>
      <c r="F515" t="inlineStr">
        <is>
          <t>EUR</t>
        </is>
      </c>
      <c r="G515" s="7" t="n">
        <v>-3434510.905</v>
      </c>
      <c r="H515" t="inlineStr">
        <is>
          <t>GBP</t>
        </is>
      </c>
      <c r="I515" s="7" t="n">
        <v>-2946810.356</v>
      </c>
      <c r="J515" s="8" t="n">
        <v>46252.52601851852</v>
      </c>
      <c r="K515" t="inlineStr">
        <is>
          <t>CF260818 00509</t>
        </is>
      </c>
      <c r="L515" t="inlineStr">
        <is>
          <t>GL.NOSTRO.EUR.BRCC.008</t>
        </is>
      </c>
      <c r="M515" t="inlineStr">
        <is>
          <t>Dunlin Clearing</t>
        </is>
      </c>
      <c r="N515" t="inlineStr">
        <is>
          <t>BRCCCASH</t>
        </is>
      </c>
      <c r="O515" t="inlineStr">
        <is>
          <t>NEW</t>
        </is>
      </c>
      <c r="P515" t="inlineStr">
        <is>
          <t>NT26081800305</t>
        </is>
      </c>
      <c r="Q515" t="inlineStr">
        <is>
          <t>NETTER</t>
        </is>
      </c>
    </row>
    <row r="516">
      <c r="A516" t="inlineStr">
        <is>
          <t>150316825069</t>
        </is>
      </c>
      <c r="B516" t="inlineStr">
        <is>
          <t>TCC</t>
        </is>
      </c>
      <c r="C516" t="inlineStr">
        <is>
          <t>BRGX</t>
        </is>
      </c>
      <c r="D516" s="6" t="n">
        <v>46252</v>
      </c>
      <c r="E516" t="inlineStr">
        <is>
          <t>DR</t>
        </is>
      </c>
      <c r="F516" t="inlineStr">
        <is>
          <t>GBP</t>
        </is>
      </c>
      <c r="G516" s="7" t="n">
        <v>-40159429.363</v>
      </c>
      <c r="H516" t="inlineStr">
        <is>
          <t>GBP</t>
        </is>
      </c>
      <c r="I516" s="7" t="n">
        <v>-40159429.363</v>
      </c>
      <c r="J516" s="8" t="n">
        <v>46252.78890046296</v>
      </c>
      <c r="K516" t="inlineStr">
        <is>
          <t>CF260818 00510</t>
        </is>
      </c>
      <c r="L516" t="inlineStr">
        <is>
          <t>GL.NOSTRO.GBP.BRGX.006</t>
        </is>
      </c>
      <c r="M516" t="inlineStr">
        <is>
          <t>Oriel Trust</t>
        </is>
      </c>
      <c r="N516" t="inlineStr">
        <is>
          <t>BRGXTRSY</t>
        </is>
      </c>
      <c r="O516" t="inlineStr">
        <is>
          <t>NEW</t>
        </is>
      </c>
      <c r="Q516" t="inlineStr">
        <is>
          <t>NETTER</t>
        </is>
      </c>
    </row>
    <row r="517">
      <c r="A517" t="inlineStr">
        <is>
          <t>150316825069</t>
        </is>
      </c>
      <c r="B517" t="inlineStr">
        <is>
          <t>TCQ</t>
        </is>
      </c>
      <c r="C517" t="inlineStr">
        <is>
          <t>BRGX</t>
        </is>
      </c>
      <c r="D517" s="6" t="n">
        <v>46252</v>
      </c>
      <c r="E517" t="inlineStr">
        <is>
          <t>DR</t>
        </is>
      </c>
      <c r="F517" t="inlineStr">
        <is>
          <t>GBP</t>
        </is>
      </c>
      <c r="G517" s="7" t="n">
        <v>-173153068.692</v>
      </c>
      <c r="H517" t="inlineStr">
        <is>
          <t>GBP</t>
        </is>
      </c>
      <c r="I517" s="7" t="n">
        <v>-173153068.692</v>
      </c>
      <c r="J517" s="8" t="n">
        <v>46252.35518518519</v>
      </c>
      <c r="K517" t="inlineStr">
        <is>
          <t>CF260818 00511</t>
        </is>
      </c>
      <c r="L517" t="inlineStr">
        <is>
          <t>GL.NOSTRO.GBP.BRGX.003</t>
        </is>
      </c>
      <c r="M517" t="inlineStr">
        <is>
          <t>Granite Bank</t>
        </is>
      </c>
      <c r="N517" t="inlineStr">
        <is>
          <t>BRGXCASH</t>
        </is>
      </c>
      <c r="O517" t="inlineStr">
        <is>
          <t>NEW</t>
        </is>
      </c>
      <c r="P517" t="inlineStr">
        <is>
          <t>NT26081800286</t>
        </is>
      </c>
      <c r="Q517" t="inlineStr">
        <is>
          <t>NETTER</t>
        </is>
      </c>
    </row>
    <row r="518">
      <c r="A518" t="inlineStr">
        <is>
          <t>898317028833</t>
        </is>
      </c>
      <c r="B518" t="inlineStr">
        <is>
          <t>TCP</t>
        </is>
      </c>
      <c r="C518" t="inlineStr">
        <is>
          <t>BRAA</t>
        </is>
      </c>
      <c r="D518" s="6" t="n">
        <v>46252</v>
      </c>
      <c r="E518" t="inlineStr">
        <is>
          <t>DR</t>
        </is>
      </c>
      <c r="F518" t="inlineStr">
        <is>
          <t>GBP</t>
        </is>
      </c>
      <c r="G518" s="7" t="n">
        <v>-221853276.208</v>
      </c>
      <c r="H518" t="inlineStr">
        <is>
          <t>GBP</t>
        </is>
      </c>
      <c r="I518" s="7" t="n">
        <v>-221853276.208</v>
      </c>
      <c r="J518" s="8" t="n">
        <v>46252.5390162037</v>
      </c>
      <c r="K518" t="inlineStr">
        <is>
          <t>CF260818 00512</t>
        </is>
      </c>
      <c r="L518" t="inlineStr">
        <is>
          <t>GL.NOSTRO.GBP.BRAA.005</t>
        </is>
      </c>
      <c r="M518" t="inlineStr">
        <is>
          <t>Granite Bank</t>
        </is>
      </c>
      <c r="N518" t="inlineStr">
        <is>
          <t>BRAAMM</t>
        </is>
      </c>
      <c r="O518" t="inlineStr">
        <is>
          <t>NEW</t>
        </is>
      </c>
      <c r="Q518" t="inlineStr">
        <is>
          <t>GROSS</t>
        </is>
      </c>
    </row>
    <row r="519">
      <c r="A519" t="inlineStr">
        <is>
          <t>150316825069</t>
        </is>
      </c>
      <c r="B519" t="inlineStr">
        <is>
          <t>TCP</t>
        </is>
      </c>
      <c r="C519" t="inlineStr">
        <is>
          <t>BRGX</t>
        </is>
      </c>
      <c r="D519" s="6" t="n">
        <v>46252</v>
      </c>
      <c r="E519" t="inlineStr">
        <is>
          <t>DR</t>
        </is>
      </c>
      <c r="F519" t="inlineStr">
        <is>
          <t>GBP</t>
        </is>
      </c>
      <c r="G519" s="7" t="n">
        <v>-60762757.444</v>
      </c>
      <c r="H519" t="inlineStr">
        <is>
          <t>GBP</t>
        </is>
      </c>
      <c r="I519" s="7" t="n">
        <v>-60762757.444</v>
      </c>
      <c r="J519" s="8" t="n">
        <v>46252.35050925926</v>
      </c>
      <c r="K519" t="inlineStr">
        <is>
          <t>CF260818 00513</t>
        </is>
      </c>
      <c r="L519" t="inlineStr">
        <is>
          <t>GL.NOSTRO.GBP.BRGX.006</t>
        </is>
      </c>
      <c r="M519" t="inlineStr">
        <is>
          <t>Mallow Commercial Bank</t>
        </is>
      </c>
      <c r="N519" t="inlineStr">
        <is>
          <t>BRGXTRSY</t>
        </is>
      </c>
      <c r="O519" t="inlineStr">
        <is>
          <t>NEW</t>
        </is>
      </c>
      <c r="Q519" t="inlineStr">
        <is>
          <t>NETTER</t>
        </is>
      </c>
    </row>
    <row r="520">
      <c r="A520" t="inlineStr">
        <is>
          <t>468341071172</t>
        </is>
      </c>
      <c r="B520" t="inlineStr">
        <is>
          <t>TCX</t>
        </is>
      </c>
      <c r="C520" t="inlineStr">
        <is>
          <t>BRCC</t>
        </is>
      </c>
      <c r="D520" s="6" t="n">
        <v>46252</v>
      </c>
      <c r="E520" t="inlineStr">
        <is>
          <t>CR</t>
        </is>
      </c>
      <c r="F520" t="inlineStr">
        <is>
          <t>EUR</t>
        </is>
      </c>
      <c r="G520" s="7" t="n">
        <v>5724.534</v>
      </c>
      <c r="H520" t="inlineStr">
        <is>
          <t>GBP</t>
        </is>
      </c>
      <c r="I520" s="7" t="n">
        <v>4911.65</v>
      </c>
      <c r="J520" s="8" t="n">
        <v>46252.7193287037</v>
      </c>
      <c r="K520" t="inlineStr">
        <is>
          <t>CF260818 00514</t>
        </is>
      </c>
      <c r="L520" t="inlineStr">
        <is>
          <t>GL.NOSTRO.EUR.BRCC.009</t>
        </is>
      </c>
      <c r="M520" t="inlineStr">
        <is>
          <t>Umberton Commercial Bank</t>
        </is>
      </c>
      <c r="N520" t="inlineStr">
        <is>
          <t>BRCCTRSY</t>
        </is>
      </c>
      <c r="O520" t="inlineStr">
        <is>
          <t>NEW</t>
        </is>
      </c>
      <c r="Q520" t="inlineStr">
        <is>
          <t>INTERNAL</t>
        </is>
      </c>
    </row>
    <row r="521">
      <c r="A521" t="inlineStr">
        <is>
          <t>898317028833</t>
        </is>
      </c>
      <c r="B521" t="inlineStr">
        <is>
          <t>TCC</t>
        </is>
      </c>
      <c r="C521" t="inlineStr">
        <is>
          <t>BRAA</t>
        </is>
      </c>
      <c r="D521" s="6" t="n">
        <v>46252</v>
      </c>
      <c r="E521" t="inlineStr">
        <is>
          <t>DR</t>
        </is>
      </c>
      <c r="F521" t="inlineStr">
        <is>
          <t>GBP</t>
        </is>
      </c>
      <c r="G521" s="7" t="n">
        <v>-48648640.004</v>
      </c>
      <c r="H521" t="inlineStr">
        <is>
          <t>GBP</t>
        </is>
      </c>
      <c r="I521" s="7" t="n">
        <v>-48648640.004</v>
      </c>
      <c r="J521" s="8" t="n">
        <v>46252.49788194444</v>
      </c>
      <c r="K521" t="inlineStr">
        <is>
          <t>CF260818 00515</t>
        </is>
      </c>
      <c r="L521" t="inlineStr">
        <is>
          <t>GL.NOSTRO.GBP.BRAA.005</t>
        </is>
      </c>
      <c r="M521" t="inlineStr">
        <is>
          <t>Dunlin Clearing</t>
        </is>
      </c>
      <c r="N521" t="inlineStr">
        <is>
          <t>BRAAMM</t>
        </is>
      </c>
      <c r="O521" t="inlineStr">
        <is>
          <t>NEW</t>
        </is>
      </c>
      <c r="P521" t="inlineStr">
        <is>
          <t>NT26081800277</t>
        </is>
      </c>
      <c r="Q521" t="inlineStr">
        <is>
          <t>GROSS</t>
        </is>
      </c>
    </row>
    <row r="522">
      <c r="A522" t="inlineStr">
        <is>
          <t>150316825069</t>
        </is>
      </c>
      <c r="B522" t="inlineStr">
        <is>
          <t>TCQ</t>
        </is>
      </c>
      <c r="C522" t="inlineStr">
        <is>
          <t>BRGX</t>
        </is>
      </c>
      <c r="D522" s="6" t="n">
        <v>46252</v>
      </c>
      <c r="E522" t="inlineStr">
        <is>
          <t>CR</t>
        </is>
      </c>
      <c r="F522" t="inlineStr">
        <is>
          <t>GBP</t>
        </is>
      </c>
      <c r="G522" s="7" t="n">
        <v>51649692.609</v>
      </c>
      <c r="H522" t="inlineStr">
        <is>
          <t>GBP</t>
        </is>
      </c>
      <c r="I522" s="7" t="n">
        <v>51649692.609</v>
      </c>
      <c r="J522" s="8" t="n">
        <v>46252.71167824074</v>
      </c>
      <c r="K522" t="inlineStr">
        <is>
          <t>CF260818 00516</t>
        </is>
      </c>
      <c r="L522" t="inlineStr">
        <is>
          <t>GL.NOSTRO.GBP.BRGX.002</t>
        </is>
      </c>
      <c r="M522" t="inlineStr">
        <is>
          <t>Redstart Trust</t>
        </is>
      </c>
      <c r="N522" t="inlineStr">
        <is>
          <t>BRGX</t>
        </is>
      </c>
      <c r="O522" t="inlineStr">
        <is>
          <t>AMEND</t>
        </is>
      </c>
      <c r="Q522" t="inlineStr">
        <is>
          <t>GROSS</t>
        </is>
      </c>
    </row>
    <row r="523">
      <c r="A523" t="inlineStr">
        <is>
          <t>150316825069</t>
        </is>
      </c>
      <c r="B523" t="inlineStr">
        <is>
          <t>TCP</t>
        </is>
      </c>
      <c r="C523" t="inlineStr">
        <is>
          <t>BRGX</t>
        </is>
      </c>
      <c r="D523" s="6" t="n">
        <v>46252</v>
      </c>
      <c r="E523" t="inlineStr">
        <is>
          <t>DR</t>
        </is>
      </c>
      <c r="F523" t="inlineStr">
        <is>
          <t>GBP</t>
        </is>
      </c>
      <c r="G523" s="7" t="n">
        <v>-4951.881</v>
      </c>
      <c r="H523" t="inlineStr">
        <is>
          <t>GBP</t>
        </is>
      </c>
      <c r="I523" s="7" t="n">
        <v>-4951.881</v>
      </c>
      <c r="J523" s="8" t="n">
        <v>46252.52533564815</v>
      </c>
      <c r="K523" t="inlineStr">
        <is>
          <t>CF260818 00517</t>
        </is>
      </c>
      <c r="L523" t="inlineStr">
        <is>
          <t>GL.NOSTRO.GBP.BRGX.004</t>
        </is>
      </c>
      <c r="M523" t="inlineStr">
        <is>
          <t>Vetchling Commercial Bank</t>
        </is>
      </c>
      <c r="N523" t="inlineStr">
        <is>
          <t>BRGXMM</t>
        </is>
      </c>
      <c r="O523" t="inlineStr">
        <is>
          <t>NEW</t>
        </is>
      </c>
      <c r="Q523" t="inlineStr">
        <is>
          <t>NETTER</t>
        </is>
      </c>
    </row>
    <row r="524">
      <c r="A524" t="inlineStr">
        <is>
          <t>265771593142</t>
        </is>
      </c>
      <c r="B524" t="inlineStr">
        <is>
          <t>TCG</t>
        </is>
      </c>
      <c r="C524" t="inlineStr">
        <is>
          <t>BRYG</t>
        </is>
      </c>
      <c r="D524" s="6" t="n">
        <v>46252</v>
      </c>
      <c r="E524" t="inlineStr">
        <is>
          <t>DR</t>
        </is>
      </c>
      <c r="F524" t="inlineStr">
        <is>
          <t>EUR</t>
        </is>
      </c>
      <c r="G524" s="7" t="n">
        <v>-20808142.508</v>
      </c>
      <c r="H524" t="inlineStr">
        <is>
          <t>GBP</t>
        </is>
      </c>
      <c r="I524" s="7" t="n">
        <v>-17853386.272</v>
      </c>
      <c r="J524" s="8" t="n">
        <v>46252.36961805556</v>
      </c>
      <c r="K524" t="inlineStr">
        <is>
          <t>CF260818 00518</t>
        </is>
      </c>
      <c r="L524" t="inlineStr">
        <is>
          <t>GL.NOSTRO.EUR.BRYG.004</t>
        </is>
      </c>
      <c r="M524" t="inlineStr">
        <is>
          <t>Mallow Clearing</t>
        </is>
      </c>
      <c r="N524" t="inlineStr">
        <is>
          <t>BRYGTRSY</t>
        </is>
      </c>
      <c r="O524" t="inlineStr">
        <is>
          <t>NEW</t>
        </is>
      </c>
      <c r="P524" t="inlineStr">
        <is>
          <t>NT26081800303</t>
        </is>
      </c>
      <c r="Q524" t="inlineStr">
        <is>
          <t>NETTER</t>
        </is>
      </c>
    </row>
    <row r="525">
      <c r="A525" t="inlineStr">
        <is>
          <t>910703979141</t>
        </is>
      </c>
      <c r="B525" t="inlineStr">
        <is>
          <t>TCC</t>
        </is>
      </c>
      <c r="C525" t="inlineStr">
        <is>
          <t>BRCC</t>
        </is>
      </c>
      <c r="D525" s="6" t="n">
        <v>46252</v>
      </c>
      <c r="E525" t="inlineStr">
        <is>
          <t>DR</t>
        </is>
      </c>
      <c r="F525" t="inlineStr">
        <is>
          <t>CHF</t>
        </is>
      </c>
      <c r="G525" s="7" t="n">
        <v>-4312.79</v>
      </c>
      <c r="H525" t="inlineStr">
        <is>
          <t>GBP</t>
        </is>
      </c>
      <c r="I525" s="7" t="n">
        <v>-3868.573</v>
      </c>
      <c r="J525" s="8" t="n">
        <v>46252.27378472222</v>
      </c>
      <c r="K525" t="inlineStr">
        <is>
          <t>CF260818 00519</t>
        </is>
      </c>
      <c r="L525" t="inlineStr">
        <is>
          <t>GL.NOSTRO.CHF.BRCC.007</t>
        </is>
      </c>
      <c r="M525" t="inlineStr">
        <is>
          <t>Dunlin Clearing</t>
        </is>
      </c>
      <c r="N525" t="inlineStr">
        <is>
          <t>BRCCMM</t>
        </is>
      </c>
      <c r="O525" t="inlineStr">
        <is>
          <t>NEW</t>
        </is>
      </c>
      <c r="P525" t="inlineStr">
        <is>
          <t>NT26081800314</t>
        </is>
      </c>
      <c r="Q525" t="inlineStr">
        <is>
          <t>INTERNAL</t>
        </is>
      </c>
    </row>
    <row r="526">
      <c r="A526" t="inlineStr">
        <is>
          <t>265771593142</t>
        </is>
      </c>
      <c r="B526" t="inlineStr">
        <is>
          <t>TCG</t>
        </is>
      </c>
      <c r="C526" t="inlineStr">
        <is>
          <t>BRYG</t>
        </is>
      </c>
      <c r="D526" s="6" t="n">
        <v>46252</v>
      </c>
      <c r="E526" t="inlineStr">
        <is>
          <t>DR</t>
        </is>
      </c>
      <c r="F526" t="inlineStr">
        <is>
          <t>EUR</t>
        </is>
      </c>
      <c r="G526" s="7" t="n">
        <v>-213479397.583</v>
      </c>
      <c r="H526" t="inlineStr">
        <is>
          <t>GBP</t>
        </is>
      </c>
      <c r="I526" s="7" t="n">
        <v>-183165323.126</v>
      </c>
      <c r="J526" s="8" t="n">
        <v>46252.71328703704</v>
      </c>
      <c r="K526" t="inlineStr">
        <is>
          <t>CF260818 00520</t>
        </is>
      </c>
      <c r="L526" t="inlineStr">
        <is>
          <t>GL.NOSTRO.EUR.BRYG.002</t>
        </is>
      </c>
      <c r="M526" t="inlineStr">
        <is>
          <t>Alder Trust</t>
        </is>
      </c>
      <c r="N526" t="inlineStr">
        <is>
          <t>BRYGMM</t>
        </is>
      </c>
      <c r="O526" t="inlineStr">
        <is>
          <t>NEW</t>
        </is>
      </c>
      <c r="Q526" t="inlineStr">
        <is>
          <t>NETTER</t>
        </is>
      </c>
    </row>
    <row r="527">
      <c r="A527" t="inlineStr">
        <is>
          <t>794226063698</t>
        </is>
      </c>
      <c r="B527" t="inlineStr">
        <is>
          <t>TCX</t>
        </is>
      </c>
      <c r="C527" t="inlineStr">
        <is>
          <t>BRMD</t>
        </is>
      </c>
      <c r="D527" s="6" t="n">
        <v>46252</v>
      </c>
      <c r="E527" t="inlineStr">
        <is>
          <t>CR</t>
        </is>
      </c>
      <c r="F527" t="inlineStr">
        <is>
          <t>AED</t>
        </is>
      </c>
      <c r="G527" s="7" t="n">
        <v>313138627.145</v>
      </c>
      <c r="H527" t="inlineStr">
        <is>
          <t>GBP</t>
        </is>
      </c>
      <c r="I527" s="7" t="n">
        <v>66698527.582</v>
      </c>
      <c r="J527" s="8" t="n">
        <v>46252.42679398148</v>
      </c>
      <c r="K527" t="inlineStr">
        <is>
          <t>CF260818 00521</t>
        </is>
      </c>
      <c r="L527" t="inlineStr">
        <is>
          <t>GL.NOSTRO.AED.BRMD.001</t>
        </is>
      </c>
      <c r="M527" t="inlineStr">
        <is>
          <t>Wrenfield Settlement Bank</t>
        </is>
      </c>
      <c r="N527" t="inlineStr">
        <is>
          <t>BRMDMM</t>
        </is>
      </c>
      <c r="O527" t="inlineStr">
        <is>
          <t>NEW</t>
        </is>
      </c>
      <c r="Q527" t="inlineStr">
        <is>
          <t>GROSS</t>
        </is>
      </c>
    </row>
    <row r="528">
      <c r="A528" t="inlineStr">
        <is>
          <t>953625291146</t>
        </is>
      </c>
      <c r="B528" t="inlineStr">
        <is>
          <t>TCQ</t>
        </is>
      </c>
      <c r="C528" t="inlineStr">
        <is>
          <t>BRGL</t>
        </is>
      </c>
      <c r="D528" s="6" t="n">
        <v>46252</v>
      </c>
      <c r="E528" t="inlineStr">
        <is>
          <t>DR</t>
        </is>
      </c>
      <c r="F528" t="inlineStr">
        <is>
          <t>USD</t>
        </is>
      </c>
      <c r="G528" s="7" t="n">
        <v>-575676263.818</v>
      </c>
      <c r="H528" t="inlineStr">
        <is>
          <t>GBP</t>
        </is>
      </c>
      <c r="I528" s="7" t="n">
        <v>-451330190.833</v>
      </c>
      <c r="J528" s="8" t="n">
        <v>46252.60761574074</v>
      </c>
      <c r="K528" t="inlineStr">
        <is>
          <t>CF260818 00522</t>
        </is>
      </c>
      <c r="L528" t="inlineStr">
        <is>
          <t>GL.NOSTRO.USD.BRGL.006</t>
        </is>
      </c>
      <c r="M528" t="inlineStr">
        <is>
          <t>Pinehurst Bank</t>
        </is>
      </c>
      <c r="N528" t="inlineStr">
        <is>
          <t>BRGLCASH</t>
        </is>
      </c>
      <c r="O528" t="inlineStr">
        <is>
          <t>NEW</t>
        </is>
      </c>
      <c r="P528" t="inlineStr">
        <is>
          <t>NT26081800286</t>
        </is>
      </c>
      <c r="Q528" t="inlineStr">
        <is>
          <t>GROSS</t>
        </is>
      </c>
    </row>
    <row r="529">
      <c r="A529" t="inlineStr">
        <is>
          <t>150316825069</t>
        </is>
      </c>
      <c r="B529" t="inlineStr">
        <is>
          <t>TCQ</t>
        </is>
      </c>
      <c r="C529" t="inlineStr">
        <is>
          <t>BRGX</t>
        </is>
      </c>
      <c r="D529" s="6" t="n">
        <v>46252</v>
      </c>
      <c r="E529" t="inlineStr">
        <is>
          <t>DR</t>
        </is>
      </c>
      <c r="F529" t="inlineStr">
        <is>
          <t>GBP</t>
        </is>
      </c>
      <c r="G529" s="7" t="n">
        <v>-549160259.2589999</v>
      </c>
      <c r="H529" t="inlineStr">
        <is>
          <t>GBP</t>
        </is>
      </c>
      <c r="I529" s="7" t="n">
        <v>-549160259.2589999</v>
      </c>
      <c r="J529" s="8" t="n">
        <v>46252.65969907407</v>
      </c>
      <c r="K529" t="inlineStr">
        <is>
          <t>CF260818 00523</t>
        </is>
      </c>
      <c r="L529" t="inlineStr">
        <is>
          <t>GL.NOSTRO.GBP.BRGX.009</t>
        </is>
      </c>
      <c r="M529" t="inlineStr">
        <is>
          <t>Oriel Trust</t>
        </is>
      </c>
      <c r="N529" t="inlineStr">
        <is>
          <t>BRGXCASH</t>
        </is>
      </c>
      <c r="O529" t="inlineStr">
        <is>
          <t>NEW</t>
        </is>
      </c>
      <c r="Q529" t="inlineStr">
        <is>
          <t>NETTER</t>
        </is>
      </c>
    </row>
    <row r="530">
      <c r="A530" t="inlineStr">
        <is>
          <t>898317028833</t>
        </is>
      </c>
      <c r="B530" t="inlineStr">
        <is>
          <t>TCQ</t>
        </is>
      </c>
      <c r="C530" t="inlineStr">
        <is>
          <t>BRAA</t>
        </is>
      </c>
      <c r="D530" s="6" t="n">
        <v>46252</v>
      </c>
      <c r="E530" t="inlineStr">
        <is>
          <t>CR</t>
        </is>
      </c>
      <c r="F530" t="inlineStr">
        <is>
          <t>GBP</t>
        </is>
      </c>
      <c r="G530" s="7" t="n">
        <v>24498374.216</v>
      </c>
      <c r="H530" t="inlineStr">
        <is>
          <t>GBP</t>
        </is>
      </c>
      <c r="I530" s="7" t="n">
        <v>24498374.216</v>
      </c>
      <c r="J530" s="8" t="n">
        <v>46252.46305555556</v>
      </c>
      <c r="K530" t="inlineStr">
        <is>
          <t>CF260818 00524</t>
        </is>
      </c>
      <c r="L530" t="inlineStr">
        <is>
          <t>GL.NOSTRO.GBP.BRAA.007</t>
        </is>
      </c>
      <c r="M530" t="inlineStr">
        <is>
          <t>Yarrow Bank</t>
        </is>
      </c>
      <c r="N530" t="inlineStr">
        <is>
          <t>BRAA</t>
        </is>
      </c>
      <c r="O530" t="inlineStr">
        <is>
          <t>NEW</t>
        </is>
      </c>
      <c r="Q530" t="inlineStr">
        <is>
          <t>NETTER</t>
        </is>
      </c>
    </row>
    <row r="531">
      <c r="A531" t="inlineStr">
        <is>
          <t>132544340094</t>
        </is>
      </c>
      <c r="B531" t="inlineStr">
        <is>
          <t>TCQ</t>
        </is>
      </c>
      <c r="C531" t="inlineStr">
        <is>
          <t>BRYG</t>
        </is>
      </c>
      <c r="D531" s="6" t="n">
        <v>46252</v>
      </c>
      <c r="E531" t="inlineStr">
        <is>
          <t>DR</t>
        </is>
      </c>
      <c r="F531" t="inlineStr">
        <is>
          <t>CZK</t>
        </is>
      </c>
      <c r="G531" s="7" t="n">
        <v>-157778426.709</v>
      </c>
      <c r="H531" t="inlineStr">
        <is>
          <t>GBP</t>
        </is>
      </c>
      <c r="I531" s="7" t="n">
        <v>-5348688.665</v>
      </c>
      <c r="J531" s="8" t="n">
        <v>46252.57569444444</v>
      </c>
      <c r="K531" t="inlineStr">
        <is>
          <t>CF260818 00525</t>
        </is>
      </c>
      <c r="L531" t="inlineStr">
        <is>
          <t>GL.NOSTRO.CZK.BRYG.001</t>
        </is>
      </c>
      <c r="M531" t="inlineStr">
        <is>
          <t>Elmwood Settlement Bank</t>
        </is>
      </c>
      <c r="N531" t="inlineStr">
        <is>
          <t>BRYGMM</t>
        </is>
      </c>
      <c r="O531" t="inlineStr">
        <is>
          <t>NEW</t>
        </is>
      </c>
      <c r="Q531" t="inlineStr">
        <is>
          <t>NETTER</t>
        </is>
      </c>
    </row>
    <row r="532">
      <c r="A532" t="inlineStr">
        <is>
          <t>468341071172</t>
        </is>
      </c>
      <c r="B532" t="inlineStr">
        <is>
          <t>TCC</t>
        </is>
      </c>
      <c r="C532" t="inlineStr">
        <is>
          <t>BRCC</t>
        </is>
      </c>
      <c r="D532" s="6" t="n">
        <v>46252</v>
      </c>
      <c r="E532" t="inlineStr">
        <is>
          <t>CR</t>
        </is>
      </c>
      <c r="F532" t="inlineStr">
        <is>
          <t>EUR</t>
        </is>
      </c>
      <c r="G532" s="7" t="n">
        <v>61801907.031</v>
      </c>
      <c r="H532" t="inlineStr">
        <is>
          <t>GBP</t>
        </is>
      </c>
      <c r="I532" s="7" t="n">
        <v>53026036.233</v>
      </c>
      <c r="J532" s="8" t="n">
        <v>46252.63833333334</v>
      </c>
      <c r="K532" t="inlineStr">
        <is>
          <t>CF260818 00526</t>
        </is>
      </c>
      <c r="L532" t="inlineStr">
        <is>
          <t>GL.NOSTRO.EUR.BRCC.009</t>
        </is>
      </c>
      <c r="M532" t="inlineStr">
        <is>
          <t>Umberton Clearing</t>
        </is>
      </c>
      <c r="N532" t="inlineStr">
        <is>
          <t>BRCC</t>
        </is>
      </c>
      <c r="O532" t="inlineStr">
        <is>
          <t>NEW</t>
        </is>
      </c>
      <c r="Q532" t="inlineStr">
        <is>
          <t>GROSS</t>
        </is>
      </c>
    </row>
    <row r="533">
      <c r="A533" t="inlineStr">
        <is>
          <t>824840705580</t>
        </is>
      </c>
      <c r="B533" t="inlineStr">
        <is>
          <t>TCC</t>
        </is>
      </c>
      <c r="C533" t="inlineStr">
        <is>
          <t>BRGL</t>
        </is>
      </c>
      <c r="D533" s="6" t="n">
        <v>46252</v>
      </c>
      <c r="E533" t="inlineStr">
        <is>
          <t>CR</t>
        </is>
      </c>
      <c r="F533" t="inlineStr">
        <is>
          <t>EUR</t>
        </is>
      </c>
      <c r="G533" s="7" t="n">
        <v>194524751.126</v>
      </c>
      <c r="H533" t="inlineStr">
        <is>
          <t>GBP</t>
        </is>
      </c>
      <c r="I533" s="7" t="n">
        <v>166902236.466</v>
      </c>
      <c r="J533" s="8" t="n">
        <v>46252.41670138889</v>
      </c>
      <c r="K533" t="inlineStr">
        <is>
          <t>CF260818 00527</t>
        </is>
      </c>
      <c r="L533" t="inlineStr">
        <is>
          <t>GL.NOSTRO.EUR.BRGL.008</t>
        </is>
      </c>
      <c r="M533" t="inlineStr">
        <is>
          <t>Alder Clearing</t>
        </is>
      </c>
      <c r="N533" t="inlineStr">
        <is>
          <t>BRGL</t>
        </is>
      </c>
      <c r="O533" t="inlineStr">
        <is>
          <t>NEW</t>
        </is>
      </c>
      <c r="P533" t="inlineStr">
        <is>
          <t>NT26081800281</t>
        </is>
      </c>
      <c r="Q533" t="inlineStr">
        <is>
          <t>GROSS</t>
        </is>
      </c>
    </row>
    <row r="534">
      <c r="A534" t="inlineStr">
        <is>
          <t>132544340094</t>
        </is>
      </c>
      <c r="B534" t="inlineStr">
        <is>
          <t>TCG</t>
        </is>
      </c>
      <c r="C534" t="inlineStr">
        <is>
          <t>BRYG</t>
        </is>
      </c>
      <c r="D534" s="6" t="n">
        <v>46252</v>
      </c>
      <c r="E534" t="inlineStr">
        <is>
          <t>CR</t>
        </is>
      </c>
      <c r="F534" t="inlineStr">
        <is>
          <t>CZK</t>
        </is>
      </c>
      <c r="G534" s="7" t="n">
        <v>1239267.15</v>
      </c>
      <c r="H534" t="inlineStr">
        <is>
          <t>GBP</t>
        </is>
      </c>
      <c r="I534" s="7" t="n">
        <v>42011.156</v>
      </c>
      <c r="J534" s="8" t="n">
        <v>46252.62914351852</v>
      </c>
      <c r="K534" t="inlineStr">
        <is>
          <t>CF260818 00528</t>
        </is>
      </c>
      <c r="L534" t="inlineStr">
        <is>
          <t>GL.NOSTRO.CZK.BRYG.009</t>
        </is>
      </c>
      <c r="M534" t="inlineStr">
        <is>
          <t>Dunlin Clearing</t>
        </is>
      </c>
      <c r="N534" t="inlineStr">
        <is>
          <t>BRYGCASH</t>
        </is>
      </c>
      <c r="O534" t="inlineStr">
        <is>
          <t>NEW</t>
        </is>
      </c>
      <c r="P534" t="inlineStr">
        <is>
          <t>NT26081800290</t>
        </is>
      </c>
      <c r="Q534" t="inlineStr">
        <is>
          <t>INTERNAL</t>
        </is>
      </c>
    </row>
    <row r="535">
      <c r="A535" t="inlineStr">
        <is>
          <t>621381112674</t>
        </is>
      </c>
      <c r="B535" t="inlineStr">
        <is>
          <t>TCC</t>
        </is>
      </c>
      <c r="C535" t="inlineStr">
        <is>
          <t>BRAA</t>
        </is>
      </c>
      <c r="D535" s="6" t="n">
        <v>46252</v>
      </c>
      <c r="E535" t="inlineStr">
        <is>
          <t>CR</t>
        </is>
      </c>
      <c r="F535" t="inlineStr">
        <is>
          <t>PLN</t>
        </is>
      </c>
      <c r="G535" s="7" t="n">
        <v>98901788.95299999</v>
      </c>
      <c r="H535" t="inlineStr">
        <is>
          <t>GBP</t>
        </is>
      </c>
      <c r="I535" s="7" t="n">
        <v>19582554.213</v>
      </c>
      <c r="J535" s="8" t="n">
        <v>46252.62628472222</v>
      </c>
      <c r="K535" t="inlineStr">
        <is>
          <t>CF260818 00529</t>
        </is>
      </c>
      <c r="L535" t="inlineStr">
        <is>
          <t>GL.NOSTRO.PLN.BRAA.009</t>
        </is>
      </c>
      <c r="M535" t="inlineStr">
        <is>
          <t>Ironbark Trust</t>
        </is>
      </c>
      <c r="N535" t="inlineStr">
        <is>
          <t>BRAACASH</t>
        </is>
      </c>
      <c r="O535" t="inlineStr">
        <is>
          <t>NEW</t>
        </is>
      </c>
      <c r="Q535" t="inlineStr">
        <is>
          <t>GROSS</t>
        </is>
      </c>
    </row>
    <row r="536">
      <c r="A536" t="inlineStr">
        <is>
          <t>794226063698</t>
        </is>
      </c>
      <c r="B536" t="inlineStr">
        <is>
          <t>TCG</t>
        </is>
      </c>
      <c r="C536" t="inlineStr">
        <is>
          <t>BRMD</t>
        </is>
      </c>
      <c r="D536" s="6" t="n">
        <v>46252</v>
      </c>
      <c r="E536" t="inlineStr">
        <is>
          <t>DR</t>
        </is>
      </c>
      <c r="F536" t="inlineStr">
        <is>
          <t>AED</t>
        </is>
      </c>
      <c r="G536" s="7" t="n">
        <v>-105998174.367</v>
      </c>
      <c r="H536" t="inlineStr">
        <is>
          <t>GBP</t>
        </is>
      </c>
      <c r="I536" s="7" t="n">
        <v>-22577611.14</v>
      </c>
      <c r="J536" s="8" t="n">
        <v>46252.73182870371</v>
      </c>
      <c r="K536" t="inlineStr">
        <is>
          <t>CF260818 00530</t>
        </is>
      </c>
      <c r="L536" t="inlineStr">
        <is>
          <t>GL.NOSTRO.AED.BRMD.005</t>
        </is>
      </c>
      <c r="M536" t="inlineStr">
        <is>
          <t>Yarrow Commercial Bank</t>
        </is>
      </c>
      <c r="N536" t="inlineStr">
        <is>
          <t>BRMDTRSY</t>
        </is>
      </c>
      <c r="O536" t="inlineStr">
        <is>
          <t>NEW</t>
        </is>
      </c>
      <c r="P536" t="inlineStr">
        <is>
          <t>NT26081800281</t>
        </is>
      </c>
      <c r="Q536" t="inlineStr">
        <is>
          <t>GROSS</t>
        </is>
      </c>
    </row>
    <row r="537">
      <c r="A537" t="inlineStr">
        <is>
          <t>150316825069</t>
        </is>
      </c>
      <c r="B537" t="inlineStr">
        <is>
          <t>TCC</t>
        </is>
      </c>
      <c r="C537" t="inlineStr">
        <is>
          <t>BRGX</t>
        </is>
      </c>
      <c r="D537" s="6" t="n">
        <v>46252</v>
      </c>
      <c r="E537" t="inlineStr">
        <is>
          <t>DR</t>
        </is>
      </c>
      <c r="F537" t="inlineStr">
        <is>
          <t>GBP</t>
        </is>
      </c>
      <c r="G537" s="7" t="n">
        <v>-1972740.748</v>
      </c>
      <c r="H537" t="inlineStr">
        <is>
          <t>GBP</t>
        </is>
      </c>
      <c r="I537" s="7" t="n">
        <v>-1972740.748</v>
      </c>
      <c r="J537" s="8" t="n">
        <v>46252.3990162037</v>
      </c>
      <c r="K537" t="inlineStr">
        <is>
          <t>CF260818 00531</t>
        </is>
      </c>
      <c r="L537" t="inlineStr">
        <is>
          <t>GL.NOSTRO.GBP.BRGX.003</t>
        </is>
      </c>
      <c r="M537" t="inlineStr">
        <is>
          <t>Thornbury Bank</t>
        </is>
      </c>
      <c r="N537" t="inlineStr">
        <is>
          <t>BRGXCASH</t>
        </is>
      </c>
      <c r="O537" t="inlineStr">
        <is>
          <t>NEW</t>
        </is>
      </c>
      <c r="P537" t="inlineStr">
        <is>
          <t>NT26081800305</t>
        </is>
      </c>
      <c r="Q537" t="inlineStr">
        <is>
          <t>GROSS</t>
        </is>
      </c>
    </row>
    <row r="538">
      <c r="A538" t="inlineStr">
        <is>
          <t>968942362772</t>
        </is>
      </c>
      <c r="B538" t="inlineStr">
        <is>
          <t>TCC</t>
        </is>
      </c>
      <c r="C538" t="inlineStr">
        <is>
          <t>BRYG</t>
        </is>
      </c>
      <c r="D538" s="6" t="n">
        <v>46252</v>
      </c>
      <c r="E538" t="inlineStr">
        <is>
          <t>DR</t>
        </is>
      </c>
      <c r="F538" t="inlineStr">
        <is>
          <t>EUR</t>
        </is>
      </c>
      <c r="G538" s="7" t="n">
        <v>-669798.769</v>
      </c>
      <c r="H538" t="inlineStr">
        <is>
          <t>GBP</t>
        </is>
      </c>
      <c r="I538" s="7" t="n">
        <v>-574687.344</v>
      </c>
      <c r="J538" s="8" t="n">
        <v>46252.85643518518</v>
      </c>
      <c r="K538" t="inlineStr">
        <is>
          <t>CF260818 00532</t>
        </is>
      </c>
      <c r="L538" t="inlineStr">
        <is>
          <t>GL.NOSTRO.EUR.BRYG.003</t>
        </is>
      </c>
      <c r="M538" t="inlineStr">
        <is>
          <t>Elmwood Settlement Bank</t>
        </is>
      </c>
      <c r="N538" t="inlineStr">
        <is>
          <t>BRYGMM</t>
        </is>
      </c>
      <c r="O538" t="inlineStr">
        <is>
          <t>NEW</t>
        </is>
      </c>
      <c r="P538" t="inlineStr">
        <is>
          <t>NT26081800281</t>
        </is>
      </c>
      <c r="Q538" t="inlineStr">
        <is>
          <t>NETTER</t>
        </is>
      </c>
    </row>
    <row r="539">
      <c r="A539" t="inlineStr">
        <is>
          <t>968942362772</t>
        </is>
      </c>
      <c r="B539" t="inlineStr">
        <is>
          <t>TCQ</t>
        </is>
      </c>
      <c r="C539" t="inlineStr">
        <is>
          <t>BRYG</t>
        </is>
      </c>
      <c r="D539" s="6" t="n">
        <v>46252</v>
      </c>
      <c r="E539" t="inlineStr">
        <is>
          <t>DR</t>
        </is>
      </c>
      <c r="F539" t="inlineStr">
        <is>
          <t>EUR</t>
        </is>
      </c>
      <c r="G539" s="7" t="n">
        <v>-9306373.323999999</v>
      </c>
      <c r="H539" t="inlineStr">
        <is>
          <t>GBP</t>
        </is>
      </c>
      <c r="I539" s="7" t="n">
        <v>-7984868.312</v>
      </c>
      <c r="J539" s="8" t="n">
        <v>46252.45100694444</v>
      </c>
      <c r="K539" t="inlineStr">
        <is>
          <t>CF260818 00533</t>
        </is>
      </c>
      <c r="L539" t="inlineStr">
        <is>
          <t>GL.NOSTRO.EUR.BRYG.002</t>
        </is>
      </c>
      <c r="M539" t="inlineStr">
        <is>
          <t>Harrow Clearing</t>
        </is>
      </c>
      <c r="N539" t="inlineStr">
        <is>
          <t>BRYGTRSY</t>
        </is>
      </c>
      <c r="O539" t="inlineStr">
        <is>
          <t>AMEND</t>
        </is>
      </c>
      <c r="P539" t="inlineStr">
        <is>
          <t>NT26081800300</t>
        </is>
      </c>
      <c r="Q539" t="inlineStr">
        <is>
          <t>GROSS</t>
        </is>
      </c>
    </row>
    <row r="540">
      <c r="A540" t="inlineStr">
        <is>
          <t>468341071172</t>
        </is>
      </c>
      <c r="B540" t="inlineStr">
        <is>
          <t>TCX</t>
        </is>
      </c>
      <c r="C540" t="inlineStr">
        <is>
          <t>BRCC</t>
        </is>
      </c>
      <c r="D540" s="6" t="n">
        <v>46252</v>
      </c>
      <c r="E540" t="inlineStr">
        <is>
          <t>DR</t>
        </is>
      </c>
      <c r="F540" t="inlineStr">
        <is>
          <t>EUR</t>
        </is>
      </c>
      <c r="G540" s="7" t="n">
        <v>-275020475.443</v>
      </c>
      <c r="H540" t="inlineStr">
        <is>
          <t>GBP</t>
        </is>
      </c>
      <c r="I540" s="7" t="n">
        <v>-235967567.93</v>
      </c>
      <c r="J540" s="8" t="n">
        <v>46252.38199074074</v>
      </c>
      <c r="K540" t="inlineStr">
        <is>
          <t>CF260818 00534</t>
        </is>
      </c>
      <c r="L540" t="inlineStr">
        <is>
          <t>GL.NOSTRO.EUR.BRCC.001</t>
        </is>
      </c>
      <c r="M540" t="inlineStr">
        <is>
          <t>Granite Clearing</t>
        </is>
      </c>
      <c r="N540" t="inlineStr">
        <is>
          <t>BRCCMM</t>
        </is>
      </c>
      <c r="O540" t="inlineStr">
        <is>
          <t>NEW</t>
        </is>
      </c>
      <c r="P540" t="inlineStr">
        <is>
          <t>NT26081800301</t>
        </is>
      </c>
      <c r="Q540" t="inlineStr">
        <is>
          <t>GROSS</t>
        </is>
      </c>
    </row>
    <row r="541">
      <c r="A541" t="inlineStr">
        <is>
          <t>824840705580</t>
        </is>
      </c>
      <c r="B541" t="inlineStr">
        <is>
          <t>TCQ</t>
        </is>
      </c>
      <c r="C541" t="inlineStr">
        <is>
          <t>BRGL</t>
        </is>
      </c>
      <c r="D541" s="6" t="n">
        <v>46252</v>
      </c>
      <c r="E541" t="inlineStr">
        <is>
          <t>DR</t>
        </is>
      </c>
      <c r="F541" t="inlineStr">
        <is>
          <t>EUR</t>
        </is>
      </c>
      <c r="G541" s="7" t="n">
        <v>-4710164.525</v>
      </c>
      <c r="H541" t="inlineStr">
        <is>
          <t>GBP</t>
        </is>
      </c>
      <c r="I541" s="7" t="n">
        <v>-4041321.162</v>
      </c>
      <c r="J541" s="8" t="n">
        <v>46252.60365740741</v>
      </c>
      <c r="K541" t="inlineStr">
        <is>
          <t>CF260818 00535</t>
        </is>
      </c>
      <c r="L541" t="inlineStr">
        <is>
          <t>GL.NOSTRO.EUR.BRGL.009</t>
        </is>
      </c>
      <c r="M541" t="inlineStr">
        <is>
          <t>Yarrow Commercial Bank</t>
        </is>
      </c>
      <c r="N541" t="inlineStr">
        <is>
          <t>BRGL</t>
        </is>
      </c>
      <c r="O541" t="inlineStr">
        <is>
          <t>NEW</t>
        </is>
      </c>
      <c r="Q541" t="inlineStr">
        <is>
          <t>NETTER</t>
        </is>
      </c>
    </row>
    <row r="542">
      <c r="A542" t="inlineStr">
        <is>
          <t>113829985108</t>
        </is>
      </c>
      <c r="B542" t="inlineStr">
        <is>
          <t>TCP</t>
        </is>
      </c>
      <c r="C542" t="inlineStr">
        <is>
          <t>BRGL</t>
        </is>
      </c>
      <c r="D542" s="6" t="n">
        <v>46252</v>
      </c>
      <c r="E542" t="inlineStr">
        <is>
          <t>CR</t>
        </is>
      </c>
      <c r="F542" t="inlineStr">
        <is>
          <t>EUR</t>
        </is>
      </c>
      <c r="G542" s="7" t="n">
        <v>927596.823</v>
      </c>
      <c r="H542" t="inlineStr">
        <is>
          <t>GBP</t>
        </is>
      </c>
      <c r="I542" s="7" t="n">
        <v>795878.074</v>
      </c>
      <c r="J542" s="8" t="n">
        <v>46252.69916666667</v>
      </c>
      <c r="K542" t="inlineStr">
        <is>
          <t>CF260818 00536</t>
        </is>
      </c>
      <c r="L542" t="inlineStr">
        <is>
          <t>GL.NOSTRO.EUR.BRGL.006</t>
        </is>
      </c>
      <c r="M542" t="inlineStr">
        <is>
          <t>Sablewood Bank</t>
        </is>
      </c>
      <c r="N542" t="inlineStr">
        <is>
          <t>BRGL</t>
        </is>
      </c>
      <c r="O542" t="inlineStr">
        <is>
          <t>AMEND</t>
        </is>
      </c>
      <c r="P542" t="inlineStr">
        <is>
          <t>NT26081800293</t>
        </is>
      </c>
      <c r="Q542" t="inlineStr">
        <is>
          <t>NETTER</t>
        </is>
      </c>
    </row>
    <row r="543">
      <c r="A543" t="inlineStr">
        <is>
          <t>910703979141</t>
        </is>
      </c>
      <c r="B543" t="inlineStr">
        <is>
          <t>TCC</t>
        </is>
      </c>
      <c r="C543" t="inlineStr">
        <is>
          <t>BRCC</t>
        </is>
      </c>
      <c r="D543" s="6" t="n">
        <v>46252</v>
      </c>
      <c r="E543" t="inlineStr">
        <is>
          <t>CR</t>
        </is>
      </c>
      <c r="F543" t="inlineStr">
        <is>
          <t>CHF</t>
        </is>
      </c>
      <c r="G543" s="7" t="n">
        <v>42199671.592</v>
      </c>
      <c r="H543" t="inlineStr">
        <is>
          <t>GBP</t>
        </is>
      </c>
      <c r="I543" s="7" t="n">
        <v>37853105.418</v>
      </c>
      <c r="J543" s="8" t="n">
        <v>46252.50655092593</v>
      </c>
      <c r="K543" t="inlineStr">
        <is>
          <t>CF260818 00537</t>
        </is>
      </c>
      <c r="L543" t="inlineStr">
        <is>
          <t>GL.NOSTRO.CHF.BRCC.009</t>
        </is>
      </c>
      <c r="M543" t="inlineStr">
        <is>
          <t>Wrenfield Settlement Bank</t>
        </is>
      </c>
      <c r="N543" t="inlineStr">
        <is>
          <t>BRCCMM</t>
        </is>
      </c>
      <c r="O543" t="inlineStr">
        <is>
          <t>NEW</t>
        </is>
      </c>
      <c r="Q543" t="inlineStr">
        <is>
          <t>NETTER</t>
        </is>
      </c>
    </row>
    <row r="544">
      <c r="A544" t="inlineStr">
        <is>
          <t>171857983160</t>
        </is>
      </c>
      <c r="B544" t="inlineStr">
        <is>
          <t>TCC</t>
        </is>
      </c>
      <c r="C544" t="inlineStr">
        <is>
          <t>BRBX</t>
        </is>
      </c>
      <c r="D544" s="6" t="n">
        <v>46252</v>
      </c>
      <c r="E544" t="inlineStr">
        <is>
          <t>DR</t>
        </is>
      </c>
      <c r="F544" t="inlineStr">
        <is>
          <t>AUD</t>
        </is>
      </c>
      <c r="G544" s="7" t="n">
        <v>-2321715.418</v>
      </c>
      <c r="H544" t="inlineStr">
        <is>
          <t>GBP</t>
        </is>
      </c>
      <c r="I544" s="7" t="n">
        <v>-1191040.009</v>
      </c>
      <c r="J544" s="8" t="n">
        <v>46252.6775</v>
      </c>
      <c r="K544" t="inlineStr">
        <is>
          <t>CF260818 00538</t>
        </is>
      </c>
      <c r="L544" t="inlineStr">
        <is>
          <t>GL.NOSTRO.AUD.BRBX.004</t>
        </is>
      </c>
      <c r="M544" t="inlineStr">
        <is>
          <t>Zephyr Commercial Bank</t>
        </is>
      </c>
      <c r="N544" t="inlineStr">
        <is>
          <t>BRBX</t>
        </is>
      </c>
      <c r="O544" t="inlineStr">
        <is>
          <t>AMEND</t>
        </is>
      </c>
      <c r="Q544" t="inlineStr">
        <is>
          <t>GROSS</t>
        </is>
      </c>
    </row>
    <row r="545">
      <c r="A545" t="inlineStr">
        <is>
          <t>132544340094</t>
        </is>
      </c>
      <c r="B545" t="inlineStr">
        <is>
          <t>TCG</t>
        </is>
      </c>
      <c r="C545" t="inlineStr">
        <is>
          <t>BRYG</t>
        </is>
      </c>
      <c r="D545" s="6" t="n">
        <v>46252</v>
      </c>
      <c r="E545" t="inlineStr">
        <is>
          <t>DR</t>
        </is>
      </c>
      <c r="F545" t="inlineStr">
        <is>
          <t>CZK</t>
        </is>
      </c>
      <c r="G545" s="7" t="n">
        <v>-16671153.866</v>
      </c>
      <c r="H545" t="inlineStr">
        <is>
          <t>GBP</t>
        </is>
      </c>
      <c r="I545" s="7" t="n">
        <v>-565152.116</v>
      </c>
      <c r="J545" s="8" t="n">
        <v>46252.76326388889</v>
      </c>
      <c r="K545" t="inlineStr">
        <is>
          <t>CF260818 00539</t>
        </is>
      </c>
      <c r="L545" t="inlineStr">
        <is>
          <t>GL.NOSTRO.CZK.BRYG.006</t>
        </is>
      </c>
      <c r="M545" t="inlineStr">
        <is>
          <t>Elmwood Trust</t>
        </is>
      </c>
      <c r="N545" t="inlineStr">
        <is>
          <t>BRYGMM</t>
        </is>
      </c>
      <c r="O545" t="inlineStr">
        <is>
          <t>NEW</t>
        </is>
      </c>
      <c r="P545" t="inlineStr">
        <is>
          <t>NT26081800306</t>
        </is>
      </c>
      <c r="Q545" t="inlineStr">
        <is>
          <t>NETTER</t>
        </is>
      </c>
    </row>
    <row r="546">
      <c r="A546" t="inlineStr">
        <is>
          <t>265771593142</t>
        </is>
      </c>
      <c r="B546" t="inlineStr">
        <is>
          <t>TCQ</t>
        </is>
      </c>
      <c r="C546" t="inlineStr">
        <is>
          <t>BRYG</t>
        </is>
      </c>
      <c r="D546" s="6" t="n">
        <v>46252</v>
      </c>
      <c r="E546" t="inlineStr">
        <is>
          <t>DR</t>
        </is>
      </c>
      <c r="F546" t="inlineStr">
        <is>
          <t>EUR</t>
        </is>
      </c>
      <c r="G546" s="7" t="n">
        <v>-4894003.05</v>
      </c>
      <c r="H546" t="inlineStr">
        <is>
          <t>GBP</t>
        </is>
      </c>
      <c r="I546" s="7" t="n">
        <v>-4199054.617</v>
      </c>
      <c r="J546" s="8" t="n">
        <v>46252.64695601852</v>
      </c>
      <c r="K546" t="inlineStr">
        <is>
          <t>CF260818 00540</t>
        </is>
      </c>
      <c r="L546" t="inlineStr">
        <is>
          <t>GL.NOSTRO.EUR.BRYG.009</t>
        </is>
      </c>
      <c r="M546" t="inlineStr">
        <is>
          <t>Yarrow Clearing</t>
        </is>
      </c>
      <c r="N546" t="inlineStr">
        <is>
          <t>BRYGMM</t>
        </is>
      </c>
      <c r="O546" t="inlineStr">
        <is>
          <t>NEW</t>
        </is>
      </c>
      <c r="P546" t="inlineStr">
        <is>
          <t>NT26081800282</t>
        </is>
      </c>
      <c r="Q546" t="inlineStr">
        <is>
          <t>INTERNAL</t>
        </is>
      </c>
    </row>
    <row r="547">
      <c r="A547" t="inlineStr">
        <is>
          <t>150316825069</t>
        </is>
      </c>
      <c r="B547" t="inlineStr">
        <is>
          <t>TCX</t>
        </is>
      </c>
      <c r="C547" t="inlineStr">
        <is>
          <t>BRGX</t>
        </is>
      </c>
      <c r="D547" s="6" t="n">
        <v>46252</v>
      </c>
      <c r="E547" t="inlineStr">
        <is>
          <t>DR</t>
        </is>
      </c>
      <c r="F547" t="inlineStr">
        <is>
          <t>GBP</t>
        </is>
      </c>
      <c r="G547" s="7" t="n">
        <v>-811080391.844</v>
      </c>
      <c r="H547" t="inlineStr">
        <is>
          <t>GBP</t>
        </is>
      </c>
      <c r="I547" s="7" t="n">
        <v>-811080391.844</v>
      </c>
      <c r="J547" s="8" t="n">
        <v>46252.35488425926</v>
      </c>
      <c r="K547" t="inlineStr">
        <is>
          <t>CF260818 00541</t>
        </is>
      </c>
      <c r="L547" t="inlineStr">
        <is>
          <t>GL.NOSTRO.GBP.BRGX.008</t>
        </is>
      </c>
      <c r="M547" t="inlineStr">
        <is>
          <t>Pinehurst Bank</t>
        </is>
      </c>
      <c r="N547" t="inlineStr">
        <is>
          <t>BRGXMM</t>
        </is>
      </c>
      <c r="O547" t="inlineStr">
        <is>
          <t>NEW</t>
        </is>
      </c>
      <c r="P547" t="inlineStr">
        <is>
          <t>NT26081800287</t>
        </is>
      </c>
      <c r="Q547" t="inlineStr">
        <is>
          <t>GROSS</t>
        </is>
      </c>
    </row>
    <row r="548">
      <c r="A548" t="inlineStr">
        <is>
          <t>359365220160</t>
        </is>
      </c>
      <c r="B548" t="inlineStr">
        <is>
          <t>TCG</t>
        </is>
      </c>
      <c r="C548" t="inlineStr">
        <is>
          <t>BRGX</t>
        </is>
      </c>
      <c r="D548" s="6" t="n">
        <v>46252</v>
      </c>
      <c r="E548" t="inlineStr">
        <is>
          <t>CR</t>
        </is>
      </c>
      <c r="F548" t="inlineStr">
        <is>
          <t>EUR</t>
        </is>
      </c>
      <c r="G548" s="7" t="n">
        <v>4041716.995</v>
      </c>
      <c r="H548" t="inlineStr">
        <is>
          <t>GBP</t>
        </is>
      </c>
      <c r="I548" s="7" t="n">
        <v>3467793.182</v>
      </c>
      <c r="J548" s="8" t="n">
        <v>46252.33871527778</v>
      </c>
      <c r="K548" t="inlineStr">
        <is>
          <t>CF260818 00542</t>
        </is>
      </c>
      <c r="L548" t="inlineStr">
        <is>
          <t>GL.NOSTRO.EUR.BRGX.002</t>
        </is>
      </c>
      <c r="M548" t="inlineStr">
        <is>
          <t>Vetchling Settlement Bank</t>
        </is>
      </c>
      <c r="N548" t="inlineStr">
        <is>
          <t>BRGXMM</t>
        </is>
      </c>
      <c r="O548" t="inlineStr">
        <is>
          <t>NEW</t>
        </is>
      </c>
      <c r="Q548" t="inlineStr">
        <is>
          <t>NETTER</t>
        </is>
      </c>
    </row>
    <row r="549">
      <c r="A549" t="inlineStr">
        <is>
          <t>150316825069</t>
        </is>
      </c>
      <c r="B549" t="inlineStr">
        <is>
          <t>TCG</t>
        </is>
      </c>
      <c r="C549" t="inlineStr">
        <is>
          <t>BRGX</t>
        </is>
      </c>
      <c r="D549" s="6" t="n">
        <v>46252</v>
      </c>
      <c r="E549" t="inlineStr">
        <is>
          <t>DR</t>
        </is>
      </c>
      <c r="F549" t="inlineStr">
        <is>
          <t>GBP</t>
        </is>
      </c>
      <c r="G549" s="7" t="n">
        <v>-102570976.372</v>
      </c>
      <c r="H549" t="inlineStr">
        <is>
          <t>GBP</t>
        </is>
      </c>
      <c r="I549" s="7" t="n">
        <v>-102570976.372</v>
      </c>
      <c r="J549" s="8" t="n">
        <v>46252.64980324074</v>
      </c>
      <c r="K549" t="inlineStr">
        <is>
          <t>CF260818 00543</t>
        </is>
      </c>
      <c r="L549" t="inlineStr">
        <is>
          <t>GL.NOSTRO.GBP.BRGX.008</t>
        </is>
      </c>
      <c r="M549" t="inlineStr">
        <is>
          <t>Sablewood Clearing</t>
        </is>
      </c>
      <c r="N549" t="inlineStr">
        <is>
          <t>BRGXTRSY</t>
        </is>
      </c>
      <c r="O549" t="inlineStr">
        <is>
          <t>NEW</t>
        </is>
      </c>
      <c r="Q549" t="inlineStr">
        <is>
          <t>GROSS</t>
        </is>
      </c>
    </row>
    <row r="550">
      <c r="A550" t="inlineStr">
        <is>
          <t>499062838623</t>
        </is>
      </c>
      <c r="B550" t="inlineStr">
        <is>
          <t>TCX</t>
        </is>
      </c>
      <c r="C550" t="inlineStr">
        <is>
          <t>BRBX</t>
        </is>
      </c>
      <c r="D550" s="6" t="n">
        <v>46252</v>
      </c>
      <c r="E550" t="inlineStr">
        <is>
          <t>DR</t>
        </is>
      </c>
      <c r="F550" t="inlineStr">
        <is>
          <t>USD</t>
        </is>
      </c>
      <c r="G550" s="7" t="n">
        <v>-4207962.549</v>
      </c>
      <c r="H550" t="inlineStr">
        <is>
          <t>GBP</t>
        </is>
      </c>
      <c r="I550" s="7" t="n">
        <v>-3299042.638</v>
      </c>
      <c r="J550" s="8" t="n">
        <v>46252.6984375</v>
      </c>
      <c r="K550" t="inlineStr">
        <is>
          <t>CF260818 00544</t>
        </is>
      </c>
      <c r="L550" t="inlineStr">
        <is>
          <t>GL.NOSTRO.USD.BRBX.003</t>
        </is>
      </c>
      <c r="M550" t="inlineStr">
        <is>
          <t>Pinehurst Settlement Bank</t>
        </is>
      </c>
      <c r="N550" t="inlineStr">
        <is>
          <t>BRBXCASH</t>
        </is>
      </c>
      <c r="O550" t="inlineStr">
        <is>
          <t>NEW</t>
        </is>
      </c>
      <c r="Q550" t="inlineStr">
        <is>
          <t>GROSS</t>
        </is>
      </c>
    </row>
    <row r="551">
      <c r="A551" t="inlineStr">
        <is>
          <t>499062838623</t>
        </is>
      </c>
      <c r="B551" t="inlineStr">
        <is>
          <t>TCX</t>
        </is>
      </c>
      <c r="C551" t="inlineStr">
        <is>
          <t>BRBX</t>
        </is>
      </c>
      <c r="D551" s="6" t="n">
        <v>46252</v>
      </c>
      <c r="E551" t="inlineStr">
        <is>
          <t>CR</t>
        </is>
      </c>
      <c r="F551" t="inlineStr">
        <is>
          <t>USD</t>
        </is>
      </c>
      <c r="G551" s="7" t="n">
        <v>4089351.705</v>
      </c>
      <c r="H551" t="inlineStr">
        <is>
          <t>GBP</t>
        </is>
      </c>
      <c r="I551" s="7" t="n">
        <v>3206051.737</v>
      </c>
      <c r="J551" s="8" t="n">
        <v>46252.40152777778</v>
      </c>
      <c r="K551" t="inlineStr">
        <is>
          <t>CF260818 00545</t>
        </is>
      </c>
      <c r="L551" t="inlineStr">
        <is>
          <t>GL.NOSTRO.USD.BRBX.002</t>
        </is>
      </c>
      <c r="M551" t="inlineStr">
        <is>
          <t>Bramble Bank</t>
        </is>
      </c>
      <c r="N551" t="inlineStr">
        <is>
          <t>BRBXMM</t>
        </is>
      </c>
      <c r="O551" t="inlineStr">
        <is>
          <t>NEW</t>
        </is>
      </c>
      <c r="Q551" t="inlineStr">
        <is>
          <t>GROSS</t>
        </is>
      </c>
    </row>
    <row r="552">
      <c r="A552" t="inlineStr">
        <is>
          <t>968942362772</t>
        </is>
      </c>
      <c r="B552" t="inlineStr">
        <is>
          <t>TCX</t>
        </is>
      </c>
      <c r="C552" t="inlineStr">
        <is>
          <t>BRYG</t>
        </is>
      </c>
      <c r="D552" s="6" t="n">
        <v>46252</v>
      </c>
      <c r="E552" t="inlineStr">
        <is>
          <t>DR</t>
        </is>
      </c>
      <c r="F552" t="inlineStr">
        <is>
          <t>EUR</t>
        </is>
      </c>
      <c r="G552" s="7" t="n">
        <v>-78339378.62899999</v>
      </c>
      <c r="H552" t="inlineStr">
        <is>
          <t>GBP</t>
        </is>
      </c>
      <c r="I552" s="7" t="n">
        <v>-67215186.86399999</v>
      </c>
      <c r="J552" s="8" t="n">
        <v>46252.4013425926</v>
      </c>
      <c r="K552" t="inlineStr">
        <is>
          <t>CF260818 00546</t>
        </is>
      </c>
      <c r="L552" t="inlineStr">
        <is>
          <t>GL.NOSTRO.EUR.BRYG.001</t>
        </is>
      </c>
      <c r="M552" t="inlineStr">
        <is>
          <t>Elmwood Clearing</t>
        </is>
      </c>
      <c r="N552" t="inlineStr">
        <is>
          <t>BRYGTRSY</t>
        </is>
      </c>
      <c r="O552" t="inlineStr">
        <is>
          <t>NEW</t>
        </is>
      </c>
      <c r="Q552" t="inlineStr">
        <is>
          <t>NETTER</t>
        </is>
      </c>
    </row>
    <row r="553">
      <c r="A553" t="inlineStr">
        <is>
          <t>794226063698</t>
        </is>
      </c>
      <c r="B553" t="inlineStr">
        <is>
          <t>TCG</t>
        </is>
      </c>
      <c r="C553" t="inlineStr">
        <is>
          <t>BRMD</t>
        </is>
      </c>
      <c r="D553" s="6" t="n">
        <v>46252</v>
      </c>
      <c r="E553" t="inlineStr">
        <is>
          <t>CR</t>
        </is>
      </c>
      <c r="F553" t="inlineStr">
        <is>
          <t>AED</t>
        </is>
      </c>
      <c r="G553" s="7" t="n">
        <v>14517.847</v>
      </c>
      <c r="H553" t="inlineStr">
        <is>
          <t>GBP</t>
        </is>
      </c>
      <c r="I553" s="7" t="n">
        <v>3092.301</v>
      </c>
      <c r="J553" s="8" t="n">
        <v>46252.79079861111</v>
      </c>
      <c r="K553" t="inlineStr">
        <is>
          <t>CF260818 00547</t>
        </is>
      </c>
      <c r="L553" t="inlineStr">
        <is>
          <t>GL.NOSTRO.AED.BRMD.002</t>
        </is>
      </c>
      <c r="M553" t="inlineStr">
        <is>
          <t>Umberton Clearing</t>
        </is>
      </c>
      <c r="N553" t="inlineStr">
        <is>
          <t>BRMD</t>
        </is>
      </c>
      <c r="O553" t="inlineStr">
        <is>
          <t>CANCEL</t>
        </is>
      </c>
      <c r="P553" t="inlineStr">
        <is>
          <t>NT26081800285</t>
        </is>
      </c>
      <c r="Q553" t="inlineStr">
        <is>
          <t>NETTER</t>
        </is>
      </c>
    </row>
    <row r="554">
      <c r="A554" t="inlineStr">
        <is>
          <t>468341071172</t>
        </is>
      </c>
      <c r="B554" t="inlineStr">
        <is>
          <t>TCQ</t>
        </is>
      </c>
      <c r="C554" t="inlineStr">
        <is>
          <t>BRCC</t>
        </is>
      </c>
      <c r="D554" s="6" t="n">
        <v>46252</v>
      </c>
      <c r="E554" t="inlineStr">
        <is>
          <t>CR</t>
        </is>
      </c>
      <c r="F554" t="inlineStr">
        <is>
          <t>EUR</t>
        </is>
      </c>
      <c r="G554" s="7" t="n">
        <v>1094098.906</v>
      </c>
      <c r="H554" t="inlineStr">
        <is>
          <t>GBP</t>
        </is>
      </c>
      <c r="I554" s="7" t="n">
        <v>938736.861</v>
      </c>
      <c r="J554" s="8" t="n">
        <v>46252.32502314815</v>
      </c>
      <c r="K554" t="inlineStr">
        <is>
          <t>CF260818 00548</t>
        </is>
      </c>
      <c r="L554" t="inlineStr">
        <is>
          <t>GL.NOSTRO.EUR.BRCC.002</t>
        </is>
      </c>
      <c r="M554" t="inlineStr">
        <is>
          <t>Alder Trust</t>
        </is>
      </c>
      <c r="N554" t="inlineStr">
        <is>
          <t>BRCC</t>
        </is>
      </c>
      <c r="O554" t="inlineStr">
        <is>
          <t>NEW</t>
        </is>
      </c>
      <c r="Q554" t="inlineStr">
        <is>
          <t>NETTER</t>
        </is>
      </c>
    </row>
    <row r="555">
      <c r="A555" t="inlineStr">
        <is>
          <t>968942362772</t>
        </is>
      </c>
      <c r="B555" t="inlineStr">
        <is>
          <t>TCP</t>
        </is>
      </c>
      <c r="C555" t="inlineStr">
        <is>
          <t>BRYG</t>
        </is>
      </c>
      <c r="D555" s="6" t="n">
        <v>46252</v>
      </c>
      <c r="E555" t="inlineStr">
        <is>
          <t>DR</t>
        </is>
      </c>
      <c r="F555" t="inlineStr">
        <is>
          <t>EUR</t>
        </is>
      </c>
      <c r="G555" s="7" t="n">
        <v>-55803892.891</v>
      </c>
      <c r="H555" t="inlineStr">
        <is>
          <t>GBP</t>
        </is>
      </c>
      <c r="I555" s="7" t="n">
        <v>-47879740.1</v>
      </c>
      <c r="J555" s="8" t="n">
        <v>46252.38134259259</v>
      </c>
      <c r="K555" t="inlineStr">
        <is>
          <t>CF260818 00549</t>
        </is>
      </c>
      <c r="L555" t="inlineStr">
        <is>
          <t>GL.NOSTRO.EUR.BRYG.004</t>
        </is>
      </c>
      <c r="M555" t="inlineStr">
        <is>
          <t>Zephyr Commercial Bank</t>
        </is>
      </c>
      <c r="N555" t="inlineStr">
        <is>
          <t>BRYGCASH</t>
        </is>
      </c>
      <c r="O555" t="inlineStr">
        <is>
          <t>NEW</t>
        </is>
      </c>
      <c r="P555" t="inlineStr">
        <is>
          <t>NT26081800287</t>
        </is>
      </c>
      <c r="Q555" t="inlineStr">
        <is>
          <t>NETTER</t>
        </is>
      </c>
    </row>
    <row r="556">
      <c r="A556" t="inlineStr">
        <is>
          <t>499062838623</t>
        </is>
      </c>
      <c r="B556" t="inlineStr">
        <is>
          <t>TCQ</t>
        </is>
      </c>
      <c r="C556" t="inlineStr">
        <is>
          <t>BRBX</t>
        </is>
      </c>
      <c r="D556" s="6" t="n">
        <v>46252</v>
      </c>
      <c r="E556" t="inlineStr">
        <is>
          <t>CR</t>
        </is>
      </c>
      <c r="F556" t="inlineStr">
        <is>
          <t>USD</t>
        </is>
      </c>
      <c r="G556" s="7" t="n">
        <v>912247.868</v>
      </c>
      <c r="H556" t="inlineStr">
        <is>
          <t>GBP</t>
        </is>
      </c>
      <c r="I556" s="7" t="n">
        <v>715202.329</v>
      </c>
      <c r="J556" s="8" t="n">
        <v>46252.64480324074</v>
      </c>
      <c r="K556" t="inlineStr">
        <is>
          <t>CF260818 00550</t>
        </is>
      </c>
      <c r="L556" t="inlineStr">
        <is>
          <t>GL.NOSTRO.USD.BRBX.001</t>
        </is>
      </c>
      <c r="M556" t="inlineStr">
        <is>
          <t>Elmwood Trust</t>
        </is>
      </c>
      <c r="N556" t="inlineStr">
        <is>
          <t>BRBX</t>
        </is>
      </c>
      <c r="O556" t="inlineStr">
        <is>
          <t>NEW</t>
        </is>
      </c>
      <c r="Q556" t="inlineStr">
        <is>
          <t>GROSS</t>
        </is>
      </c>
    </row>
    <row r="557">
      <c r="A557" t="inlineStr">
        <is>
          <t>953625291146</t>
        </is>
      </c>
      <c r="B557" t="inlineStr">
        <is>
          <t>TCC</t>
        </is>
      </c>
      <c r="C557" t="inlineStr">
        <is>
          <t>BRGL</t>
        </is>
      </c>
      <c r="D557" s="6" t="n">
        <v>46252</v>
      </c>
      <c r="E557" t="inlineStr">
        <is>
          <t>CR</t>
        </is>
      </c>
      <c r="F557" t="inlineStr">
        <is>
          <t>USD</t>
        </is>
      </c>
      <c r="G557" s="7" t="n">
        <v>9484198.856000001</v>
      </c>
      <c r="H557" t="inlineStr">
        <is>
          <t>GBP</t>
        </is>
      </c>
      <c r="I557" s="7" t="n">
        <v>7435611.903</v>
      </c>
      <c r="J557" s="8" t="n">
        <v>46252.68827546296</v>
      </c>
      <c r="K557" t="inlineStr">
        <is>
          <t>CF260818 00551</t>
        </is>
      </c>
      <c r="L557" t="inlineStr">
        <is>
          <t>GL.NOSTRO.USD.BRGL.002</t>
        </is>
      </c>
      <c r="M557" t="inlineStr">
        <is>
          <t>Cedar Commercial Bank</t>
        </is>
      </c>
      <c r="N557" t="inlineStr">
        <is>
          <t>BRGLCASH</t>
        </is>
      </c>
      <c r="O557" t="inlineStr">
        <is>
          <t>NEW</t>
        </is>
      </c>
      <c r="Q557" t="inlineStr">
        <is>
          <t>INTERNAL</t>
        </is>
      </c>
    </row>
    <row r="558">
      <c r="A558" t="inlineStr">
        <is>
          <t>265771593142</t>
        </is>
      </c>
      <c r="B558" t="inlineStr">
        <is>
          <t>TCQ</t>
        </is>
      </c>
      <c r="C558" t="inlineStr">
        <is>
          <t>BRYG</t>
        </is>
      </c>
      <c r="D558" s="6" t="n">
        <v>46252</v>
      </c>
      <c r="E558" t="inlineStr">
        <is>
          <t>CR</t>
        </is>
      </c>
      <c r="F558" t="inlineStr">
        <is>
          <t>EUR</t>
        </is>
      </c>
      <c r="G558" s="7" t="n">
        <v>22169141930.239</v>
      </c>
      <c r="H558" t="inlineStr">
        <is>
          <t>GBP</t>
        </is>
      </c>
      <c r="I558" s="7" t="n">
        <v>19021123776.145</v>
      </c>
      <c r="J558" s="8" t="n">
        <v>46252.37358796296</v>
      </c>
      <c r="K558" t="inlineStr">
        <is>
          <t>CF260818 00552</t>
        </is>
      </c>
      <c r="L558" t="inlineStr">
        <is>
          <t>GL.NOSTRO.EUR.BRYG.007</t>
        </is>
      </c>
      <c r="M558" t="inlineStr">
        <is>
          <t>Harrow Clearing</t>
        </is>
      </c>
      <c r="N558" t="inlineStr">
        <is>
          <t>BRYGTRSY</t>
        </is>
      </c>
      <c r="O558" t="inlineStr">
        <is>
          <t>AMEND</t>
        </is>
      </c>
      <c r="Q558" t="inlineStr">
        <is>
          <t>NETTER</t>
        </is>
      </c>
    </row>
    <row r="559">
      <c r="A559" t="inlineStr">
        <is>
          <t>150316825069</t>
        </is>
      </c>
      <c r="B559" t="inlineStr">
        <is>
          <t>TCG</t>
        </is>
      </c>
      <c r="C559" t="inlineStr">
        <is>
          <t>BRGX</t>
        </is>
      </c>
      <c r="D559" s="6" t="n">
        <v>46252</v>
      </c>
      <c r="E559" t="inlineStr">
        <is>
          <t>DR</t>
        </is>
      </c>
      <c r="F559" t="inlineStr">
        <is>
          <t>GBP</t>
        </is>
      </c>
      <c r="G559" s="7" t="n">
        <v>-46753.961</v>
      </c>
      <c r="H559" t="inlineStr">
        <is>
          <t>GBP</t>
        </is>
      </c>
      <c r="I559" s="7" t="n">
        <v>-46753.961</v>
      </c>
      <c r="J559" s="8" t="n">
        <v>46252.69046296296</v>
      </c>
      <c r="K559" t="inlineStr">
        <is>
          <t>CF260818 00553</t>
        </is>
      </c>
      <c r="L559" t="inlineStr">
        <is>
          <t>GL.NOSTRO.GBP.BRGX.008</t>
        </is>
      </c>
      <c r="M559" t="inlineStr">
        <is>
          <t>Elmwood Clearing</t>
        </is>
      </c>
      <c r="N559" t="inlineStr">
        <is>
          <t>BRGXCASH</t>
        </is>
      </c>
      <c r="O559" t="inlineStr">
        <is>
          <t>NEW</t>
        </is>
      </c>
      <c r="Q559" t="inlineStr">
        <is>
          <t>NETTER</t>
        </is>
      </c>
    </row>
    <row r="560">
      <c r="A560" t="inlineStr">
        <is>
          <t>898317028833</t>
        </is>
      </c>
      <c r="B560" t="inlineStr">
        <is>
          <t>TCQ</t>
        </is>
      </c>
      <c r="C560" t="inlineStr">
        <is>
          <t>BRAA</t>
        </is>
      </c>
      <c r="D560" s="6" t="n">
        <v>46252</v>
      </c>
      <c r="E560" t="inlineStr">
        <is>
          <t>CR</t>
        </is>
      </c>
      <c r="F560" t="inlineStr">
        <is>
          <t>GBP</t>
        </is>
      </c>
      <c r="G560" s="7" t="n">
        <v>232890917.285</v>
      </c>
      <c r="H560" t="inlineStr">
        <is>
          <t>GBP</t>
        </is>
      </c>
      <c r="I560" s="7" t="n">
        <v>232890917.285</v>
      </c>
      <c r="J560" s="8" t="n">
        <v>46252.33347222222</v>
      </c>
      <c r="K560" t="inlineStr">
        <is>
          <t>CF260818 00554</t>
        </is>
      </c>
      <c r="L560" t="inlineStr">
        <is>
          <t>GL.NOSTRO.GBP.BRAA.005</t>
        </is>
      </c>
      <c r="M560" t="inlineStr">
        <is>
          <t>Bramble Bank</t>
        </is>
      </c>
      <c r="N560" t="inlineStr">
        <is>
          <t>BRAACASH</t>
        </is>
      </c>
      <c r="O560" t="inlineStr">
        <is>
          <t>NEW</t>
        </is>
      </c>
      <c r="P560" t="inlineStr">
        <is>
          <t>NT26081800298</t>
        </is>
      </c>
      <c r="Q560" t="inlineStr">
        <is>
          <t>INTERNAL</t>
        </is>
      </c>
    </row>
    <row r="561">
      <c r="A561" t="inlineStr">
        <is>
          <t>700726936098</t>
        </is>
      </c>
      <c r="B561" t="inlineStr">
        <is>
          <t>TCQ</t>
        </is>
      </c>
      <c r="C561" t="inlineStr">
        <is>
          <t>BRMD</t>
        </is>
      </c>
      <c r="D561" s="6" t="n">
        <v>46252</v>
      </c>
      <c r="E561" t="inlineStr">
        <is>
          <t>DR</t>
        </is>
      </c>
      <c r="F561" t="inlineStr">
        <is>
          <t>SAR</t>
        </is>
      </c>
      <c r="G561" s="7" t="n">
        <v>-425718587.15</v>
      </c>
      <c r="H561" t="inlineStr">
        <is>
          <t>GBP</t>
        </is>
      </c>
      <c r="I561" s="7" t="n">
        <v>-88975184.714</v>
      </c>
      <c r="J561" s="8" t="n">
        <v>46252.38155092593</v>
      </c>
      <c r="K561" t="inlineStr">
        <is>
          <t>CF260818 00555</t>
        </is>
      </c>
      <c r="L561" t="inlineStr">
        <is>
          <t>GL.NOSTRO.SAR.BRMD.009</t>
        </is>
      </c>
      <c r="M561" t="inlineStr">
        <is>
          <t>Oriel Trust</t>
        </is>
      </c>
      <c r="N561" t="inlineStr">
        <is>
          <t>BRMDTRSY</t>
        </is>
      </c>
      <c r="O561" t="inlineStr">
        <is>
          <t>NEW</t>
        </is>
      </c>
      <c r="Q561" t="inlineStr">
        <is>
          <t>GROSS</t>
        </is>
      </c>
    </row>
    <row r="562">
      <c r="A562" t="inlineStr">
        <is>
          <t>499062838623</t>
        </is>
      </c>
      <c r="B562" t="inlineStr">
        <is>
          <t>TCG</t>
        </is>
      </c>
      <c r="C562" t="inlineStr">
        <is>
          <t>BRBX</t>
        </is>
      </c>
      <c r="D562" s="6" t="n">
        <v>46252</v>
      </c>
      <c r="E562" t="inlineStr">
        <is>
          <t>CR</t>
        </is>
      </c>
      <c r="F562" t="inlineStr">
        <is>
          <t>USD</t>
        </is>
      </c>
      <c r="G562" s="7" t="n">
        <v>1655232.942</v>
      </c>
      <c r="H562" t="inlineStr">
        <is>
          <t>GBP</t>
        </is>
      </c>
      <c r="I562" s="7" t="n">
        <v>1297702.627</v>
      </c>
      <c r="J562" s="8" t="n">
        <v>46252.46918981482</v>
      </c>
      <c r="K562" t="inlineStr">
        <is>
          <t>CF260818 00556</t>
        </is>
      </c>
      <c r="L562" t="inlineStr">
        <is>
          <t>GL.NOSTRO.USD.BRBX.007</t>
        </is>
      </c>
      <c r="M562" t="inlineStr">
        <is>
          <t>Vetchling Settlement Bank</t>
        </is>
      </c>
      <c r="N562" t="inlineStr">
        <is>
          <t>BRBXTRSY</t>
        </is>
      </c>
      <c r="O562" t="inlineStr">
        <is>
          <t>NEW</t>
        </is>
      </c>
      <c r="P562" t="inlineStr">
        <is>
          <t>NT26081800306</t>
        </is>
      </c>
      <c r="Q562" t="inlineStr">
        <is>
          <t>NETTER</t>
        </is>
      </c>
    </row>
    <row r="563">
      <c r="A563" t="inlineStr">
        <is>
          <t>898317028833</t>
        </is>
      </c>
      <c r="B563" t="inlineStr">
        <is>
          <t>TCG</t>
        </is>
      </c>
      <c r="C563" t="inlineStr">
        <is>
          <t>BRAA</t>
        </is>
      </c>
      <c r="D563" s="6" t="n">
        <v>46252</v>
      </c>
      <c r="E563" t="inlineStr">
        <is>
          <t>CR</t>
        </is>
      </c>
      <c r="F563" t="inlineStr">
        <is>
          <t>GBP</t>
        </is>
      </c>
      <c r="G563" s="7" t="n">
        <v>2941830.281</v>
      </c>
      <c r="H563" t="inlineStr">
        <is>
          <t>GBP</t>
        </is>
      </c>
      <c r="I563" s="7" t="n">
        <v>2941830.281</v>
      </c>
      <c r="J563" s="8" t="n">
        <v>46252.41554398148</v>
      </c>
      <c r="K563" t="inlineStr">
        <is>
          <t>CF260818 00557</t>
        </is>
      </c>
      <c r="L563" t="inlineStr">
        <is>
          <t>GL.NOSTRO.GBP.BRAA.001</t>
        </is>
      </c>
      <c r="M563" t="inlineStr">
        <is>
          <t>Zephyr Commercial Bank</t>
        </is>
      </c>
      <c r="N563" t="inlineStr">
        <is>
          <t>BRAA</t>
        </is>
      </c>
      <c r="O563" t="inlineStr">
        <is>
          <t>NEW</t>
        </is>
      </c>
      <c r="Q563" t="inlineStr">
        <is>
          <t>NETTER</t>
        </is>
      </c>
    </row>
    <row r="564">
      <c r="A564" t="inlineStr">
        <is>
          <t>898317028833</t>
        </is>
      </c>
      <c r="B564" t="inlineStr">
        <is>
          <t>TCX</t>
        </is>
      </c>
      <c r="C564" t="inlineStr">
        <is>
          <t>BRAA</t>
        </is>
      </c>
      <c r="D564" s="6" t="n">
        <v>46252</v>
      </c>
      <c r="E564" t="inlineStr">
        <is>
          <t>DR</t>
        </is>
      </c>
      <c r="F564" t="inlineStr">
        <is>
          <t>GBP</t>
        </is>
      </c>
      <c r="G564" s="7" t="n">
        <v>-843886.411</v>
      </c>
      <c r="H564" t="inlineStr">
        <is>
          <t>GBP</t>
        </is>
      </c>
      <c r="I564" s="7" t="n">
        <v>-843886.411</v>
      </c>
      <c r="J564" s="8" t="n">
        <v>46252.70625</v>
      </c>
      <c r="K564" t="inlineStr">
        <is>
          <t>CF260818 00558</t>
        </is>
      </c>
      <c r="L564" t="inlineStr">
        <is>
          <t>GL.NOSTRO.GBP.BRAA.003</t>
        </is>
      </c>
      <c r="M564" t="inlineStr">
        <is>
          <t>Dunlin Clearing</t>
        </is>
      </c>
      <c r="N564" t="inlineStr">
        <is>
          <t>BRAAMM</t>
        </is>
      </c>
      <c r="O564" t="inlineStr">
        <is>
          <t>AMEND</t>
        </is>
      </c>
      <c r="Q564" t="inlineStr">
        <is>
          <t>NETTER</t>
        </is>
      </c>
    </row>
    <row r="565">
      <c r="A565" t="inlineStr">
        <is>
          <t>468341071172</t>
        </is>
      </c>
      <c r="B565" t="inlineStr">
        <is>
          <t>TCX</t>
        </is>
      </c>
      <c r="C565" t="inlineStr">
        <is>
          <t>BRCC</t>
        </is>
      </c>
      <c r="D565" s="6" t="n">
        <v>46252</v>
      </c>
      <c r="E565" t="inlineStr">
        <is>
          <t>CR</t>
        </is>
      </c>
      <c r="F565" t="inlineStr">
        <is>
          <t>EUR</t>
        </is>
      </c>
      <c r="G565" s="7" t="n">
        <v>1256093.59</v>
      </c>
      <c r="H565" t="inlineStr">
        <is>
          <t>GBP</t>
        </is>
      </c>
      <c r="I565" s="7" t="n">
        <v>1077728.3</v>
      </c>
      <c r="J565" s="8" t="n">
        <v>46252.64440972222</v>
      </c>
      <c r="K565" t="inlineStr">
        <is>
          <t>CF260818 00559</t>
        </is>
      </c>
      <c r="L565" t="inlineStr">
        <is>
          <t>GL.NOSTRO.EUR.BRCC.006</t>
        </is>
      </c>
      <c r="M565" t="inlineStr">
        <is>
          <t>Nightjar Bank</t>
        </is>
      </c>
      <c r="N565" t="inlineStr">
        <is>
          <t>BRCCCASH</t>
        </is>
      </c>
      <c r="O565" t="inlineStr">
        <is>
          <t>NEW</t>
        </is>
      </c>
      <c r="P565" t="inlineStr">
        <is>
          <t>NT26081800309</t>
        </is>
      </c>
      <c r="Q565" t="inlineStr">
        <is>
          <t>GROSS</t>
        </is>
      </c>
    </row>
    <row r="566">
      <c r="A566" t="inlineStr">
        <is>
          <t>113829985108</t>
        </is>
      </c>
      <c r="B566" t="inlineStr">
        <is>
          <t>TCC</t>
        </is>
      </c>
      <c r="C566" t="inlineStr">
        <is>
          <t>BRGL</t>
        </is>
      </c>
      <c r="D566" s="6" t="n">
        <v>46252</v>
      </c>
      <c r="E566" t="inlineStr">
        <is>
          <t>CR</t>
        </is>
      </c>
      <c r="F566" t="inlineStr">
        <is>
          <t>EUR</t>
        </is>
      </c>
      <c r="G566" s="7" t="n">
        <v>15282252.845</v>
      </c>
      <c r="H566" t="inlineStr">
        <is>
          <t>GBP</t>
        </is>
      </c>
      <c r="I566" s="7" t="n">
        <v>13112172.941</v>
      </c>
      <c r="J566" s="8" t="n">
        <v>46252.81807870371</v>
      </c>
      <c r="K566" t="inlineStr">
        <is>
          <t>CF260818 00560</t>
        </is>
      </c>
      <c r="L566" t="inlineStr">
        <is>
          <t>GL.NOSTRO.EUR.BRGL.005</t>
        </is>
      </c>
      <c r="M566" t="inlineStr">
        <is>
          <t>Pinehurst Bank</t>
        </is>
      </c>
      <c r="N566" t="inlineStr">
        <is>
          <t>BRGLTRSY</t>
        </is>
      </c>
      <c r="O566" t="inlineStr">
        <is>
          <t>NEW</t>
        </is>
      </c>
      <c r="Q566" t="inlineStr">
        <is>
          <t>NETTER</t>
        </is>
      </c>
    </row>
    <row r="567">
      <c r="A567" t="inlineStr">
        <is>
          <t>621381112674</t>
        </is>
      </c>
      <c r="B567" t="inlineStr">
        <is>
          <t>TCG</t>
        </is>
      </c>
      <c r="C567" t="inlineStr">
        <is>
          <t>BRAA</t>
        </is>
      </c>
      <c r="D567" s="6" t="n">
        <v>46252</v>
      </c>
      <c r="E567" t="inlineStr">
        <is>
          <t>DR</t>
        </is>
      </c>
      <c r="F567" t="inlineStr">
        <is>
          <t>PLN</t>
        </is>
      </c>
      <c r="G567" s="7" t="n">
        <v>-2503651.343</v>
      </c>
      <c r="H567" t="inlineStr">
        <is>
          <t>GBP</t>
        </is>
      </c>
      <c r="I567" s="7" t="n">
        <v>-495722.966</v>
      </c>
      <c r="J567" s="8" t="n">
        <v>46252.57621527778</v>
      </c>
      <c r="K567" t="inlineStr">
        <is>
          <t>CF260818 00561</t>
        </is>
      </c>
      <c r="L567" t="inlineStr">
        <is>
          <t>GL.NOSTRO.PLN.BRAA.008</t>
        </is>
      </c>
      <c r="M567" t="inlineStr">
        <is>
          <t>Zephyr Commercial Bank</t>
        </is>
      </c>
      <c r="N567" t="inlineStr">
        <is>
          <t>BRAACASH</t>
        </is>
      </c>
      <c r="O567" t="inlineStr">
        <is>
          <t>NEW</t>
        </is>
      </c>
      <c r="P567" t="inlineStr">
        <is>
          <t>NT26081800296</t>
        </is>
      </c>
      <c r="Q567" t="inlineStr">
        <is>
          <t>NETTER</t>
        </is>
      </c>
    </row>
    <row r="568">
      <c r="A568" t="inlineStr">
        <is>
          <t>468341071172</t>
        </is>
      </c>
      <c r="B568" t="inlineStr">
        <is>
          <t>TCG</t>
        </is>
      </c>
      <c r="C568" t="inlineStr">
        <is>
          <t>BRCC</t>
        </is>
      </c>
      <c r="D568" s="6" t="n">
        <v>46252</v>
      </c>
      <c r="E568" t="inlineStr">
        <is>
          <t>CR</t>
        </is>
      </c>
      <c r="F568" t="inlineStr">
        <is>
          <t>EUR</t>
        </is>
      </c>
      <c r="G568" s="7" t="n">
        <v>30743955.374</v>
      </c>
      <c r="H568" t="inlineStr">
        <is>
          <t>GBP</t>
        </is>
      </c>
      <c r="I568" s="7" t="n">
        <v>26378313.711</v>
      </c>
      <c r="J568" s="8" t="n">
        <v>46252.56739583334</v>
      </c>
      <c r="K568" t="inlineStr">
        <is>
          <t>CF260818 00562</t>
        </is>
      </c>
      <c r="L568" t="inlineStr">
        <is>
          <t>GL.NOSTRO.EUR.BRCC.006</t>
        </is>
      </c>
      <c r="M568" t="inlineStr">
        <is>
          <t>Sablewood Settlement Bank</t>
        </is>
      </c>
      <c r="N568" t="inlineStr">
        <is>
          <t>BRCCTRSY</t>
        </is>
      </c>
      <c r="O568" t="inlineStr">
        <is>
          <t>NEW</t>
        </is>
      </c>
      <c r="Q568" t="inlineStr">
        <is>
          <t>NETTER</t>
        </is>
      </c>
    </row>
    <row r="569">
      <c r="A569" t="inlineStr">
        <is>
          <t>824840705580</t>
        </is>
      </c>
      <c r="B569" t="inlineStr">
        <is>
          <t>TCQ</t>
        </is>
      </c>
      <c r="C569" t="inlineStr">
        <is>
          <t>BRGL</t>
        </is>
      </c>
      <c r="D569" s="6" t="n">
        <v>46252</v>
      </c>
      <c r="E569" t="inlineStr">
        <is>
          <t>DR</t>
        </is>
      </c>
      <c r="F569" t="inlineStr">
        <is>
          <t>EUR</t>
        </is>
      </c>
      <c r="G569" s="7" t="n">
        <v>-6808667.389</v>
      </c>
      <c r="H569" t="inlineStr">
        <is>
          <t>GBP</t>
        </is>
      </c>
      <c r="I569" s="7" t="n">
        <v>-5841836.62</v>
      </c>
      <c r="J569" s="8" t="n">
        <v>46252.38001157407</v>
      </c>
      <c r="K569" t="inlineStr">
        <is>
          <t>CF260818 00563</t>
        </is>
      </c>
      <c r="L569" t="inlineStr">
        <is>
          <t>GL.NOSTRO.EUR.BRGL.003</t>
        </is>
      </c>
      <c r="M569" t="inlineStr">
        <is>
          <t>Elmwood Bank</t>
        </is>
      </c>
      <c r="N569" t="inlineStr">
        <is>
          <t>BRGL</t>
        </is>
      </c>
      <c r="O569" t="inlineStr">
        <is>
          <t>CANCEL</t>
        </is>
      </c>
      <c r="P569" t="inlineStr">
        <is>
          <t>NT26081800299</t>
        </is>
      </c>
      <c r="Q569" t="inlineStr">
        <is>
          <t>NETTER</t>
        </is>
      </c>
    </row>
    <row r="570">
      <c r="A570" t="inlineStr">
        <is>
          <t>898317028833</t>
        </is>
      </c>
      <c r="B570" t="inlineStr">
        <is>
          <t>TCQ</t>
        </is>
      </c>
      <c r="C570" t="inlineStr">
        <is>
          <t>BRAA</t>
        </is>
      </c>
      <c r="D570" s="6" t="n">
        <v>46252</v>
      </c>
      <c r="E570" t="inlineStr">
        <is>
          <t>CR</t>
        </is>
      </c>
      <c r="F570" t="inlineStr">
        <is>
          <t>GBP</t>
        </is>
      </c>
      <c r="G570" s="7" t="n">
        <v>6561778.626</v>
      </c>
      <c r="H570" t="inlineStr">
        <is>
          <t>GBP</t>
        </is>
      </c>
      <c r="I570" s="7" t="n">
        <v>6561778.626</v>
      </c>
      <c r="J570" s="8" t="n">
        <v>46252.32804398148</v>
      </c>
      <c r="K570" t="inlineStr">
        <is>
          <t>CF260818 00564</t>
        </is>
      </c>
      <c r="L570" t="inlineStr">
        <is>
          <t>GL.NOSTRO.GBP.BRAA.008</t>
        </is>
      </c>
      <c r="M570" t="inlineStr">
        <is>
          <t>Granite Bank</t>
        </is>
      </c>
      <c r="N570" t="inlineStr">
        <is>
          <t>BRAAMM</t>
        </is>
      </c>
      <c r="O570" t="inlineStr">
        <is>
          <t>NEW</t>
        </is>
      </c>
      <c r="P570" t="inlineStr">
        <is>
          <t>NT26081800297</t>
        </is>
      </c>
      <c r="Q570" t="inlineStr">
        <is>
          <t>NETTER</t>
        </is>
      </c>
    </row>
    <row r="571">
      <c r="A571" t="inlineStr">
        <is>
          <t>150316825069</t>
        </is>
      </c>
      <c r="B571" t="inlineStr">
        <is>
          <t>TCG</t>
        </is>
      </c>
      <c r="C571" t="inlineStr">
        <is>
          <t>BRGX</t>
        </is>
      </c>
      <c r="D571" s="6" t="n">
        <v>46252</v>
      </c>
      <c r="E571" t="inlineStr">
        <is>
          <t>CR</t>
        </is>
      </c>
      <c r="F571" t="inlineStr">
        <is>
          <t>GBP</t>
        </is>
      </c>
      <c r="G571" s="7" t="n">
        <v>224808876.918</v>
      </c>
      <c r="H571" t="inlineStr">
        <is>
          <t>GBP</t>
        </is>
      </c>
      <c r="I571" s="7" t="n">
        <v>224808876.918</v>
      </c>
      <c r="J571" s="8" t="n">
        <v>46252.67927083333</v>
      </c>
      <c r="K571" t="inlineStr">
        <is>
          <t>CF260818 00565</t>
        </is>
      </c>
      <c r="L571" t="inlineStr">
        <is>
          <t>GL.NOSTRO.GBP.BRGX.008</t>
        </is>
      </c>
      <c r="M571" t="inlineStr">
        <is>
          <t>Vetchling Settlement Bank</t>
        </is>
      </c>
      <c r="N571" t="inlineStr">
        <is>
          <t>BRGXMM</t>
        </is>
      </c>
      <c r="O571" t="inlineStr">
        <is>
          <t>NEW</t>
        </is>
      </c>
      <c r="Q571" t="inlineStr">
        <is>
          <t>NETTER</t>
        </is>
      </c>
    </row>
    <row r="572">
      <c r="A572" t="inlineStr">
        <is>
          <t>968942362772</t>
        </is>
      </c>
      <c r="B572" t="inlineStr">
        <is>
          <t>TCX</t>
        </is>
      </c>
      <c r="C572" t="inlineStr">
        <is>
          <t>BRYG</t>
        </is>
      </c>
      <c r="D572" s="6" t="n">
        <v>46252</v>
      </c>
      <c r="E572" t="inlineStr">
        <is>
          <t>DR</t>
        </is>
      </c>
      <c r="F572" t="inlineStr">
        <is>
          <t>EUR</t>
        </is>
      </c>
      <c r="G572" s="7" t="n">
        <v>-791088592.401</v>
      </c>
      <c r="H572" t="inlineStr">
        <is>
          <t>GBP</t>
        </is>
      </c>
      <c r="I572" s="7" t="n">
        <v>-678754012.28</v>
      </c>
      <c r="J572" s="8" t="n">
        <v>46252.46839120371</v>
      </c>
      <c r="K572" t="inlineStr">
        <is>
          <t>CF260818 00566</t>
        </is>
      </c>
      <c r="L572" t="inlineStr">
        <is>
          <t>GL.NOSTRO.EUR.BRYG.008</t>
        </is>
      </c>
      <c r="M572" t="inlineStr">
        <is>
          <t>Umberton Commercial Bank</t>
        </is>
      </c>
      <c r="N572" t="inlineStr">
        <is>
          <t>BRYGCASH</t>
        </is>
      </c>
      <c r="O572" t="inlineStr">
        <is>
          <t>NEW</t>
        </is>
      </c>
      <c r="P572" t="inlineStr">
        <is>
          <t>NT26081800287</t>
        </is>
      </c>
      <c r="Q572" t="inlineStr">
        <is>
          <t>NETTER</t>
        </is>
      </c>
    </row>
    <row r="573">
      <c r="A573" t="inlineStr">
        <is>
          <t>265771593142</t>
        </is>
      </c>
      <c r="B573" t="inlineStr">
        <is>
          <t>TCC</t>
        </is>
      </c>
      <c r="C573" t="inlineStr">
        <is>
          <t>BRYG</t>
        </is>
      </c>
      <c r="D573" s="6" t="n">
        <v>46252</v>
      </c>
      <c r="E573" t="inlineStr">
        <is>
          <t>CR</t>
        </is>
      </c>
      <c r="F573" t="inlineStr">
        <is>
          <t>EUR</t>
        </is>
      </c>
      <c r="G573" s="7" t="n">
        <v>1043904.41</v>
      </c>
      <c r="H573" t="inlineStr">
        <is>
          <t>GBP</t>
        </is>
      </c>
      <c r="I573" s="7" t="n">
        <v>895669.9840000001</v>
      </c>
      <c r="J573" s="8" t="n">
        <v>46252.64497685185</v>
      </c>
      <c r="K573" t="inlineStr">
        <is>
          <t>CF260818 00567</t>
        </is>
      </c>
      <c r="L573" t="inlineStr">
        <is>
          <t>GL.NOSTRO.EUR.BRYG.007</t>
        </is>
      </c>
      <c r="M573" t="inlineStr">
        <is>
          <t>Bramble Bank</t>
        </is>
      </c>
      <c r="N573" t="inlineStr">
        <is>
          <t>BRYGCASH</t>
        </is>
      </c>
      <c r="O573" t="inlineStr">
        <is>
          <t>NEW</t>
        </is>
      </c>
      <c r="Q573" t="inlineStr">
        <is>
          <t>NETTER</t>
        </is>
      </c>
    </row>
    <row r="574">
      <c r="A574" t="inlineStr">
        <is>
          <t>150316825069</t>
        </is>
      </c>
      <c r="B574" t="inlineStr">
        <is>
          <t>TCQ</t>
        </is>
      </c>
      <c r="C574" t="inlineStr">
        <is>
          <t>BRGX</t>
        </is>
      </c>
      <c r="D574" s="6" t="n">
        <v>46252</v>
      </c>
      <c r="E574" t="inlineStr">
        <is>
          <t>CR</t>
        </is>
      </c>
      <c r="F574" t="inlineStr">
        <is>
          <t>GBP</t>
        </is>
      </c>
      <c r="G574" s="7" t="n">
        <v>8.805</v>
      </c>
      <c r="H574" t="inlineStr">
        <is>
          <t>GBP</t>
        </is>
      </c>
      <c r="I574" s="7" t="n">
        <v>8.805</v>
      </c>
      <c r="J574" s="8" t="n">
        <v>46252.43446759259</v>
      </c>
      <c r="K574" t="inlineStr">
        <is>
          <t>CF260818 00568</t>
        </is>
      </c>
      <c r="L574" t="inlineStr">
        <is>
          <t>GL.NOSTRO.GBP.BRGX.006</t>
        </is>
      </c>
      <c r="M574" t="inlineStr">
        <is>
          <t>Ironbark Commercial Bank</t>
        </is>
      </c>
      <c r="N574" t="inlineStr">
        <is>
          <t>BRGXTRSY</t>
        </is>
      </c>
      <c r="O574" t="inlineStr">
        <is>
          <t>NEW</t>
        </is>
      </c>
      <c r="Q574" t="inlineStr">
        <is>
          <t>NETTER</t>
        </is>
      </c>
    </row>
    <row r="575">
      <c r="A575" t="inlineStr">
        <is>
          <t>898317028833</t>
        </is>
      </c>
      <c r="B575" t="inlineStr">
        <is>
          <t>TCQ</t>
        </is>
      </c>
      <c r="C575" t="inlineStr">
        <is>
          <t>BRAA</t>
        </is>
      </c>
      <c r="D575" s="6" t="n">
        <v>46252</v>
      </c>
      <c r="E575" t="inlineStr">
        <is>
          <t>DR</t>
        </is>
      </c>
      <c r="F575" t="inlineStr">
        <is>
          <t>GBP</t>
        </is>
      </c>
      <c r="G575" s="7" t="n">
        <v>-48138764.566</v>
      </c>
      <c r="H575" t="inlineStr">
        <is>
          <t>GBP</t>
        </is>
      </c>
      <c r="I575" s="7" t="n">
        <v>-48138764.566</v>
      </c>
      <c r="J575" s="8" t="n">
        <v>46252.36157407407</v>
      </c>
      <c r="K575" t="inlineStr">
        <is>
          <t>CF260818 00569</t>
        </is>
      </c>
      <c r="L575" t="inlineStr">
        <is>
          <t>GL.NOSTRO.GBP.BRAA.004</t>
        </is>
      </c>
      <c r="M575" t="inlineStr">
        <is>
          <t>Alder Trust</t>
        </is>
      </c>
      <c r="N575" t="inlineStr">
        <is>
          <t>BRAA</t>
        </is>
      </c>
      <c r="O575" t="inlineStr">
        <is>
          <t>NEW</t>
        </is>
      </c>
      <c r="Q575" t="inlineStr">
        <is>
          <t>GROSS</t>
        </is>
      </c>
    </row>
    <row r="576">
      <c r="A576" t="inlineStr">
        <is>
          <t>150316825069</t>
        </is>
      </c>
      <c r="B576" t="inlineStr">
        <is>
          <t>TCC</t>
        </is>
      </c>
      <c r="C576" t="inlineStr">
        <is>
          <t>BRGX</t>
        </is>
      </c>
      <c r="D576" s="6" t="n">
        <v>46252</v>
      </c>
      <c r="E576" t="inlineStr">
        <is>
          <t>DR</t>
        </is>
      </c>
      <c r="F576" t="inlineStr">
        <is>
          <t>GBP</t>
        </is>
      </c>
      <c r="G576" s="7" t="n">
        <v>-6262737.789</v>
      </c>
      <c r="H576" t="inlineStr">
        <is>
          <t>GBP</t>
        </is>
      </c>
      <c r="I576" s="7" t="n">
        <v>-6262737.789</v>
      </c>
      <c r="J576" s="8" t="n">
        <v>46252.44387731481</v>
      </c>
      <c r="K576" t="inlineStr">
        <is>
          <t>CF260818 00570</t>
        </is>
      </c>
      <c r="L576" t="inlineStr">
        <is>
          <t>GL.NOSTRO.GBP.BRGX.005</t>
        </is>
      </c>
      <c r="M576" t="inlineStr">
        <is>
          <t>Vetchling Bank</t>
        </is>
      </c>
      <c r="N576" t="inlineStr">
        <is>
          <t>BRGX</t>
        </is>
      </c>
      <c r="O576" t="inlineStr">
        <is>
          <t>NEW</t>
        </is>
      </c>
      <c r="Q576" t="inlineStr">
        <is>
          <t>NETTER</t>
        </is>
      </c>
    </row>
    <row r="577">
      <c r="A577" t="inlineStr">
        <is>
          <t>499062838623</t>
        </is>
      </c>
      <c r="B577" t="inlineStr">
        <is>
          <t>TCG</t>
        </is>
      </c>
      <c r="C577" t="inlineStr">
        <is>
          <t>BRBX</t>
        </is>
      </c>
      <c r="D577" s="6" t="n">
        <v>46252</v>
      </c>
      <c r="E577" t="inlineStr">
        <is>
          <t>DR</t>
        </is>
      </c>
      <c r="F577" t="inlineStr">
        <is>
          <t>USD</t>
        </is>
      </c>
      <c r="G577" s="7" t="n">
        <v>-24374253.121</v>
      </c>
      <c r="H577" t="inlineStr">
        <is>
          <t>GBP</t>
        </is>
      </c>
      <c r="I577" s="7" t="n">
        <v>-19109414.447</v>
      </c>
      <c r="J577" s="8" t="n">
        <v>46252.6612037037</v>
      </c>
      <c r="K577" t="inlineStr">
        <is>
          <t>CF260818 00571</t>
        </is>
      </c>
      <c r="L577" t="inlineStr">
        <is>
          <t>GL.NOSTRO.USD.BRBX.005</t>
        </is>
      </c>
      <c r="M577" t="inlineStr">
        <is>
          <t>Ironbark Trust</t>
        </is>
      </c>
      <c r="N577" t="inlineStr">
        <is>
          <t>BRBXCASH</t>
        </is>
      </c>
      <c r="O577" t="inlineStr">
        <is>
          <t>NEW</t>
        </is>
      </c>
      <c r="Q577" t="inlineStr">
        <is>
          <t>GROSS</t>
        </is>
      </c>
    </row>
    <row r="578">
      <c r="A578" t="inlineStr">
        <is>
          <t>468341071172</t>
        </is>
      </c>
      <c r="B578" t="inlineStr">
        <is>
          <t>TCG</t>
        </is>
      </c>
      <c r="C578" t="inlineStr">
        <is>
          <t>BRCC</t>
        </is>
      </c>
      <c r="D578" s="6" t="n">
        <v>46252</v>
      </c>
      <c r="E578" t="inlineStr">
        <is>
          <t>DR</t>
        </is>
      </c>
      <c r="F578" t="inlineStr">
        <is>
          <t>EUR</t>
        </is>
      </c>
      <c r="G578" s="7" t="n">
        <v>-646837120.059</v>
      </c>
      <c r="H578" t="inlineStr">
        <is>
          <t>GBP</t>
        </is>
      </c>
      <c r="I578" s="7" t="n">
        <v>-554986249.011</v>
      </c>
      <c r="J578" s="8" t="n">
        <v>46252.57988425926</v>
      </c>
      <c r="K578" t="inlineStr">
        <is>
          <t>CF260818 00572</t>
        </is>
      </c>
      <c r="L578" t="inlineStr">
        <is>
          <t>GL.NOSTRO.EUR.BRCC.003</t>
        </is>
      </c>
      <c r="M578" t="inlineStr">
        <is>
          <t>Pinehurst Clearing</t>
        </is>
      </c>
      <c r="N578" t="inlineStr">
        <is>
          <t>BRCCCASH</t>
        </is>
      </c>
      <c r="O578" t="inlineStr">
        <is>
          <t>NEW</t>
        </is>
      </c>
      <c r="P578" t="inlineStr">
        <is>
          <t>NT26081800292</t>
        </is>
      </c>
      <c r="Q578" t="inlineStr">
        <is>
          <t>NETTER</t>
        </is>
      </c>
    </row>
    <row r="579">
      <c r="A579" t="inlineStr">
        <is>
          <t>359365220160</t>
        </is>
      </c>
      <c r="B579" t="inlineStr">
        <is>
          <t>TCQ</t>
        </is>
      </c>
      <c r="C579" t="inlineStr">
        <is>
          <t>BRGX</t>
        </is>
      </c>
      <c r="D579" s="6" t="n">
        <v>46252</v>
      </c>
      <c r="E579" t="inlineStr">
        <is>
          <t>DR</t>
        </is>
      </c>
      <c r="F579" t="inlineStr">
        <is>
          <t>EUR</t>
        </is>
      </c>
      <c r="G579" s="7" t="n">
        <v>-1756516.614</v>
      </c>
      <c r="H579" t="inlineStr">
        <is>
          <t>GBP</t>
        </is>
      </c>
      <c r="I579" s="7" t="n">
        <v>-1507091.255</v>
      </c>
      <c r="J579" s="8" t="n">
        <v>46252.61775462963</v>
      </c>
      <c r="K579" t="inlineStr">
        <is>
          <t>CF260818 00573</t>
        </is>
      </c>
      <c r="L579" t="inlineStr">
        <is>
          <t>GL.NOSTRO.EUR.BRGX.006</t>
        </is>
      </c>
      <c r="M579" t="inlineStr">
        <is>
          <t>Nightjar Bank</t>
        </is>
      </c>
      <c r="N579" t="inlineStr">
        <is>
          <t>BRGXCASH</t>
        </is>
      </c>
      <c r="O579" t="inlineStr">
        <is>
          <t>NEW</t>
        </is>
      </c>
      <c r="P579" t="inlineStr">
        <is>
          <t>NT26081800299</t>
        </is>
      </c>
      <c r="Q579" t="inlineStr">
        <is>
          <t>GROSS</t>
        </is>
      </c>
    </row>
    <row r="580">
      <c r="A580" t="inlineStr">
        <is>
          <t>726928343448</t>
        </is>
      </c>
      <c r="B580" t="inlineStr">
        <is>
          <t>TCC</t>
        </is>
      </c>
      <c r="C580" t="inlineStr">
        <is>
          <t>BRGX</t>
        </is>
      </c>
      <c r="D580" s="6" t="n">
        <v>46252</v>
      </c>
      <c r="E580" t="inlineStr">
        <is>
          <t>DR</t>
        </is>
      </c>
      <c r="F580" t="inlineStr">
        <is>
          <t>EUR</t>
        </is>
      </c>
      <c r="G580" s="7" t="n">
        <v>-10494547.117</v>
      </c>
      <c r="H580" t="inlineStr">
        <is>
          <t>GBP</t>
        </is>
      </c>
      <c r="I580" s="7" t="n">
        <v>-9004321.426000001</v>
      </c>
      <c r="J580" s="8" t="n">
        <v>46252.35222222222</v>
      </c>
      <c r="K580" t="inlineStr">
        <is>
          <t>CF260818 00574</t>
        </is>
      </c>
      <c r="L580" t="inlineStr">
        <is>
          <t>GL.NOSTRO.EUR.BRGX.005</t>
        </is>
      </c>
      <c r="M580" t="inlineStr">
        <is>
          <t>Dunlin Clearing</t>
        </is>
      </c>
      <c r="N580" t="inlineStr">
        <is>
          <t>BRGX</t>
        </is>
      </c>
      <c r="O580" t="inlineStr">
        <is>
          <t>NEW</t>
        </is>
      </c>
      <c r="Q580" t="inlineStr">
        <is>
          <t>NETTER</t>
        </is>
      </c>
    </row>
    <row r="581">
      <c r="A581" t="inlineStr">
        <is>
          <t>468341071172</t>
        </is>
      </c>
      <c r="B581" t="inlineStr">
        <is>
          <t>TCC</t>
        </is>
      </c>
      <c r="C581" t="inlineStr">
        <is>
          <t>BRCC</t>
        </is>
      </c>
      <c r="D581" s="6" t="n">
        <v>46252</v>
      </c>
      <c r="E581" t="inlineStr">
        <is>
          <t>DR</t>
        </is>
      </c>
      <c r="F581" t="inlineStr">
        <is>
          <t>EUR</t>
        </is>
      </c>
      <c r="G581" s="7" t="n">
        <v>-2851062.997</v>
      </c>
      <c r="H581" t="inlineStr">
        <is>
          <t>GBP</t>
        </is>
      </c>
      <c r="I581" s="7" t="n">
        <v>-2446212.051</v>
      </c>
      <c r="J581" s="8" t="n">
        <v>46252.32269675926</v>
      </c>
      <c r="K581" t="inlineStr">
        <is>
          <t>CF260818 00575</t>
        </is>
      </c>
      <c r="L581" t="inlineStr">
        <is>
          <t>GL.NOSTRO.EUR.BRCC.006</t>
        </is>
      </c>
      <c r="M581" t="inlineStr">
        <is>
          <t>Redstart Commercial Bank</t>
        </is>
      </c>
      <c r="N581" t="inlineStr">
        <is>
          <t>BRCCMM</t>
        </is>
      </c>
      <c r="O581" t="inlineStr">
        <is>
          <t>AMEND</t>
        </is>
      </c>
      <c r="Q581" t="inlineStr">
        <is>
          <t>NETTER</t>
        </is>
      </c>
    </row>
    <row r="582">
      <c r="A582" t="inlineStr">
        <is>
          <t>953625291146</t>
        </is>
      </c>
      <c r="B582" t="inlineStr">
        <is>
          <t>TCX</t>
        </is>
      </c>
      <c r="C582" t="inlineStr">
        <is>
          <t>BRGL</t>
        </is>
      </c>
      <c r="D582" s="6" t="n">
        <v>46252</v>
      </c>
      <c r="E582" t="inlineStr">
        <is>
          <t>DR</t>
        </is>
      </c>
      <c r="F582" t="inlineStr">
        <is>
          <t>USD</t>
        </is>
      </c>
      <c r="G582" s="7" t="n">
        <v>-17357299.33</v>
      </c>
      <c r="H582" t="inlineStr">
        <is>
          <t>GBP</t>
        </is>
      </c>
      <c r="I582" s="7" t="n">
        <v>-13608122.675</v>
      </c>
      <c r="J582" s="8" t="n">
        <v>46252.36221064815</v>
      </c>
      <c r="K582" t="inlineStr">
        <is>
          <t>CF260818 00576</t>
        </is>
      </c>
      <c r="L582" t="inlineStr">
        <is>
          <t>GL.NOSTRO.USD.BRGL.007</t>
        </is>
      </c>
      <c r="M582" t="inlineStr">
        <is>
          <t>Juniper Bank</t>
        </is>
      </c>
      <c r="N582" t="inlineStr">
        <is>
          <t>BRGLTRSY</t>
        </is>
      </c>
      <c r="O582" t="inlineStr">
        <is>
          <t>NEW</t>
        </is>
      </c>
      <c r="P582" t="inlineStr">
        <is>
          <t>NT26081800289</t>
        </is>
      </c>
      <c r="Q582" t="inlineStr">
        <is>
          <t>NETTER</t>
        </is>
      </c>
    </row>
    <row r="583">
      <c r="A583" t="inlineStr">
        <is>
          <t>953625291146</t>
        </is>
      </c>
      <c r="B583" t="inlineStr">
        <is>
          <t>TCQ</t>
        </is>
      </c>
      <c r="C583" t="inlineStr">
        <is>
          <t>BRGL</t>
        </is>
      </c>
      <c r="D583" s="6" t="n">
        <v>46252</v>
      </c>
      <c r="E583" t="inlineStr">
        <is>
          <t>CR</t>
        </is>
      </c>
      <c r="F583" t="inlineStr">
        <is>
          <t>USD</t>
        </is>
      </c>
      <c r="G583" s="7" t="n">
        <v>79059129.56299999</v>
      </c>
      <c r="H583" t="inlineStr">
        <is>
          <t>GBP</t>
        </is>
      </c>
      <c r="I583" s="7" t="n">
        <v>61982357.577</v>
      </c>
      <c r="J583" s="8" t="n">
        <v>46252.861875</v>
      </c>
      <c r="K583" t="inlineStr">
        <is>
          <t>CF260818 00577</t>
        </is>
      </c>
      <c r="L583" t="inlineStr">
        <is>
          <t>GL.NOSTRO.USD.BRGL.008</t>
        </is>
      </c>
      <c r="M583" t="inlineStr">
        <is>
          <t>Mallow Commercial Bank</t>
        </is>
      </c>
      <c r="N583" t="inlineStr">
        <is>
          <t>BRGLTRSY</t>
        </is>
      </c>
      <c r="O583" t="inlineStr">
        <is>
          <t>NEW</t>
        </is>
      </c>
      <c r="Q583" t="inlineStr">
        <is>
          <t>NETTER</t>
        </is>
      </c>
    </row>
    <row r="584">
      <c r="A584" t="inlineStr">
        <is>
          <t>794226063698</t>
        </is>
      </c>
      <c r="B584" t="inlineStr">
        <is>
          <t>TCX</t>
        </is>
      </c>
      <c r="C584" t="inlineStr">
        <is>
          <t>BRMD</t>
        </is>
      </c>
      <c r="D584" s="6" t="n">
        <v>46252</v>
      </c>
      <c r="E584" t="inlineStr">
        <is>
          <t>CR</t>
        </is>
      </c>
      <c r="F584" t="inlineStr">
        <is>
          <t>AED</t>
        </is>
      </c>
      <c r="G584" s="7" t="n">
        <v>310155.6</v>
      </c>
      <c r="H584" t="inlineStr">
        <is>
          <t>GBP</t>
        </is>
      </c>
      <c r="I584" s="7" t="n">
        <v>66063.143</v>
      </c>
      <c r="J584" s="8" t="n">
        <v>46252.66135416667</v>
      </c>
      <c r="K584" t="inlineStr">
        <is>
          <t>CF260818 00578</t>
        </is>
      </c>
      <c r="L584" t="inlineStr">
        <is>
          <t>GL.NOSTRO.AED.BRMD.005</t>
        </is>
      </c>
      <c r="M584" t="inlineStr">
        <is>
          <t>Redstart Trust</t>
        </is>
      </c>
      <c r="N584" t="inlineStr">
        <is>
          <t>BRMDTRSY</t>
        </is>
      </c>
      <c r="O584" t="inlineStr">
        <is>
          <t>NEW</t>
        </is>
      </c>
      <c r="P584" t="inlineStr">
        <is>
          <t>NT26081800316</t>
        </is>
      </c>
      <c r="Q584" t="inlineStr">
        <is>
          <t>NETTER</t>
        </is>
      </c>
    </row>
    <row r="585">
      <c r="A585" t="inlineStr">
        <is>
          <t>132544340094</t>
        </is>
      </c>
      <c r="B585" t="inlineStr">
        <is>
          <t>TCC</t>
        </is>
      </c>
      <c r="C585" t="inlineStr">
        <is>
          <t>BRYG</t>
        </is>
      </c>
      <c r="D585" s="6" t="n">
        <v>46252</v>
      </c>
      <c r="E585" t="inlineStr">
        <is>
          <t>DR</t>
        </is>
      </c>
      <c r="F585" t="inlineStr">
        <is>
          <t>CZK</t>
        </is>
      </c>
      <c r="G585" s="7" t="n">
        <v>-194997289.862</v>
      </c>
      <c r="H585" t="inlineStr">
        <is>
          <t>GBP</t>
        </is>
      </c>
      <c r="I585" s="7" t="n">
        <v>-6610408.126</v>
      </c>
      <c r="J585" s="8" t="n">
        <v>46252.50883101852</v>
      </c>
      <c r="K585" t="inlineStr">
        <is>
          <t>CF260818 00579</t>
        </is>
      </c>
      <c r="L585" t="inlineStr">
        <is>
          <t>GL.NOSTRO.CZK.BRYG.009</t>
        </is>
      </c>
      <c r="M585" t="inlineStr">
        <is>
          <t>Elmwood Trust</t>
        </is>
      </c>
      <c r="N585" t="inlineStr">
        <is>
          <t>BRYGMM</t>
        </is>
      </c>
      <c r="O585" t="inlineStr">
        <is>
          <t>NEW</t>
        </is>
      </c>
      <c r="P585" t="inlineStr">
        <is>
          <t>NT26081800285</t>
        </is>
      </c>
      <c r="Q585" t="inlineStr">
        <is>
          <t>NETTER</t>
        </is>
      </c>
    </row>
    <row r="586">
      <c r="A586" t="inlineStr">
        <is>
          <t>468341071172</t>
        </is>
      </c>
      <c r="B586" t="inlineStr">
        <is>
          <t>TCQ</t>
        </is>
      </c>
      <c r="C586" t="inlineStr">
        <is>
          <t>BRCC</t>
        </is>
      </c>
      <c r="D586" s="6" t="n">
        <v>46252</v>
      </c>
      <c r="E586" t="inlineStr">
        <is>
          <t>DR</t>
        </is>
      </c>
      <c r="F586" t="inlineStr">
        <is>
          <t>EUR</t>
        </is>
      </c>
      <c r="G586" s="7" t="n">
        <v>-58390156.665</v>
      </c>
      <c r="H586" t="inlineStr">
        <is>
          <t>GBP</t>
        </is>
      </c>
      <c r="I586" s="7" t="n">
        <v>-50098754.419</v>
      </c>
      <c r="J586" s="8" t="n">
        <v>46252.66570601852</v>
      </c>
      <c r="K586" t="inlineStr">
        <is>
          <t>CF260818 00580</t>
        </is>
      </c>
      <c r="L586" t="inlineStr">
        <is>
          <t>GL.NOSTRO.EUR.BRCC.004</t>
        </is>
      </c>
      <c r="M586" t="inlineStr">
        <is>
          <t>Elmwood Bank</t>
        </is>
      </c>
      <c r="N586" t="inlineStr">
        <is>
          <t>BRCCCASH</t>
        </is>
      </c>
      <c r="O586" t="inlineStr">
        <is>
          <t>NEW</t>
        </is>
      </c>
      <c r="P586" t="inlineStr">
        <is>
          <t>NT26081800299</t>
        </is>
      </c>
      <c r="Q586" t="inlineStr">
        <is>
          <t>GROSS</t>
        </is>
      </c>
    </row>
    <row r="587">
      <c r="A587" t="inlineStr">
        <is>
          <t>468341071172</t>
        </is>
      </c>
      <c r="B587" t="inlineStr">
        <is>
          <t>TCC</t>
        </is>
      </c>
      <c r="C587" t="inlineStr">
        <is>
          <t>BRCC</t>
        </is>
      </c>
      <c r="D587" s="6" t="n">
        <v>46252</v>
      </c>
      <c r="E587" t="inlineStr">
        <is>
          <t>CR</t>
        </is>
      </c>
      <c r="F587" t="inlineStr">
        <is>
          <t>EUR</t>
        </is>
      </c>
      <c r="G587" s="7" t="n">
        <v>91178472.403</v>
      </c>
      <c r="H587" t="inlineStr">
        <is>
          <t>GBP</t>
        </is>
      </c>
      <c r="I587" s="7" t="n">
        <v>78231129.322</v>
      </c>
      <c r="J587" s="8" t="n">
        <v>46252.56579861111</v>
      </c>
      <c r="K587" t="inlineStr">
        <is>
          <t>CF260818 00581</t>
        </is>
      </c>
      <c r="L587" t="inlineStr">
        <is>
          <t>GL.NOSTRO.EUR.BRCC.008</t>
        </is>
      </c>
      <c r="M587" t="inlineStr">
        <is>
          <t>Mallow Commercial Bank</t>
        </is>
      </c>
      <c r="N587" t="inlineStr">
        <is>
          <t>BRCCMM</t>
        </is>
      </c>
      <c r="O587" t="inlineStr">
        <is>
          <t>NEW</t>
        </is>
      </c>
      <c r="P587" t="inlineStr">
        <is>
          <t>NT26081800296</t>
        </is>
      </c>
      <c r="Q587" t="inlineStr">
        <is>
          <t>NETTER</t>
        </is>
      </c>
    </row>
    <row r="588">
      <c r="A588" t="inlineStr">
        <is>
          <t>794226063698</t>
        </is>
      </c>
      <c r="B588" t="inlineStr">
        <is>
          <t>TCG</t>
        </is>
      </c>
      <c r="C588" t="inlineStr">
        <is>
          <t>BRMD</t>
        </is>
      </c>
      <c r="D588" s="6" t="n">
        <v>46252</v>
      </c>
      <c r="E588" t="inlineStr">
        <is>
          <t>CR</t>
        </is>
      </c>
      <c r="F588" t="inlineStr">
        <is>
          <t>AED</t>
        </is>
      </c>
      <c r="G588" s="7" t="n">
        <v>114682.862</v>
      </c>
      <c r="H588" t="inlineStr">
        <is>
          <t>GBP</t>
        </is>
      </c>
      <c r="I588" s="7" t="n">
        <v>24427.45</v>
      </c>
      <c r="J588" s="8" t="n">
        <v>46252.42759259259</v>
      </c>
      <c r="K588" t="inlineStr">
        <is>
          <t>CF260818 00582</t>
        </is>
      </c>
      <c r="L588" t="inlineStr">
        <is>
          <t>GL.NOSTRO.AED.BRMD.006</t>
        </is>
      </c>
      <c r="M588" t="inlineStr">
        <is>
          <t>Juniper Bank</t>
        </is>
      </c>
      <c r="N588" t="inlineStr">
        <is>
          <t>BRMD</t>
        </is>
      </c>
      <c r="O588" t="inlineStr">
        <is>
          <t>NEW</t>
        </is>
      </c>
      <c r="Q588" t="inlineStr">
        <is>
          <t>NETTER</t>
        </is>
      </c>
    </row>
    <row r="589">
      <c r="A589" t="inlineStr">
        <is>
          <t>927538182434</t>
        </is>
      </c>
      <c r="B589" t="inlineStr">
        <is>
          <t>TCC</t>
        </is>
      </c>
      <c r="C589" t="inlineStr">
        <is>
          <t>BRNK</t>
        </is>
      </c>
      <c r="D589" s="6" t="n">
        <v>46252</v>
      </c>
      <c r="E589" t="inlineStr">
        <is>
          <t>DR</t>
        </is>
      </c>
      <c r="F589" t="inlineStr">
        <is>
          <t>CNY</t>
        </is>
      </c>
      <c r="G589" s="7" t="n">
        <v>-856813.991</v>
      </c>
      <c r="H589" t="inlineStr">
        <is>
          <t>GBP</t>
        </is>
      </c>
      <c r="I589" s="7" t="n">
        <v>-93392.72500000001</v>
      </c>
      <c r="J589" s="8" t="n">
        <v>46252.47896990741</v>
      </c>
      <c r="K589" t="inlineStr">
        <is>
          <t>CF260818 00583</t>
        </is>
      </c>
      <c r="L589" t="inlineStr">
        <is>
          <t>GL.NOSTRO.CNY.BRNK.003</t>
        </is>
      </c>
      <c r="M589" t="inlineStr">
        <is>
          <t>Yarrow Bank</t>
        </is>
      </c>
      <c r="N589" t="inlineStr">
        <is>
          <t>BRNKCASH</t>
        </is>
      </c>
      <c r="O589" t="inlineStr">
        <is>
          <t>NEW</t>
        </is>
      </c>
      <c r="P589" t="inlineStr">
        <is>
          <t>NT26081800306</t>
        </is>
      </c>
      <c r="Q589" t="inlineStr">
        <is>
          <t>INTERNAL</t>
        </is>
      </c>
    </row>
    <row r="590">
      <c r="A590" t="inlineStr">
        <is>
          <t>953625291146</t>
        </is>
      </c>
      <c r="B590" t="inlineStr">
        <is>
          <t>TCQ</t>
        </is>
      </c>
      <c r="C590" t="inlineStr">
        <is>
          <t>BRGL</t>
        </is>
      </c>
      <c r="D590" s="6" t="n">
        <v>46252</v>
      </c>
      <c r="E590" t="inlineStr">
        <is>
          <t>CR</t>
        </is>
      </c>
      <c r="F590" t="inlineStr">
        <is>
          <t>USD</t>
        </is>
      </c>
      <c r="G590" s="7" t="n">
        <v>953341.165</v>
      </c>
      <c r="H590" t="inlineStr">
        <is>
          <t>GBP</t>
        </is>
      </c>
      <c r="I590" s="7" t="n">
        <v>747419.473</v>
      </c>
      <c r="J590" s="8" t="n">
        <v>46252.33208333333</v>
      </c>
      <c r="K590" t="inlineStr">
        <is>
          <t>CF260818 00584</t>
        </is>
      </c>
      <c r="L590" t="inlineStr">
        <is>
          <t>GL.NOSTRO.USD.BRGL.006</t>
        </is>
      </c>
      <c r="M590" t="inlineStr">
        <is>
          <t>Elmwood Settlement Bank</t>
        </is>
      </c>
      <c r="N590" t="inlineStr">
        <is>
          <t>BRGLTRSY</t>
        </is>
      </c>
      <c r="O590" t="inlineStr">
        <is>
          <t>NEW</t>
        </is>
      </c>
      <c r="Q590" t="inlineStr">
        <is>
          <t>GROSS</t>
        </is>
      </c>
    </row>
    <row r="591">
      <c r="A591" t="inlineStr">
        <is>
          <t>794226063698</t>
        </is>
      </c>
      <c r="B591" t="inlineStr">
        <is>
          <t>TCC</t>
        </is>
      </c>
      <c r="C591" t="inlineStr">
        <is>
          <t>BRMD</t>
        </is>
      </c>
      <c r="D591" s="6" t="n">
        <v>46252</v>
      </c>
      <c r="E591" t="inlineStr">
        <is>
          <t>DR</t>
        </is>
      </c>
      <c r="F591" t="inlineStr">
        <is>
          <t>AED</t>
        </is>
      </c>
      <c r="G591" s="7" t="n">
        <v>-13149349.768</v>
      </c>
      <c r="H591" t="inlineStr">
        <is>
          <t>GBP</t>
        </is>
      </c>
      <c r="I591" s="7" t="n">
        <v>-2800811.501</v>
      </c>
      <c r="J591" s="8" t="n">
        <v>46252.48576388889</v>
      </c>
      <c r="K591" t="inlineStr">
        <is>
          <t>CF260818 00585</t>
        </is>
      </c>
      <c r="L591" t="inlineStr">
        <is>
          <t>GL.NOSTRO.AED.BRMD.001</t>
        </is>
      </c>
      <c r="M591" t="inlineStr">
        <is>
          <t>Yarrow Bank</t>
        </is>
      </c>
      <c r="N591" t="inlineStr">
        <is>
          <t>BRMD</t>
        </is>
      </c>
      <c r="O591" t="inlineStr">
        <is>
          <t>NEW</t>
        </is>
      </c>
      <c r="P591" t="inlineStr">
        <is>
          <t>NT26081800306</t>
        </is>
      </c>
      <c r="Q591" t="inlineStr">
        <is>
          <t>NETTER</t>
        </is>
      </c>
    </row>
    <row r="592">
      <c r="A592" t="inlineStr">
        <is>
          <t>794226063698</t>
        </is>
      </c>
      <c r="B592" t="inlineStr">
        <is>
          <t>TCG</t>
        </is>
      </c>
      <c r="C592" t="inlineStr">
        <is>
          <t>BRMD</t>
        </is>
      </c>
      <c r="D592" s="6" t="n">
        <v>46252</v>
      </c>
      <c r="E592" t="inlineStr">
        <is>
          <t>DR</t>
        </is>
      </c>
      <c r="F592" t="inlineStr">
        <is>
          <t>AED</t>
        </is>
      </c>
      <c r="G592" s="7" t="n">
        <v>-9926064.766000001</v>
      </c>
      <c r="H592" t="inlineStr">
        <is>
          <t>GBP</t>
        </is>
      </c>
      <c r="I592" s="7" t="n">
        <v>-2114251.795</v>
      </c>
      <c r="J592" s="8" t="n">
        <v>46252.38180555555</v>
      </c>
      <c r="K592" t="inlineStr">
        <is>
          <t>CF260818 00586</t>
        </is>
      </c>
      <c r="L592" t="inlineStr">
        <is>
          <t>GL.NOSTRO.AED.BRMD.006</t>
        </is>
      </c>
      <c r="M592" t="inlineStr">
        <is>
          <t>Umberton Commercial Bank</t>
        </is>
      </c>
      <c r="N592" t="inlineStr">
        <is>
          <t>BRMD</t>
        </is>
      </c>
      <c r="O592" t="inlineStr">
        <is>
          <t>NEW</t>
        </is>
      </c>
      <c r="Q592" t="inlineStr">
        <is>
          <t>NETTER</t>
        </is>
      </c>
    </row>
    <row r="593">
      <c r="A593" t="inlineStr">
        <is>
          <t>824840705580</t>
        </is>
      </c>
      <c r="B593" t="inlineStr">
        <is>
          <t>TCQ</t>
        </is>
      </c>
      <c r="C593" t="inlineStr">
        <is>
          <t>BRGL</t>
        </is>
      </c>
      <c r="D593" s="6" t="n">
        <v>46252</v>
      </c>
      <c r="E593" t="inlineStr">
        <is>
          <t>CR</t>
        </is>
      </c>
      <c r="F593" t="inlineStr">
        <is>
          <t>EUR</t>
        </is>
      </c>
      <c r="G593" s="7" t="n">
        <v>18415751.397</v>
      </c>
      <c r="H593" t="inlineStr">
        <is>
          <t>GBP</t>
        </is>
      </c>
      <c r="I593" s="7" t="n">
        <v>15800714.699</v>
      </c>
      <c r="J593" s="8" t="n">
        <v>46252.54524305555</v>
      </c>
      <c r="K593" t="inlineStr">
        <is>
          <t>CF260818 00587</t>
        </is>
      </c>
      <c r="L593" t="inlineStr">
        <is>
          <t>GL.NOSTRO.EUR.BRGL.008</t>
        </is>
      </c>
      <c r="M593" t="inlineStr">
        <is>
          <t>Umberton Clearing</t>
        </is>
      </c>
      <c r="N593" t="inlineStr">
        <is>
          <t>BRGLCASH</t>
        </is>
      </c>
      <c r="O593" t="inlineStr">
        <is>
          <t>NEW</t>
        </is>
      </c>
      <c r="Q593" t="inlineStr">
        <is>
          <t>GROSS</t>
        </is>
      </c>
    </row>
    <row r="594">
      <c r="A594" t="inlineStr">
        <is>
          <t>824840705580</t>
        </is>
      </c>
      <c r="B594" t="inlineStr">
        <is>
          <t>TCX</t>
        </is>
      </c>
      <c r="C594" t="inlineStr">
        <is>
          <t>BRGL</t>
        </is>
      </c>
      <c r="D594" s="6" t="n">
        <v>46252</v>
      </c>
      <c r="E594" t="inlineStr">
        <is>
          <t>DR</t>
        </is>
      </c>
      <c r="F594" t="inlineStr">
        <is>
          <t>EUR</t>
        </is>
      </c>
      <c r="G594" s="7" t="n">
        <v>-132776881.639</v>
      </c>
      <c r="H594" t="inlineStr">
        <is>
          <t>GBP</t>
        </is>
      </c>
      <c r="I594" s="7" t="n">
        <v>-113922564.446</v>
      </c>
      <c r="J594" s="8" t="n">
        <v>46252.73003472222</v>
      </c>
      <c r="K594" t="inlineStr">
        <is>
          <t>CF260818 00588</t>
        </is>
      </c>
      <c r="L594" t="inlineStr">
        <is>
          <t>GL.NOSTRO.EUR.BRGL.006</t>
        </is>
      </c>
      <c r="M594" t="inlineStr">
        <is>
          <t>Sablewood Settlement Bank</t>
        </is>
      </c>
      <c r="N594" t="inlineStr">
        <is>
          <t>BRGL</t>
        </is>
      </c>
      <c r="O594" t="inlineStr">
        <is>
          <t>NEW</t>
        </is>
      </c>
      <c r="Q594" t="inlineStr">
        <is>
          <t>NETTER</t>
        </is>
      </c>
    </row>
    <row r="595">
      <c r="A595" t="inlineStr">
        <is>
          <t>113829985108</t>
        </is>
      </c>
      <c r="B595" t="inlineStr">
        <is>
          <t>TCG</t>
        </is>
      </c>
      <c r="C595" t="inlineStr">
        <is>
          <t>BRGL</t>
        </is>
      </c>
      <c r="D595" s="6" t="n">
        <v>46252</v>
      </c>
      <c r="E595" t="inlineStr">
        <is>
          <t>CR</t>
        </is>
      </c>
      <c r="F595" t="inlineStr">
        <is>
          <t>EUR</t>
        </is>
      </c>
      <c r="G595" s="7" t="n">
        <v>36307078367.332</v>
      </c>
      <c r="H595" t="inlineStr">
        <is>
          <t>GBP</t>
        </is>
      </c>
      <c r="I595" s="7" t="n">
        <v>31151473239.171</v>
      </c>
      <c r="J595" s="8" t="n">
        <v>46252.38409722222</v>
      </c>
      <c r="K595" t="inlineStr">
        <is>
          <t>CF260818 00589</t>
        </is>
      </c>
      <c r="L595" t="inlineStr">
        <is>
          <t>GL.NOSTRO.EUR.BRGL.006</t>
        </is>
      </c>
      <c r="M595" t="inlineStr">
        <is>
          <t>Yarrow Clearing</t>
        </is>
      </c>
      <c r="N595" t="inlineStr">
        <is>
          <t>BRGL</t>
        </is>
      </c>
      <c r="O595" t="inlineStr">
        <is>
          <t>NEW</t>
        </is>
      </c>
      <c r="Q595" t="inlineStr">
        <is>
          <t>NETTER</t>
        </is>
      </c>
    </row>
    <row r="596">
      <c r="A596" t="inlineStr">
        <is>
          <t>621381112674</t>
        </is>
      </c>
      <c r="B596" t="inlineStr">
        <is>
          <t>TCX</t>
        </is>
      </c>
      <c r="C596" t="inlineStr">
        <is>
          <t>BRAA</t>
        </is>
      </c>
      <c r="D596" s="6" t="n">
        <v>46252</v>
      </c>
      <c r="E596" t="inlineStr">
        <is>
          <t>DR</t>
        </is>
      </c>
      <c r="F596" t="inlineStr">
        <is>
          <t>PLN</t>
        </is>
      </c>
      <c r="G596" s="7" t="n">
        <v>-36598426.368</v>
      </c>
      <c r="H596" t="inlineStr">
        <is>
          <t>GBP</t>
        </is>
      </c>
      <c r="I596" s="7" t="n">
        <v>-7246488.421</v>
      </c>
      <c r="J596" s="8" t="n">
        <v>46252.35841435185</v>
      </c>
      <c r="K596" t="inlineStr">
        <is>
          <t>CF260818 00590</t>
        </is>
      </c>
      <c r="L596" t="inlineStr">
        <is>
          <t>GL.NOSTRO.PLN.BRAA.002</t>
        </is>
      </c>
      <c r="M596" t="inlineStr">
        <is>
          <t>Mallow Trust</t>
        </is>
      </c>
      <c r="N596" t="inlineStr">
        <is>
          <t>BRAA</t>
        </is>
      </c>
      <c r="O596" t="inlineStr">
        <is>
          <t>NEW</t>
        </is>
      </c>
      <c r="P596" t="inlineStr">
        <is>
          <t>NT26081800303</t>
        </is>
      </c>
      <c r="Q596" t="inlineStr">
        <is>
          <t>GROSS</t>
        </is>
      </c>
    </row>
    <row r="597">
      <c r="A597" t="inlineStr">
        <is>
          <t>968942362772</t>
        </is>
      </c>
      <c r="B597" t="inlineStr">
        <is>
          <t>TCC</t>
        </is>
      </c>
      <c r="C597" t="inlineStr">
        <is>
          <t>BRYG</t>
        </is>
      </c>
      <c r="D597" s="6" t="n">
        <v>46252</v>
      </c>
      <c r="E597" t="inlineStr">
        <is>
          <t>CR</t>
        </is>
      </c>
      <c r="F597" t="inlineStr">
        <is>
          <t>EUR</t>
        </is>
      </c>
      <c r="G597" s="7" t="n">
        <v>675161.672</v>
      </c>
      <c r="H597" t="inlineStr">
        <is>
          <t>GBP</t>
        </is>
      </c>
      <c r="I597" s="7" t="n">
        <v>579288.715</v>
      </c>
      <c r="J597" s="8" t="n">
        <v>46252.45847222222</v>
      </c>
      <c r="K597" t="inlineStr">
        <is>
          <t>CF260818 00591</t>
        </is>
      </c>
      <c r="L597" t="inlineStr">
        <is>
          <t>GL.NOSTRO.EUR.BRYG.004</t>
        </is>
      </c>
      <c r="M597" t="inlineStr">
        <is>
          <t>Redstart Commercial Bank</t>
        </is>
      </c>
      <c r="N597" t="inlineStr">
        <is>
          <t>BRYGCASH</t>
        </is>
      </c>
      <c r="O597" t="inlineStr">
        <is>
          <t>NEW</t>
        </is>
      </c>
      <c r="Q597" t="inlineStr">
        <is>
          <t>INTERNAL</t>
        </is>
      </c>
    </row>
    <row r="598">
      <c r="A598" t="inlineStr">
        <is>
          <t>726928343448</t>
        </is>
      </c>
      <c r="B598" t="inlineStr">
        <is>
          <t>TCX</t>
        </is>
      </c>
      <c r="C598" t="inlineStr">
        <is>
          <t>BRGX</t>
        </is>
      </c>
      <c r="D598" s="6" t="n">
        <v>46252</v>
      </c>
      <c r="E598" t="inlineStr">
        <is>
          <t>DR</t>
        </is>
      </c>
      <c r="F598" t="inlineStr">
        <is>
          <t>EUR</t>
        </is>
      </c>
      <c r="G598" s="7" t="n">
        <v>-9234099.77</v>
      </c>
      <c r="H598" t="inlineStr">
        <is>
          <t>GBP</t>
        </is>
      </c>
      <c r="I598" s="7" t="n">
        <v>-7922857.603</v>
      </c>
      <c r="J598" s="8" t="n">
        <v>46252.67920138889</v>
      </c>
      <c r="K598" t="inlineStr">
        <is>
          <t>CF260818 00592</t>
        </is>
      </c>
      <c r="L598" t="inlineStr">
        <is>
          <t>GL.NOSTRO.EUR.BRGX.001</t>
        </is>
      </c>
      <c r="M598" t="inlineStr">
        <is>
          <t>Alder Clearing</t>
        </is>
      </c>
      <c r="N598" t="inlineStr">
        <is>
          <t>BRGXMM</t>
        </is>
      </c>
      <c r="O598" t="inlineStr">
        <is>
          <t>NEW</t>
        </is>
      </c>
      <c r="P598" t="inlineStr">
        <is>
          <t>NT26081800289</t>
        </is>
      </c>
      <c r="Q598" t="inlineStr">
        <is>
          <t>NETTER</t>
        </is>
      </c>
    </row>
    <row r="599">
      <c r="A599" t="inlineStr">
        <is>
          <t>968942362772</t>
        </is>
      </c>
      <c r="B599" t="inlineStr">
        <is>
          <t>TCG</t>
        </is>
      </c>
      <c r="C599" t="inlineStr">
        <is>
          <t>BRYG</t>
        </is>
      </c>
      <c r="D599" s="6" t="n">
        <v>46252</v>
      </c>
      <c r="E599" t="inlineStr">
        <is>
          <t>DR</t>
        </is>
      </c>
      <c r="F599" t="inlineStr">
        <is>
          <t>EUR</t>
        </is>
      </c>
      <c r="G599" s="7" t="n">
        <v>-94617325.142</v>
      </c>
      <c r="H599" t="inlineStr">
        <is>
          <t>GBP</t>
        </is>
      </c>
      <c r="I599" s="7" t="n">
        <v>-81181664.972</v>
      </c>
      <c r="J599" s="8" t="n">
        <v>46252.59993055555</v>
      </c>
      <c r="K599" t="inlineStr">
        <is>
          <t>CF260818 00593</t>
        </is>
      </c>
      <c r="L599" t="inlineStr">
        <is>
          <t>GL.NOSTRO.EUR.BRYG.007</t>
        </is>
      </c>
      <c r="M599" t="inlineStr">
        <is>
          <t>Mallow Commercial Bank</t>
        </is>
      </c>
      <c r="N599" t="inlineStr">
        <is>
          <t>BRYGCASH</t>
        </is>
      </c>
      <c r="O599" t="inlineStr">
        <is>
          <t>AMEND</t>
        </is>
      </c>
      <c r="P599" t="inlineStr">
        <is>
          <t>NT26081800299</t>
        </is>
      </c>
      <c r="Q599" t="inlineStr">
        <is>
          <t>NETTER</t>
        </is>
      </c>
    </row>
    <row r="600">
      <c r="A600" t="inlineStr">
        <is>
          <t>621381112674</t>
        </is>
      </c>
      <c r="B600" t="inlineStr">
        <is>
          <t>TCC</t>
        </is>
      </c>
      <c r="C600" t="inlineStr">
        <is>
          <t>BRAA</t>
        </is>
      </c>
      <c r="D600" s="6" t="n">
        <v>46252</v>
      </c>
      <c r="E600" t="inlineStr">
        <is>
          <t>CR</t>
        </is>
      </c>
      <c r="F600" t="inlineStr">
        <is>
          <t>PLN</t>
        </is>
      </c>
      <c r="G600" s="7" t="n">
        <v>10196.056</v>
      </c>
      <c r="H600" t="inlineStr">
        <is>
          <t>GBP</t>
        </is>
      </c>
      <c r="I600" s="7" t="n">
        <v>2018.819</v>
      </c>
      <c r="J600" s="8" t="n">
        <v>46252.62065972222</v>
      </c>
      <c r="K600" t="inlineStr">
        <is>
          <t>CF260818 00594</t>
        </is>
      </c>
      <c r="L600" t="inlineStr">
        <is>
          <t>GL.NOSTRO.PLN.BRAA.008</t>
        </is>
      </c>
      <c r="M600" t="inlineStr">
        <is>
          <t>Yarrow Clearing</t>
        </is>
      </c>
      <c r="N600" t="inlineStr">
        <is>
          <t>BRAA</t>
        </is>
      </c>
      <c r="O600" t="inlineStr">
        <is>
          <t>NEW</t>
        </is>
      </c>
      <c r="P600" t="inlineStr">
        <is>
          <t>NT26081800307</t>
        </is>
      </c>
      <c r="Q600" t="inlineStr">
        <is>
          <t>NETTER</t>
        </is>
      </c>
    </row>
    <row r="601">
      <c r="A601" t="inlineStr">
        <is>
          <t>621381112674</t>
        </is>
      </c>
      <c r="B601" t="inlineStr">
        <is>
          <t>TCG</t>
        </is>
      </c>
      <c r="C601" t="inlineStr">
        <is>
          <t>BRAA</t>
        </is>
      </c>
      <c r="D601" s="6" t="n">
        <v>46252</v>
      </c>
      <c r="E601" t="inlineStr">
        <is>
          <t>DR</t>
        </is>
      </c>
      <c r="F601" t="inlineStr">
        <is>
          <t>PLN</t>
        </is>
      </c>
      <c r="G601" s="7" t="n">
        <v>-4374272.544</v>
      </c>
      <c r="H601" t="inlineStr">
        <is>
          <t>GBP</t>
        </is>
      </c>
      <c r="I601" s="7" t="n">
        <v>-866105.964</v>
      </c>
      <c r="J601" s="8" t="n">
        <v>46252.69158564815</v>
      </c>
      <c r="K601" t="inlineStr">
        <is>
          <t>CF260818 00595</t>
        </is>
      </c>
      <c r="L601" t="inlineStr">
        <is>
          <t>GL.NOSTRO.PLN.BRAA.004</t>
        </is>
      </c>
      <c r="M601" t="inlineStr">
        <is>
          <t>Thornbury Bank</t>
        </is>
      </c>
      <c r="N601" t="inlineStr">
        <is>
          <t>BRAAMM</t>
        </is>
      </c>
      <c r="O601" t="inlineStr">
        <is>
          <t>NEW</t>
        </is>
      </c>
      <c r="P601" t="inlineStr">
        <is>
          <t>NT26081800277</t>
        </is>
      </c>
      <c r="Q601" t="inlineStr">
        <is>
          <t>GROSS</t>
        </is>
      </c>
    </row>
    <row r="602">
      <c r="A602" t="inlineStr">
        <is>
          <t>794226063698</t>
        </is>
      </c>
      <c r="B602" t="inlineStr">
        <is>
          <t>TCQ</t>
        </is>
      </c>
      <c r="C602" t="inlineStr">
        <is>
          <t>BRMD</t>
        </is>
      </c>
      <c r="D602" s="6" t="n">
        <v>46252</v>
      </c>
      <c r="E602" t="inlineStr">
        <is>
          <t>DR</t>
        </is>
      </c>
      <c r="F602" t="inlineStr">
        <is>
          <t>AED</t>
        </is>
      </c>
      <c r="G602" s="7" t="n">
        <v>-155280792.669</v>
      </c>
      <c r="H602" t="inlineStr">
        <is>
          <t>GBP</t>
        </is>
      </c>
      <c r="I602" s="7" t="n">
        <v>-33074808.838</v>
      </c>
      <c r="J602" s="8" t="n">
        <v>46252.47670138889</v>
      </c>
      <c r="K602" t="inlineStr">
        <is>
          <t>CF260818 00596</t>
        </is>
      </c>
      <c r="L602" t="inlineStr">
        <is>
          <t>GL.NOSTRO.AED.BRMD.009</t>
        </is>
      </c>
      <c r="M602" t="inlineStr">
        <is>
          <t>Harrow Clearing</t>
        </is>
      </c>
      <c r="N602" t="inlineStr">
        <is>
          <t>BRMD</t>
        </is>
      </c>
      <c r="O602" t="inlineStr">
        <is>
          <t>NEW</t>
        </is>
      </c>
      <c r="P602" t="inlineStr">
        <is>
          <t>NT26081800303</t>
        </is>
      </c>
      <c r="Q602" t="inlineStr">
        <is>
          <t>GROSS</t>
        </is>
      </c>
    </row>
    <row r="603">
      <c r="A603" t="inlineStr">
        <is>
          <t>468341071172</t>
        </is>
      </c>
      <c r="B603" t="inlineStr">
        <is>
          <t>TCC</t>
        </is>
      </c>
      <c r="C603" t="inlineStr">
        <is>
          <t>BRCC</t>
        </is>
      </c>
      <c r="D603" s="6" t="n">
        <v>46252</v>
      </c>
      <c r="E603" t="inlineStr">
        <is>
          <t>DR</t>
        </is>
      </c>
      <c r="F603" t="inlineStr">
        <is>
          <t>EUR</t>
        </is>
      </c>
      <c r="G603" s="7" t="n">
        <v>-313720218.93</v>
      </c>
      <c r="H603" t="inlineStr">
        <is>
          <t>GBP</t>
        </is>
      </c>
      <c r="I603" s="7" t="n">
        <v>-269171947.842</v>
      </c>
      <c r="J603" s="8" t="n">
        <v>46252.40363425926</v>
      </c>
      <c r="K603" t="inlineStr">
        <is>
          <t>CF260818 00597</t>
        </is>
      </c>
      <c r="L603" t="inlineStr">
        <is>
          <t>GL.NOSTRO.EUR.BRCC.003</t>
        </is>
      </c>
      <c r="M603" t="inlineStr">
        <is>
          <t>Bramble Bank</t>
        </is>
      </c>
      <c r="N603" t="inlineStr">
        <is>
          <t>BRCCMM</t>
        </is>
      </c>
      <c r="O603" t="inlineStr">
        <is>
          <t>AMEND</t>
        </is>
      </c>
      <c r="Q603" t="inlineStr">
        <is>
          <t>GROSS</t>
        </is>
      </c>
    </row>
    <row r="604">
      <c r="A604" t="inlineStr">
        <is>
          <t>265771593142</t>
        </is>
      </c>
      <c r="B604" t="inlineStr">
        <is>
          <t>TCP</t>
        </is>
      </c>
      <c r="C604" t="inlineStr">
        <is>
          <t>BRYG</t>
        </is>
      </c>
      <c r="D604" s="6" t="n">
        <v>46252</v>
      </c>
      <c r="E604" t="inlineStr">
        <is>
          <t>CR</t>
        </is>
      </c>
      <c r="F604" t="inlineStr">
        <is>
          <t>EUR</t>
        </is>
      </c>
      <c r="G604" s="7" t="n">
        <v>7969228.903</v>
      </c>
      <c r="H604" t="inlineStr">
        <is>
          <t>GBP</t>
        </is>
      </c>
      <c r="I604" s="7" t="n">
        <v>6837598.399</v>
      </c>
      <c r="J604" s="8" t="n">
        <v>46252.43800925926</v>
      </c>
      <c r="K604" t="inlineStr">
        <is>
          <t>CF260818 00598</t>
        </is>
      </c>
      <c r="L604" t="inlineStr">
        <is>
          <t>GL.NOSTRO.EUR.BRYG.005</t>
        </is>
      </c>
      <c r="M604" t="inlineStr">
        <is>
          <t>Yarrow Bank</t>
        </is>
      </c>
      <c r="N604" t="inlineStr">
        <is>
          <t>BRYG</t>
        </is>
      </c>
      <c r="O604" t="inlineStr">
        <is>
          <t>NEW</t>
        </is>
      </c>
      <c r="P604" t="inlineStr">
        <is>
          <t>NT26081800315</t>
        </is>
      </c>
      <c r="Q604" t="inlineStr">
        <is>
          <t>NETTER</t>
        </is>
      </c>
    </row>
    <row r="605">
      <c r="A605" t="inlineStr">
        <is>
          <t>726928343448</t>
        </is>
      </c>
      <c r="B605" t="inlineStr">
        <is>
          <t>TCC</t>
        </is>
      </c>
      <c r="C605" t="inlineStr">
        <is>
          <t>BRGX</t>
        </is>
      </c>
      <c r="D605" s="6" t="n">
        <v>46252</v>
      </c>
      <c r="E605" t="inlineStr">
        <is>
          <t>DR</t>
        </is>
      </c>
      <c r="F605" t="inlineStr">
        <is>
          <t>EUR</t>
        </is>
      </c>
      <c r="G605" s="7" t="n">
        <v>-59893536.731</v>
      </c>
      <c r="H605" t="inlineStr">
        <is>
          <t>GBP</t>
        </is>
      </c>
      <c r="I605" s="7" t="n">
        <v>-51388654.515</v>
      </c>
      <c r="J605" s="8" t="n">
        <v>46252.58121527778</v>
      </c>
      <c r="K605" t="inlineStr">
        <is>
          <t>CF260818 00599</t>
        </is>
      </c>
      <c r="L605" t="inlineStr">
        <is>
          <t>GL.NOSTRO.EUR.BRGX.007</t>
        </is>
      </c>
      <c r="M605" t="inlineStr">
        <is>
          <t>Sablewood Bank</t>
        </is>
      </c>
      <c r="N605" t="inlineStr">
        <is>
          <t>BRGXMM</t>
        </is>
      </c>
      <c r="O605" t="inlineStr">
        <is>
          <t>NEW</t>
        </is>
      </c>
      <c r="P605" t="inlineStr">
        <is>
          <t>NT26081800281</t>
        </is>
      </c>
      <c r="Q605" t="inlineStr">
        <is>
          <t>NETTER</t>
        </is>
      </c>
    </row>
    <row r="606">
      <c r="A606" t="inlineStr">
        <is>
          <t>150316825069</t>
        </is>
      </c>
      <c r="B606" t="inlineStr">
        <is>
          <t>TCP</t>
        </is>
      </c>
      <c r="C606" t="inlineStr">
        <is>
          <t>BRGX</t>
        </is>
      </c>
      <c r="D606" s="6" t="n">
        <v>46252</v>
      </c>
      <c r="E606" t="inlineStr">
        <is>
          <t>CR</t>
        </is>
      </c>
      <c r="F606" t="inlineStr">
        <is>
          <t>GBP</t>
        </is>
      </c>
      <c r="G606" s="7" t="n">
        <v>83334334.28</v>
      </c>
      <c r="H606" t="inlineStr">
        <is>
          <t>GBP</t>
        </is>
      </c>
      <c r="I606" s="7" t="n">
        <v>83334334.28</v>
      </c>
      <c r="J606" s="8" t="n">
        <v>46252.62847222222</v>
      </c>
      <c r="K606" t="inlineStr">
        <is>
          <t>CF260818 00600</t>
        </is>
      </c>
      <c r="L606" t="inlineStr">
        <is>
          <t>GL.NOSTRO.GBP.BRGX.003</t>
        </is>
      </c>
      <c r="M606" t="inlineStr">
        <is>
          <t>Cedar Commercial Bank</t>
        </is>
      </c>
      <c r="N606" t="inlineStr">
        <is>
          <t>BRGXCASH</t>
        </is>
      </c>
      <c r="O606" t="inlineStr">
        <is>
          <t>NEW</t>
        </is>
      </c>
      <c r="P606" t="inlineStr">
        <is>
          <t>NT26081800285</t>
        </is>
      </c>
      <c r="Q606" t="inlineStr">
        <is>
          <t>GROSS</t>
        </is>
      </c>
    </row>
    <row r="607">
      <c r="A607" t="inlineStr">
        <is>
          <t>794226063698</t>
        </is>
      </c>
      <c r="B607" t="inlineStr">
        <is>
          <t>TCC</t>
        </is>
      </c>
      <c r="C607" t="inlineStr">
        <is>
          <t>BRMD</t>
        </is>
      </c>
      <c r="D607" s="6" t="n">
        <v>46252</v>
      </c>
      <c r="E607" t="inlineStr">
        <is>
          <t>CR</t>
        </is>
      </c>
      <c r="F607" t="inlineStr">
        <is>
          <t>AED</t>
        </is>
      </c>
      <c r="G607" s="7" t="n">
        <v>4608468.653</v>
      </c>
      <c r="H607" t="inlineStr">
        <is>
          <t>GBP</t>
        </is>
      </c>
      <c r="I607" s="7" t="n">
        <v>981603.823</v>
      </c>
      <c r="J607" s="8" t="n">
        <v>46252.90690972222</v>
      </c>
      <c r="K607" t="inlineStr">
        <is>
          <t>CF260818 00601</t>
        </is>
      </c>
      <c r="L607" t="inlineStr">
        <is>
          <t>GL.NOSTRO.AED.BRMD.009</t>
        </is>
      </c>
      <c r="M607" t="inlineStr">
        <is>
          <t>Pinehurst Bank</t>
        </is>
      </c>
      <c r="N607" t="inlineStr">
        <is>
          <t>BRMDMM</t>
        </is>
      </c>
      <c r="O607" t="inlineStr">
        <is>
          <t>NEW</t>
        </is>
      </c>
      <c r="P607" t="inlineStr">
        <is>
          <t>NT26081800310</t>
        </is>
      </c>
      <c r="Q607" t="inlineStr">
        <is>
          <t>GROSS</t>
        </is>
      </c>
    </row>
    <row r="608">
      <c r="A608" t="inlineStr">
        <is>
          <t>359365220160</t>
        </is>
      </c>
      <c r="B608" t="inlineStr">
        <is>
          <t>TCX</t>
        </is>
      </c>
      <c r="C608" t="inlineStr">
        <is>
          <t>BRGX</t>
        </is>
      </c>
      <c r="D608" s="6" t="n">
        <v>46252</v>
      </c>
      <c r="E608" t="inlineStr">
        <is>
          <t>DR</t>
        </is>
      </c>
      <c r="F608" t="inlineStr">
        <is>
          <t>EUR</t>
        </is>
      </c>
      <c r="G608" s="7" t="n">
        <v>-338070.949</v>
      </c>
      <c r="H608" t="inlineStr">
        <is>
          <t>GBP</t>
        </is>
      </c>
      <c r="I608" s="7" t="n">
        <v>-290064.874</v>
      </c>
      <c r="J608" s="8" t="n">
        <v>46252.69347222222</v>
      </c>
      <c r="K608" t="inlineStr">
        <is>
          <t>CF260818 00602</t>
        </is>
      </c>
      <c r="L608" t="inlineStr">
        <is>
          <t>GL.NOSTRO.EUR.BRGX.009</t>
        </is>
      </c>
      <c r="M608" t="inlineStr">
        <is>
          <t>Dunlin Bank</t>
        </is>
      </c>
      <c r="N608" t="inlineStr">
        <is>
          <t>BRGXTRSY</t>
        </is>
      </c>
      <c r="O608" t="inlineStr">
        <is>
          <t>NEW</t>
        </is>
      </c>
      <c r="P608" t="inlineStr">
        <is>
          <t>NT26081800292</t>
        </is>
      </c>
      <c r="Q608" t="inlineStr">
        <is>
          <t>GROSS</t>
        </is>
      </c>
    </row>
    <row r="609">
      <c r="A609" t="inlineStr">
        <is>
          <t>171857983160</t>
        </is>
      </c>
      <c r="B609" t="inlineStr">
        <is>
          <t>TCQ</t>
        </is>
      </c>
      <c r="C609" t="inlineStr">
        <is>
          <t>BRBX</t>
        </is>
      </c>
      <c r="D609" s="6" t="n">
        <v>46252</v>
      </c>
      <c r="E609" t="inlineStr">
        <is>
          <t>CR</t>
        </is>
      </c>
      <c r="F609" t="inlineStr">
        <is>
          <t>AUD</t>
        </is>
      </c>
      <c r="G609" s="7" t="n">
        <v>614117102.888</v>
      </c>
      <c r="H609" t="inlineStr">
        <is>
          <t>GBP</t>
        </is>
      </c>
      <c r="I609" s="7" t="n">
        <v>315042073.782</v>
      </c>
      <c r="J609" s="8" t="n">
        <v>46252.53645833334</v>
      </c>
      <c r="K609" t="inlineStr">
        <is>
          <t>CF260818 00603</t>
        </is>
      </c>
      <c r="L609" t="inlineStr">
        <is>
          <t>GL.NOSTRO.AUD.BRBX.005</t>
        </is>
      </c>
      <c r="M609" t="inlineStr">
        <is>
          <t>Redstart Commercial Bank</t>
        </is>
      </c>
      <c r="N609" t="inlineStr">
        <is>
          <t>BRBXMM</t>
        </is>
      </c>
      <c r="O609" t="inlineStr">
        <is>
          <t>NEW</t>
        </is>
      </c>
      <c r="P609" t="inlineStr">
        <is>
          <t>NT26081800285</t>
        </is>
      </c>
      <c r="Q609" t="inlineStr">
        <is>
          <t>NETTER</t>
        </is>
      </c>
    </row>
    <row r="610">
      <c r="A610" t="inlineStr">
        <is>
          <t>927538182434</t>
        </is>
      </c>
      <c r="B610" t="inlineStr">
        <is>
          <t>TCQ</t>
        </is>
      </c>
      <c r="C610" t="inlineStr">
        <is>
          <t>BRNK</t>
        </is>
      </c>
      <c r="D610" s="6" t="n">
        <v>46252</v>
      </c>
      <c r="E610" t="inlineStr">
        <is>
          <t>CR</t>
        </is>
      </c>
      <c r="F610" t="inlineStr">
        <is>
          <t>CNY</t>
        </is>
      </c>
      <c r="G610" s="7" t="n">
        <v>5185768.936</v>
      </c>
      <c r="H610" t="inlineStr">
        <is>
          <t>GBP</t>
        </is>
      </c>
      <c r="I610" s="7" t="n">
        <v>565248.814</v>
      </c>
      <c r="J610" s="8" t="n">
        <v>46252.72005787037</v>
      </c>
      <c r="K610" t="inlineStr">
        <is>
          <t>CF260818 00604</t>
        </is>
      </c>
      <c r="L610" t="inlineStr">
        <is>
          <t>GL.NOSTRO.CNY.BRNK.004</t>
        </is>
      </c>
      <c r="M610" t="inlineStr">
        <is>
          <t>Juniper Bank</t>
        </is>
      </c>
      <c r="N610" t="inlineStr">
        <is>
          <t>BRNKCASH</t>
        </is>
      </c>
      <c r="O610" t="inlineStr">
        <is>
          <t>AMEND</t>
        </is>
      </c>
      <c r="P610" t="inlineStr">
        <is>
          <t>NT26081800309</t>
        </is>
      </c>
      <c r="Q610" t="inlineStr">
        <is>
          <t>GROSS</t>
        </is>
      </c>
    </row>
    <row r="611">
      <c r="A611" t="inlineStr">
        <is>
          <t>499062838623</t>
        </is>
      </c>
      <c r="B611" t="inlineStr">
        <is>
          <t>TCX</t>
        </is>
      </c>
      <c r="C611" t="inlineStr">
        <is>
          <t>BRBX</t>
        </is>
      </c>
      <c r="D611" s="6" t="n">
        <v>46252</v>
      </c>
      <c r="E611" t="inlineStr">
        <is>
          <t>DR</t>
        </is>
      </c>
      <c r="F611" t="inlineStr">
        <is>
          <t>USD</t>
        </is>
      </c>
      <c r="G611" s="7" t="n">
        <v>-408036593.579</v>
      </c>
      <c r="H611" t="inlineStr">
        <is>
          <t>GBP</t>
        </is>
      </c>
      <c r="I611" s="7" t="n">
        <v>-319900689.366</v>
      </c>
      <c r="J611" s="8" t="n">
        <v>46252.6040162037</v>
      </c>
      <c r="K611" t="inlineStr">
        <is>
          <t>CF260818 00605</t>
        </is>
      </c>
      <c r="L611" t="inlineStr">
        <is>
          <t>GL.NOSTRO.USD.BRBX.005</t>
        </is>
      </c>
      <c r="M611" t="inlineStr">
        <is>
          <t>Yarrow Clearing</t>
        </is>
      </c>
      <c r="N611" t="inlineStr">
        <is>
          <t>BRBXMM</t>
        </is>
      </c>
      <c r="O611" t="inlineStr">
        <is>
          <t>NEW</t>
        </is>
      </c>
      <c r="Q611" t="inlineStr">
        <is>
          <t>NETTER</t>
        </is>
      </c>
    </row>
    <row r="612">
      <c r="A612" t="inlineStr">
        <is>
          <t>794226063698</t>
        </is>
      </c>
      <c r="B612" t="inlineStr">
        <is>
          <t>TCX</t>
        </is>
      </c>
      <c r="C612" t="inlineStr">
        <is>
          <t>BRMD</t>
        </is>
      </c>
      <c r="D612" s="6" t="n">
        <v>46252</v>
      </c>
      <c r="E612" t="inlineStr">
        <is>
          <t>CR</t>
        </is>
      </c>
      <c r="F612" t="inlineStr">
        <is>
          <t>AED</t>
        </is>
      </c>
      <c r="G612" s="7" t="n">
        <v>5455078.45</v>
      </c>
      <c r="H612" t="inlineStr">
        <is>
          <t>GBP</t>
        </is>
      </c>
      <c r="I612" s="7" t="n">
        <v>1161931.71</v>
      </c>
      <c r="J612" s="8" t="n">
        <v>46252.63375</v>
      </c>
      <c r="K612" t="inlineStr">
        <is>
          <t>CF260818 00606</t>
        </is>
      </c>
      <c r="L612" t="inlineStr">
        <is>
          <t>GL.NOSTRO.AED.BRMD.005</t>
        </is>
      </c>
      <c r="M612" t="inlineStr">
        <is>
          <t>Redstart Trust</t>
        </is>
      </c>
      <c r="N612" t="inlineStr">
        <is>
          <t>BRMD</t>
        </is>
      </c>
      <c r="O612" t="inlineStr">
        <is>
          <t>AMEND</t>
        </is>
      </c>
      <c r="Q612" t="inlineStr">
        <is>
          <t>GROSS</t>
        </is>
      </c>
    </row>
    <row r="613">
      <c r="A613" t="inlineStr">
        <is>
          <t>150316825069</t>
        </is>
      </c>
      <c r="B613" t="inlineStr">
        <is>
          <t>TCQ</t>
        </is>
      </c>
      <c r="C613" t="inlineStr">
        <is>
          <t>BRGX</t>
        </is>
      </c>
      <c r="D613" s="6" t="n">
        <v>46252</v>
      </c>
      <c r="E613" t="inlineStr">
        <is>
          <t>DR</t>
        </is>
      </c>
      <c r="F613" t="inlineStr">
        <is>
          <t>GBP</t>
        </is>
      </c>
      <c r="G613" s="7" t="n">
        <v>-1718.993</v>
      </c>
      <c r="H613" t="inlineStr">
        <is>
          <t>GBP</t>
        </is>
      </c>
      <c r="I613" s="7" t="n">
        <v>-1718.993</v>
      </c>
      <c r="J613" s="8" t="n">
        <v>46252.43421296297</v>
      </c>
      <c r="K613" t="inlineStr">
        <is>
          <t>CF260818 00607</t>
        </is>
      </c>
      <c r="L613" t="inlineStr">
        <is>
          <t>GL.NOSTRO.GBP.BRGX.006</t>
        </is>
      </c>
      <c r="M613" t="inlineStr">
        <is>
          <t>Mallow Commercial Bank</t>
        </is>
      </c>
      <c r="N613" t="inlineStr">
        <is>
          <t>BRGXMM</t>
        </is>
      </c>
      <c r="O613" t="inlineStr">
        <is>
          <t>NEW</t>
        </is>
      </c>
      <c r="Q613" t="inlineStr">
        <is>
          <t>NETTER</t>
        </is>
      </c>
    </row>
    <row r="614">
      <c r="A614" t="inlineStr">
        <is>
          <t>171857983160</t>
        </is>
      </c>
      <c r="B614" t="inlineStr">
        <is>
          <t>TCP</t>
        </is>
      </c>
      <c r="C614" t="inlineStr">
        <is>
          <t>BRBX</t>
        </is>
      </c>
      <c r="D614" s="6" t="n">
        <v>46252</v>
      </c>
      <c r="E614" t="inlineStr">
        <is>
          <t>DR</t>
        </is>
      </c>
      <c r="F614" t="inlineStr">
        <is>
          <t>AUD</t>
        </is>
      </c>
      <c r="G614" s="7" t="n">
        <v>-215667275.887</v>
      </c>
      <c r="H614" t="inlineStr">
        <is>
          <t>GBP</t>
        </is>
      </c>
      <c r="I614" s="7" t="n">
        <v>-110637312.53</v>
      </c>
      <c r="J614" s="8" t="n">
        <v>46252.26591435185</v>
      </c>
      <c r="K614" t="inlineStr">
        <is>
          <t>CF260818 00608</t>
        </is>
      </c>
      <c r="L614" t="inlineStr">
        <is>
          <t>GL.NOSTRO.AUD.BRBX.001</t>
        </is>
      </c>
      <c r="M614" t="inlineStr">
        <is>
          <t>Sablewood Commercial Bank</t>
        </is>
      </c>
      <c r="N614" t="inlineStr">
        <is>
          <t>BRBXTRSY</t>
        </is>
      </c>
      <c r="O614" t="inlineStr">
        <is>
          <t>NEW</t>
        </is>
      </c>
      <c r="P614" t="inlineStr">
        <is>
          <t>NT26081800310</t>
        </is>
      </c>
      <c r="Q614" t="inlineStr">
        <is>
          <t>NETTER</t>
        </is>
      </c>
    </row>
    <row r="615">
      <c r="A615" t="inlineStr">
        <is>
          <t>150316825069</t>
        </is>
      </c>
      <c r="B615" t="inlineStr">
        <is>
          <t>TCQ</t>
        </is>
      </c>
      <c r="C615" t="inlineStr">
        <is>
          <t>BRGX</t>
        </is>
      </c>
      <c r="D615" s="6" t="n">
        <v>46252</v>
      </c>
      <c r="E615" t="inlineStr">
        <is>
          <t>CR</t>
        </is>
      </c>
      <c r="F615" t="inlineStr">
        <is>
          <t>GBP</t>
        </is>
      </c>
      <c r="G615" s="7" t="n">
        <v>1126795.182</v>
      </c>
      <c r="H615" t="inlineStr">
        <is>
          <t>GBP</t>
        </is>
      </c>
      <c r="I615" s="7" t="n">
        <v>1126795.182</v>
      </c>
      <c r="J615" s="8" t="n">
        <v>46252.25375</v>
      </c>
      <c r="K615" t="inlineStr">
        <is>
          <t>CF260818 00609</t>
        </is>
      </c>
      <c r="L615" t="inlineStr">
        <is>
          <t>GL.NOSTRO.GBP.BRGX.005</t>
        </is>
      </c>
      <c r="M615" t="inlineStr">
        <is>
          <t>Nightjar Trust</t>
        </is>
      </c>
      <c r="N615" t="inlineStr">
        <is>
          <t>BRGX</t>
        </is>
      </c>
      <c r="O615" t="inlineStr">
        <is>
          <t>NEW</t>
        </is>
      </c>
      <c r="Q615" t="inlineStr">
        <is>
          <t>NETTER</t>
        </is>
      </c>
    </row>
    <row r="616">
      <c r="A616" t="inlineStr">
        <is>
          <t>499062838623</t>
        </is>
      </c>
      <c r="B616" t="inlineStr">
        <is>
          <t>TCQ</t>
        </is>
      </c>
      <c r="C616" t="inlineStr">
        <is>
          <t>BRBX</t>
        </is>
      </c>
      <c r="D616" s="6" t="n">
        <v>46252</v>
      </c>
      <c r="E616" t="inlineStr">
        <is>
          <t>DR</t>
        </is>
      </c>
      <c r="F616" t="inlineStr">
        <is>
          <t>USD</t>
        </is>
      </c>
      <c r="G616" s="7" t="n">
        <v>-7174649.793</v>
      </c>
      <c r="H616" t="inlineStr">
        <is>
          <t>GBP</t>
        </is>
      </c>
      <c r="I616" s="7" t="n">
        <v>-5624925.438</v>
      </c>
      <c r="J616" s="8" t="n">
        <v>46252.64164351852</v>
      </c>
      <c r="K616" t="inlineStr">
        <is>
          <t>CF260818 00610</t>
        </is>
      </c>
      <c r="L616" t="inlineStr">
        <is>
          <t>GL.NOSTRO.USD.BRBX.009</t>
        </is>
      </c>
      <c r="M616" t="inlineStr">
        <is>
          <t>Mallow Commercial Bank</t>
        </is>
      </c>
      <c r="N616" t="inlineStr">
        <is>
          <t>BRBXMM</t>
        </is>
      </c>
      <c r="O616" t="inlineStr">
        <is>
          <t>CANCEL</t>
        </is>
      </c>
      <c r="P616" t="inlineStr">
        <is>
          <t>NT26081800285</t>
        </is>
      </c>
      <c r="Q616" t="inlineStr">
        <is>
          <t>NETTER</t>
        </is>
      </c>
    </row>
    <row r="617">
      <c r="A617" t="inlineStr">
        <is>
          <t>824840705580</t>
        </is>
      </c>
      <c r="B617" t="inlineStr">
        <is>
          <t>TCP</t>
        </is>
      </c>
      <c r="C617" t="inlineStr">
        <is>
          <t>BRGL</t>
        </is>
      </c>
      <c r="D617" s="6" t="n">
        <v>46252</v>
      </c>
      <c r="E617" t="inlineStr">
        <is>
          <t>DR</t>
        </is>
      </c>
      <c r="F617" t="inlineStr">
        <is>
          <t>EUR</t>
        </is>
      </c>
      <c r="G617" s="7" t="n">
        <v>-56325930.487</v>
      </c>
      <c r="H617" t="inlineStr">
        <is>
          <t>GBP</t>
        </is>
      </c>
      <c r="I617" s="7" t="n">
        <v>-48327648.358</v>
      </c>
      <c r="J617" s="8" t="n">
        <v>46252.55733796296</v>
      </c>
      <c r="K617" t="inlineStr">
        <is>
          <t>CF260818 00611</t>
        </is>
      </c>
      <c r="L617" t="inlineStr">
        <is>
          <t>GL.NOSTRO.EUR.BRGL.002</t>
        </is>
      </c>
      <c r="M617" t="inlineStr">
        <is>
          <t>Granite Bank</t>
        </is>
      </c>
      <c r="N617" t="inlineStr">
        <is>
          <t>BRGLTRSY</t>
        </is>
      </c>
      <c r="O617" t="inlineStr">
        <is>
          <t>NEW</t>
        </is>
      </c>
      <c r="Q617" t="inlineStr">
        <is>
          <t>NETTER</t>
        </is>
      </c>
    </row>
    <row r="618">
      <c r="A618" t="inlineStr">
        <is>
          <t>927538182434</t>
        </is>
      </c>
      <c r="B618" t="inlineStr">
        <is>
          <t>TCC</t>
        </is>
      </c>
      <c r="C618" t="inlineStr">
        <is>
          <t>BRNK</t>
        </is>
      </c>
      <c r="D618" s="6" t="n">
        <v>46252</v>
      </c>
      <c r="E618" t="inlineStr">
        <is>
          <t>DR</t>
        </is>
      </c>
      <c r="F618" t="inlineStr">
        <is>
          <t>CNY</t>
        </is>
      </c>
      <c r="G618" s="7" t="n">
        <v>-14463919.453</v>
      </c>
      <c r="H618" t="inlineStr">
        <is>
          <t>GBP</t>
        </is>
      </c>
      <c r="I618" s="7" t="n">
        <v>-1576567.22</v>
      </c>
      <c r="J618" s="8" t="n">
        <v>46252.34381944445</v>
      </c>
      <c r="K618" t="inlineStr">
        <is>
          <t>CF260818 00612</t>
        </is>
      </c>
      <c r="L618" t="inlineStr">
        <is>
          <t>GL.NOSTRO.CNY.BRNK.003</t>
        </is>
      </c>
      <c r="M618" t="inlineStr">
        <is>
          <t>Sablewood Bank</t>
        </is>
      </c>
      <c r="N618" t="inlineStr">
        <is>
          <t>BRNK</t>
        </is>
      </c>
      <c r="O618" t="inlineStr">
        <is>
          <t>NEW</t>
        </is>
      </c>
      <c r="Q618" t="inlineStr">
        <is>
          <t>NETTER</t>
        </is>
      </c>
    </row>
    <row r="619">
      <c r="A619" t="inlineStr">
        <is>
          <t>284925023085</t>
        </is>
      </c>
      <c r="B619" t="inlineStr">
        <is>
          <t>TCC</t>
        </is>
      </c>
      <c r="C619" t="inlineStr">
        <is>
          <t>BRMD</t>
        </is>
      </c>
      <c r="D619" s="6" t="n">
        <v>46252</v>
      </c>
      <c r="E619" t="inlineStr">
        <is>
          <t>DR</t>
        </is>
      </c>
      <c r="F619" t="inlineStr">
        <is>
          <t>MXN</t>
        </is>
      </c>
      <c r="G619" s="7" t="n">
        <v>-3313916.77</v>
      </c>
      <c r="H619" t="inlineStr">
        <is>
          <t>GBP</t>
        </is>
      </c>
      <c r="I619" s="7" t="n">
        <v>-141835.638</v>
      </c>
      <c r="J619" s="8" t="n">
        <v>46252.50534722222</v>
      </c>
      <c r="K619" t="inlineStr">
        <is>
          <t>CF260818 00613</t>
        </is>
      </c>
      <c r="L619" t="inlineStr">
        <is>
          <t>GL.NOSTRO.MXN.BRMD.005</t>
        </is>
      </c>
      <c r="M619" t="inlineStr">
        <is>
          <t>Cedar Commercial Bank</t>
        </is>
      </c>
      <c r="N619" t="inlineStr">
        <is>
          <t>BRMDTRSY</t>
        </is>
      </c>
      <c r="O619" t="inlineStr">
        <is>
          <t>NEW</t>
        </is>
      </c>
      <c r="Q619" t="inlineStr">
        <is>
          <t>INTERNAL</t>
        </is>
      </c>
    </row>
    <row r="620">
      <c r="A620" t="inlineStr">
        <is>
          <t>150316825069</t>
        </is>
      </c>
      <c r="B620" t="inlineStr">
        <is>
          <t>TCG</t>
        </is>
      </c>
      <c r="C620" t="inlineStr">
        <is>
          <t>BRGX</t>
        </is>
      </c>
      <c r="D620" s="6" t="n">
        <v>46252</v>
      </c>
      <c r="E620" t="inlineStr">
        <is>
          <t>DR</t>
        </is>
      </c>
      <c r="F620" t="inlineStr">
        <is>
          <t>GBP</t>
        </is>
      </c>
      <c r="G620" s="7" t="n">
        <v>-599138471.763</v>
      </c>
      <c r="H620" t="inlineStr">
        <is>
          <t>GBP</t>
        </is>
      </c>
      <c r="I620" s="7" t="n">
        <v>-599138471.763</v>
      </c>
      <c r="J620" s="8" t="n">
        <v>46252.54604166667</v>
      </c>
      <c r="K620" t="inlineStr">
        <is>
          <t>CF260818 00614</t>
        </is>
      </c>
      <c r="L620" t="inlineStr">
        <is>
          <t>GL.NOSTRO.GBP.BRGX.004</t>
        </is>
      </c>
      <c r="M620" t="inlineStr">
        <is>
          <t>Juniper Bank</t>
        </is>
      </c>
      <c r="N620" t="inlineStr">
        <is>
          <t>BRGXMM</t>
        </is>
      </c>
      <c r="O620" t="inlineStr">
        <is>
          <t>NEW</t>
        </is>
      </c>
      <c r="P620" t="inlineStr">
        <is>
          <t>NT26081800305</t>
        </is>
      </c>
      <c r="Q620" t="inlineStr">
        <is>
          <t>NETTER</t>
        </is>
      </c>
    </row>
    <row r="621">
      <c r="A621" t="inlineStr">
        <is>
          <t>132544340094</t>
        </is>
      </c>
      <c r="B621" t="inlineStr">
        <is>
          <t>TCC</t>
        </is>
      </c>
      <c r="C621" t="inlineStr">
        <is>
          <t>BRYG</t>
        </is>
      </c>
      <c r="D621" s="6" t="n">
        <v>46252</v>
      </c>
      <c r="E621" t="inlineStr">
        <is>
          <t>DR</t>
        </is>
      </c>
      <c r="F621" t="inlineStr">
        <is>
          <t>CZK</t>
        </is>
      </c>
      <c r="G621" s="7" t="n">
        <v>-397000384.679</v>
      </c>
      <c r="H621" t="inlineStr">
        <is>
          <t>GBP</t>
        </is>
      </c>
      <c r="I621" s="7" t="n">
        <v>-13458313.041</v>
      </c>
      <c r="J621" s="8" t="n">
        <v>46252.64305555556</v>
      </c>
      <c r="K621" t="inlineStr">
        <is>
          <t>CF260818 00615</t>
        </is>
      </c>
      <c r="L621" t="inlineStr">
        <is>
          <t>GL.NOSTRO.CZK.BRYG.004</t>
        </is>
      </c>
      <c r="M621" t="inlineStr">
        <is>
          <t>Sablewood Clearing</t>
        </is>
      </c>
      <c r="N621" t="inlineStr">
        <is>
          <t>BRYG</t>
        </is>
      </c>
      <c r="O621" t="inlineStr">
        <is>
          <t>NEW</t>
        </is>
      </c>
      <c r="P621" t="inlineStr">
        <is>
          <t>NT26081800292</t>
        </is>
      </c>
      <c r="Q621" t="inlineStr">
        <is>
          <t>NETTER</t>
        </is>
      </c>
    </row>
    <row r="622">
      <c r="A622" t="inlineStr">
        <is>
          <t>284925023085</t>
        </is>
      </c>
      <c r="B622" t="inlineStr">
        <is>
          <t>TCC</t>
        </is>
      </c>
      <c r="C622" t="inlineStr">
        <is>
          <t>BRMD</t>
        </is>
      </c>
      <c r="D622" s="6" t="n">
        <v>46252</v>
      </c>
      <c r="E622" t="inlineStr">
        <is>
          <t>DR</t>
        </is>
      </c>
      <c r="F622" t="inlineStr">
        <is>
          <t>MXN</t>
        </is>
      </c>
      <c r="G622" s="7" t="n">
        <v>-850742491.581</v>
      </c>
      <c r="H622" t="inlineStr">
        <is>
          <t>GBP</t>
        </is>
      </c>
      <c r="I622" s="7" t="n">
        <v>-36411778.64</v>
      </c>
      <c r="J622" s="8" t="n">
        <v>46252.63787037037</v>
      </c>
      <c r="K622" t="inlineStr">
        <is>
          <t>CF260818 00616</t>
        </is>
      </c>
      <c r="L622" t="inlineStr">
        <is>
          <t>GL.NOSTRO.MXN.BRMD.009</t>
        </is>
      </c>
      <c r="M622" t="inlineStr">
        <is>
          <t>Mallow Commercial Bank</t>
        </is>
      </c>
      <c r="N622" t="inlineStr">
        <is>
          <t>BRMD</t>
        </is>
      </c>
      <c r="O622" t="inlineStr">
        <is>
          <t>NEW</t>
        </is>
      </c>
      <c r="Q622" t="inlineStr">
        <is>
          <t>INTERNAL</t>
        </is>
      </c>
    </row>
    <row r="623">
      <c r="A623" t="inlineStr">
        <is>
          <t>171857983160</t>
        </is>
      </c>
      <c r="B623" t="inlineStr">
        <is>
          <t>TCP</t>
        </is>
      </c>
      <c r="C623" t="inlineStr">
        <is>
          <t>BRBX</t>
        </is>
      </c>
      <c r="D623" s="6" t="n">
        <v>46252</v>
      </c>
      <c r="E623" t="inlineStr">
        <is>
          <t>DR</t>
        </is>
      </c>
      <c r="F623" t="inlineStr">
        <is>
          <t>AUD</t>
        </is>
      </c>
      <c r="G623" s="7" t="n">
        <v>-30130962.02</v>
      </c>
      <c r="H623" t="inlineStr">
        <is>
          <t>GBP</t>
        </is>
      </c>
      <c r="I623" s="7" t="n">
        <v>-15457183.516</v>
      </c>
      <c r="J623" s="8" t="n">
        <v>46252.72180555556</v>
      </c>
      <c r="K623" t="inlineStr">
        <is>
          <t>CF260818 00617</t>
        </is>
      </c>
      <c r="L623" t="inlineStr">
        <is>
          <t>GL.NOSTRO.AUD.BRBX.005</t>
        </is>
      </c>
      <c r="M623" t="inlineStr">
        <is>
          <t>Ironbark Trust</t>
        </is>
      </c>
      <c r="N623" t="inlineStr">
        <is>
          <t>BRBXMM</t>
        </is>
      </c>
      <c r="O623" t="inlineStr">
        <is>
          <t>NEW</t>
        </is>
      </c>
      <c r="Q623" t="inlineStr">
        <is>
          <t>NETTER</t>
        </is>
      </c>
    </row>
    <row r="624">
      <c r="A624" t="inlineStr">
        <is>
          <t>927538182434</t>
        </is>
      </c>
      <c r="B624" t="inlineStr">
        <is>
          <t>TCG</t>
        </is>
      </c>
      <c r="C624" t="inlineStr">
        <is>
          <t>BRNK</t>
        </is>
      </c>
      <c r="D624" s="6" t="n">
        <v>46252</v>
      </c>
      <c r="E624" t="inlineStr">
        <is>
          <t>DR</t>
        </is>
      </c>
      <c r="F624" t="inlineStr">
        <is>
          <t>CNY</t>
        </is>
      </c>
      <c r="G624" s="7" t="n">
        <v>-1228335.69</v>
      </c>
      <c r="H624" t="inlineStr">
        <is>
          <t>GBP</t>
        </is>
      </c>
      <c r="I624" s="7" t="n">
        <v>-133888.59</v>
      </c>
      <c r="J624" s="8" t="n">
        <v>46252.34701388889</v>
      </c>
      <c r="K624" t="inlineStr">
        <is>
          <t>CF260818 00618</t>
        </is>
      </c>
      <c r="L624" t="inlineStr">
        <is>
          <t>GL.NOSTRO.CNY.BRNK.007</t>
        </is>
      </c>
      <c r="M624" t="inlineStr">
        <is>
          <t>Alder Trust</t>
        </is>
      </c>
      <c r="N624" t="inlineStr">
        <is>
          <t>BRNKTRSY</t>
        </is>
      </c>
      <c r="O624" t="inlineStr">
        <is>
          <t>AMEND</t>
        </is>
      </c>
      <c r="P624" t="inlineStr">
        <is>
          <t>NT26081800292</t>
        </is>
      </c>
      <c r="Q624" t="inlineStr">
        <is>
          <t>NETTER</t>
        </is>
      </c>
    </row>
    <row r="625">
      <c r="A625" t="inlineStr">
        <is>
          <t>499062838623</t>
        </is>
      </c>
      <c r="B625" t="inlineStr">
        <is>
          <t>TCX</t>
        </is>
      </c>
      <c r="C625" t="inlineStr">
        <is>
          <t>BRBX</t>
        </is>
      </c>
      <c r="D625" s="6" t="n">
        <v>46252</v>
      </c>
      <c r="E625" t="inlineStr">
        <is>
          <t>CR</t>
        </is>
      </c>
      <c r="F625" t="inlineStr">
        <is>
          <t>USD</t>
        </is>
      </c>
      <c r="G625" s="7" t="n">
        <v>1442402.42</v>
      </c>
      <c r="H625" t="inlineStr">
        <is>
          <t>GBP</t>
        </is>
      </c>
      <c r="I625" s="7" t="n">
        <v>1130843.497</v>
      </c>
      <c r="J625" s="8" t="n">
        <v>46252.55028935185</v>
      </c>
      <c r="K625" t="inlineStr">
        <is>
          <t>CF260818 00619</t>
        </is>
      </c>
      <c r="L625" t="inlineStr">
        <is>
          <t>GL.NOSTRO.USD.BRBX.006</t>
        </is>
      </c>
      <c r="M625" t="inlineStr">
        <is>
          <t>Sablewood Settlement Bank</t>
        </is>
      </c>
      <c r="N625" t="inlineStr">
        <is>
          <t>BRBXTRSY</t>
        </is>
      </c>
      <c r="O625" t="inlineStr">
        <is>
          <t>NEW</t>
        </is>
      </c>
      <c r="Q625" t="inlineStr">
        <is>
          <t>NETTER</t>
        </is>
      </c>
    </row>
    <row r="626">
      <c r="A626" t="inlineStr">
        <is>
          <t>468341071172</t>
        </is>
      </c>
      <c r="B626" t="inlineStr">
        <is>
          <t>TCX</t>
        </is>
      </c>
      <c r="C626" t="inlineStr">
        <is>
          <t>BRCC</t>
        </is>
      </c>
      <c r="D626" s="6" t="n">
        <v>46252</v>
      </c>
      <c r="E626" t="inlineStr">
        <is>
          <t>DR</t>
        </is>
      </c>
      <c r="F626" t="inlineStr">
        <is>
          <t>EUR</t>
        </is>
      </c>
      <c r="G626" s="7" t="n">
        <v>-1753.623</v>
      </c>
      <c r="H626" t="inlineStr">
        <is>
          <t>GBP</t>
        </is>
      </c>
      <c r="I626" s="7" t="n">
        <v>-1504.609</v>
      </c>
      <c r="J626" s="8" t="n">
        <v>46252.55145833334</v>
      </c>
      <c r="K626" t="inlineStr">
        <is>
          <t>CF260818 00620</t>
        </is>
      </c>
      <c r="L626" t="inlineStr">
        <is>
          <t>GL.NOSTRO.EUR.BRCC.008</t>
        </is>
      </c>
      <c r="M626" t="inlineStr">
        <is>
          <t>Mallow Trust</t>
        </is>
      </c>
      <c r="N626" t="inlineStr">
        <is>
          <t>BRCCTRSY</t>
        </is>
      </c>
      <c r="O626" t="inlineStr">
        <is>
          <t>NEW</t>
        </is>
      </c>
      <c r="P626" t="inlineStr">
        <is>
          <t>NT26081800293</t>
        </is>
      </c>
      <c r="Q626" t="inlineStr">
        <is>
          <t>INTERNAL</t>
        </is>
      </c>
    </row>
    <row r="627">
      <c r="A627" t="inlineStr">
        <is>
          <t>265771593142</t>
        </is>
      </c>
      <c r="B627" t="inlineStr">
        <is>
          <t>TCC</t>
        </is>
      </c>
      <c r="C627" t="inlineStr">
        <is>
          <t>BRYG</t>
        </is>
      </c>
      <c r="D627" s="6" t="n">
        <v>46252</v>
      </c>
      <c r="E627" t="inlineStr">
        <is>
          <t>CR</t>
        </is>
      </c>
      <c r="F627" t="inlineStr">
        <is>
          <t>EUR</t>
        </is>
      </c>
      <c r="G627" s="7" t="n">
        <v>290921226.738</v>
      </c>
      <c r="H627" t="inlineStr">
        <is>
          <t>GBP</t>
        </is>
      </c>
      <c r="I627" s="7" t="n">
        <v>249610412.541</v>
      </c>
      <c r="J627" s="8" t="n">
        <v>46252.38892361111</v>
      </c>
      <c r="K627" t="inlineStr">
        <is>
          <t>CF260818 00621</t>
        </is>
      </c>
      <c r="L627" t="inlineStr">
        <is>
          <t>GL.NOSTRO.EUR.BRYG.009</t>
        </is>
      </c>
      <c r="M627" t="inlineStr">
        <is>
          <t>Wrenfield Commercial Bank</t>
        </is>
      </c>
      <c r="N627" t="inlineStr">
        <is>
          <t>BRYGTRSY</t>
        </is>
      </c>
      <c r="O627" t="inlineStr">
        <is>
          <t>NEW</t>
        </is>
      </c>
      <c r="P627" t="inlineStr">
        <is>
          <t>NT26081800311</t>
        </is>
      </c>
      <c r="Q627" t="inlineStr">
        <is>
          <t>INTERNAL</t>
        </is>
      </c>
    </row>
    <row r="628">
      <c r="A628" t="inlineStr">
        <is>
          <t>468341071172</t>
        </is>
      </c>
      <c r="B628" t="inlineStr">
        <is>
          <t>TCP</t>
        </is>
      </c>
      <c r="C628" t="inlineStr">
        <is>
          <t>BRCC</t>
        </is>
      </c>
      <c r="D628" s="6" t="n">
        <v>46252</v>
      </c>
      <c r="E628" t="inlineStr">
        <is>
          <t>CR</t>
        </is>
      </c>
      <c r="F628" t="inlineStr">
        <is>
          <t>EUR</t>
        </is>
      </c>
      <c r="G628" s="7" t="n">
        <v>705373697.202</v>
      </c>
      <c r="H628" t="inlineStr">
        <is>
          <t>GBP</t>
        </is>
      </c>
      <c r="I628" s="7" t="n">
        <v>605210632.199</v>
      </c>
      <c r="J628" s="8" t="n">
        <v>46252.56422453704</v>
      </c>
      <c r="K628" t="inlineStr">
        <is>
          <t>CF260818 00622</t>
        </is>
      </c>
      <c r="L628" t="inlineStr">
        <is>
          <t>GL.NOSTRO.EUR.BRCC.008</t>
        </is>
      </c>
      <c r="M628" t="inlineStr">
        <is>
          <t>Sablewood Bank</t>
        </is>
      </c>
      <c r="N628" t="inlineStr">
        <is>
          <t>BRCCTRSY</t>
        </is>
      </c>
      <c r="O628" t="inlineStr">
        <is>
          <t>NEW</t>
        </is>
      </c>
      <c r="P628" t="inlineStr">
        <is>
          <t>NT26081800288</t>
        </is>
      </c>
      <c r="Q628" t="inlineStr">
        <is>
          <t>NETTER</t>
        </is>
      </c>
    </row>
    <row r="629">
      <c r="A629" t="inlineStr">
        <is>
          <t>499062838623</t>
        </is>
      </c>
      <c r="B629" t="inlineStr">
        <is>
          <t>TCG</t>
        </is>
      </c>
      <c r="C629" t="inlineStr">
        <is>
          <t>BRBX</t>
        </is>
      </c>
      <c r="D629" s="6" t="n">
        <v>46252</v>
      </c>
      <c r="E629" t="inlineStr">
        <is>
          <t>DR</t>
        </is>
      </c>
      <c r="F629" t="inlineStr">
        <is>
          <t>USD</t>
        </is>
      </c>
      <c r="G629" s="7" t="n">
        <v>-103458859.038</v>
      </c>
      <c r="H629" t="inlineStr">
        <is>
          <t>GBP</t>
        </is>
      </c>
      <c r="I629" s="7" t="n">
        <v>-81111745.486</v>
      </c>
      <c r="J629" s="8" t="n">
        <v>46252.50833333333</v>
      </c>
      <c r="K629" t="inlineStr">
        <is>
          <t>CF260818 00623</t>
        </is>
      </c>
      <c r="L629" t="inlineStr">
        <is>
          <t>GL.NOSTRO.USD.BRBX.003</t>
        </is>
      </c>
      <c r="M629" t="inlineStr">
        <is>
          <t>Vetchling Settlement Bank</t>
        </is>
      </c>
      <c r="N629" t="inlineStr">
        <is>
          <t>BRBXCASH</t>
        </is>
      </c>
      <c r="O629" t="inlineStr">
        <is>
          <t>NEW</t>
        </is>
      </c>
      <c r="P629" t="inlineStr">
        <is>
          <t>NT26081800307</t>
        </is>
      </c>
      <c r="Q629" t="inlineStr">
        <is>
          <t>NETTER</t>
        </is>
      </c>
    </row>
    <row r="630">
      <c r="A630" t="inlineStr">
        <is>
          <t>794226063698</t>
        </is>
      </c>
      <c r="B630" t="inlineStr">
        <is>
          <t>TCG</t>
        </is>
      </c>
      <c r="C630" t="inlineStr">
        <is>
          <t>BRMD</t>
        </is>
      </c>
      <c r="D630" s="6" t="n">
        <v>46252</v>
      </c>
      <c r="E630" t="inlineStr">
        <is>
          <t>CR</t>
        </is>
      </c>
      <c r="F630" t="inlineStr">
        <is>
          <t>AED</t>
        </is>
      </c>
      <c r="G630" s="7" t="n">
        <v>7015223.827</v>
      </c>
      <c r="H630" t="inlineStr">
        <is>
          <t>GBP</t>
        </is>
      </c>
      <c r="I630" s="7" t="n">
        <v>1494242.675</v>
      </c>
      <c r="J630" s="8" t="n">
        <v>46252.61501157407</v>
      </c>
      <c r="K630" t="inlineStr">
        <is>
          <t>CF260818 00624</t>
        </is>
      </c>
      <c r="L630" t="inlineStr">
        <is>
          <t>GL.NOSTRO.AED.BRMD.005</t>
        </is>
      </c>
      <c r="M630" t="inlineStr">
        <is>
          <t>Larkspur Clearing</t>
        </is>
      </c>
      <c r="N630" t="inlineStr">
        <is>
          <t>BRMD</t>
        </is>
      </c>
      <c r="O630" t="inlineStr">
        <is>
          <t>NEW</t>
        </is>
      </c>
      <c r="Q630" t="inlineStr">
        <is>
          <t>GROSS</t>
        </is>
      </c>
    </row>
    <row r="631">
      <c r="A631" t="inlineStr">
        <is>
          <t>910703979141</t>
        </is>
      </c>
      <c r="B631" t="inlineStr">
        <is>
          <t>TCQ</t>
        </is>
      </c>
      <c r="C631" t="inlineStr">
        <is>
          <t>BRCC</t>
        </is>
      </c>
      <c r="D631" s="6" t="n">
        <v>46252</v>
      </c>
      <c r="E631" t="inlineStr">
        <is>
          <t>CR</t>
        </is>
      </c>
      <c r="F631" t="inlineStr">
        <is>
          <t>CHF</t>
        </is>
      </c>
      <c r="G631" s="7" t="n">
        <v>2241651.193</v>
      </c>
      <c r="H631" t="inlineStr">
        <is>
          <t>GBP</t>
        </is>
      </c>
      <c r="I631" s="7" t="n">
        <v>2010761.12</v>
      </c>
      <c r="J631" s="8" t="n">
        <v>46252.37055555556</v>
      </c>
      <c r="K631" t="inlineStr">
        <is>
          <t>CF260818 00625</t>
        </is>
      </c>
      <c r="L631" t="inlineStr">
        <is>
          <t>GL.NOSTRO.CHF.BRCC.006</t>
        </is>
      </c>
      <c r="M631" t="inlineStr">
        <is>
          <t>Oriel Trust</t>
        </is>
      </c>
      <c r="N631" t="inlineStr">
        <is>
          <t>BRCCCASH</t>
        </is>
      </c>
      <c r="O631" t="inlineStr">
        <is>
          <t>AMEND</t>
        </is>
      </c>
      <c r="P631" t="inlineStr">
        <is>
          <t>NT26081800305</t>
        </is>
      </c>
      <c r="Q631" t="inlineStr">
        <is>
          <t>GROSS</t>
        </is>
      </c>
    </row>
    <row r="632">
      <c r="A632" t="inlineStr">
        <is>
          <t>794226063698</t>
        </is>
      </c>
      <c r="B632" t="inlineStr">
        <is>
          <t>TCC</t>
        </is>
      </c>
      <c r="C632" t="inlineStr">
        <is>
          <t>BRMD</t>
        </is>
      </c>
      <c r="D632" s="6" t="n">
        <v>46252</v>
      </c>
      <c r="E632" t="inlineStr">
        <is>
          <t>DR</t>
        </is>
      </c>
      <c r="F632" t="inlineStr">
        <is>
          <t>AED</t>
        </is>
      </c>
      <c r="G632" s="7" t="n">
        <v>-45572424.567</v>
      </c>
      <c r="H632" t="inlineStr">
        <is>
          <t>GBP</t>
        </is>
      </c>
      <c r="I632" s="7" t="n">
        <v>-9706926.433</v>
      </c>
      <c r="J632" s="8" t="n">
        <v>46252.31120370371</v>
      </c>
      <c r="K632" t="inlineStr">
        <is>
          <t>CF260818 00626</t>
        </is>
      </c>
      <c r="L632" t="inlineStr">
        <is>
          <t>GL.NOSTRO.AED.BRMD.004</t>
        </is>
      </c>
      <c r="M632" t="inlineStr">
        <is>
          <t>Juniper Settlement Bank</t>
        </is>
      </c>
      <c r="N632" t="inlineStr">
        <is>
          <t>BRMD</t>
        </is>
      </c>
      <c r="O632" t="inlineStr">
        <is>
          <t>NEW</t>
        </is>
      </c>
      <c r="Q632" t="inlineStr">
        <is>
          <t>NETTER</t>
        </is>
      </c>
    </row>
    <row r="633">
      <c r="A633" t="inlineStr">
        <is>
          <t>910703979141</t>
        </is>
      </c>
      <c r="B633" t="inlineStr">
        <is>
          <t>TCC</t>
        </is>
      </c>
      <c r="C633" t="inlineStr">
        <is>
          <t>BRCC</t>
        </is>
      </c>
      <c r="D633" s="6" t="n">
        <v>46252</v>
      </c>
      <c r="E633" t="inlineStr">
        <is>
          <t>DR</t>
        </is>
      </c>
      <c r="F633" t="inlineStr">
        <is>
          <t>CHF</t>
        </is>
      </c>
      <c r="G633" s="7" t="n">
        <v>-5510523.665</v>
      </c>
      <c r="H633" t="inlineStr">
        <is>
          <t>GBP</t>
        </is>
      </c>
      <c r="I633" s="7" t="n">
        <v>-4942939.728</v>
      </c>
      <c r="J633" s="8" t="n">
        <v>46252.41151620371</v>
      </c>
      <c r="K633" t="inlineStr">
        <is>
          <t>CF260818 00627</t>
        </is>
      </c>
      <c r="L633" t="inlineStr">
        <is>
          <t>GL.NOSTRO.CHF.BRCC.002</t>
        </is>
      </c>
      <c r="M633" t="inlineStr">
        <is>
          <t>Redstart Commercial Bank</t>
        </is>
      </c>
      <c r="N633" t="inlineStr">
        <is>
          <t>BRCCTRSY</t>
        </is>
      </c>
      <c r="O633" t="inlineStr">
        <is>
          <t>NEW</t>
        </is>
      </c>
      <c r="Q633" t="inlineStr">
        <is>
          <t>GROSS</t>
        </is>
      </c>
    </row>
    <row r="634">
      <c r="A634" t="inlineStr">
        <is>
          <t>265771593142</t>
        </is>
      </c>
      <c r="B634" t="inlineStr">
        <is>
          <t>TCQ</t>
        </is>
      </c>
      <c r="C634" t="inlineStr">
        <is>
          <t>BRYG</t>
        </is>
      </c>
      <c r="D634" s="6" t="n">
        <v>46252</v>
      </c>
      <c r="E634" t="inlineStr">
        <is>
          <t>CR</t>
        </is>
      </c>
      <c r="F634" t="inlineStr">
        <is>
          <t>EUR</t>
        </is>
      </c>
      <c r="G634" s="7" t="n">
        <v>73104066.897</v>
      </c>
      <c r="H634" t="inlineStr">
        <is>
          <t>GBP</t>
        </is>
      </c>
      <c r="I634" s="7" t="n">
        <v>62723289.398</v>
      </c>
      <c r="J634" s="8" t="n">
        <v>46252.42957175926</v>
      </c>
      <c r="K634" t="inlineStr">
        <is>
          <t>CF260818 00628</t>
        </is>
      </c>
      <c r="L634" t="inlineStr">
        <is>
          <t>GL.NOSTRO.EUR.BRYG.004</t>
        </is>
      </c>
      <c r="M634" t="inlineStr">
        <is>
          <t>Wrenfield Commercial Bank</t>
        </is>
      </c>
      <c r="N634" t="inlineStr">
        <is>
          <t>BRYGCASH</t>
        </is>
      </c>
      <c r="O634" t="inlineStr">
        <is>
          <t>NEW</t>
        </is>
      </c>
      <c r="P634" t="inlineStr">
        <is>
          <t>NT26081800288</t>
        </is>
      </c>
      <c r="Q634" t="inlineStr">
        <is>
          <t>NETTER</t>
        </is>
      </c>
    </row>
    <row r="635">
      <c r="A635" t="inlineStr">
        <is>
          <t>898317028833</t>
        </is>
      </c>
      <c r="B635" t="inlineStr">
        <is>
          <t>TCC</t>
        </is>
      </c>
      <c r="C635" t="inlineStr">
        <is>
          <t>BRAA</t>
        </is>
      </c>
      <c r="D635" s="6" t="n">
        <v>46252</v>
      </c>
      <c r="E635" t="inlineStr">
        <is>
          <t>DR</t>
        </is>
      </c>
      <c r="F635" t="inlineStr">
        <is>
          <t>GBP</t>
        </is>
      </c>
      <c r="G635" s="7" t="n">
        <v>-47264226.728</v>
      </c>
      <c r="H635" t="inlineStr">
        <is>
          <t>GBP</t>
        </is>
      </c>
      <c r="I635" s="7" t="n">
        <v>-47264226.728</v>
      </c>
      <c r="J635" s="8" t="n">
        <v>46252.5975462963</v>
      </c>
      <c r="K635" t="inlineStr">
        <is>
          <t>CF260818 00629</t>
        </is>
      </c>
      <c r="L635" t="inlineStr">
        <is>
          <t>GL.NOSTRO.GBP.BRAA.002</t>
        </is>
      </c>
      <c r="M635" t="inlineStr">
        <is>
          <t>Zephyr Commercial Bank</t>
        </is>
      </c>
      <c r="N635" t="inlineStr">
        <is>
          <t>BRAATRSY</t>
        </is>
      </c>
      <c r="O635" t="inlineStr">
        <is>
          <t>AMEND</t>
        </is>
      </c>
      <c r="P635" t="inlineStr">
        <is>
          <t>NT26081800306</t>
        </is>
      </c>
      <c r="Q635" t="inlineStr">
        <is>
          <t>INTERNAL</t>
        </is>
      </c>
    </row>
    <row r="636">
      <c r="A636" t="inlineStr">
        <is>
          <t>898317028833</t>
        </is>
      </c>
      <c r="B636" t="inlineStr">
        <is>
          <t>TCQ</t>
        </is>
      </c>
      <c r="C636" t="inlineStr">
        <is>
          <t>BRAA</t>
        </is>
      </c>
      <c r="D636" s="6" t="n">
        <v>46252</v>
      </c>
      <c r="E636" t="inlineStr">
        <is>
          <t>DR</t>
        </is>
      </c>
      <c r="F636" t="inlineStr">
        <is>
          <t>GBP</t>
        </is>
      </c>
      <c r="G636" s="7" t="n">
        <v>-2337936.751</v>
      </c>
      <c r="H636" t="inlineStr">
        <is>
          <t>GBP</t>
        </is>
      </c>
      <c r="I636" s="7" t="n">
        <v>-2337936.751</v>
      </c>
      <c r="J636" s="8" t="n">
        <v>46252.4703125</v>
      </c>
      <c r="K636" t="inlineStr">
        <is>
          <t>CF260818 00630</t>
        </is>
      </c>
      <c r="L636" t="inlineStr">
        <is>
          <t>GL.NOSTRO.GBP.BRAA.002</t>
        </is>
      </c>
      <c r="M636" t="inlineStr">
        <is>
          <t>Sablewood Commercial Bank</t>
        </is>
      </c>
      <c r="N636" t="inlineStr">
        <is>
          <t>BRAACASH</t>
        </is>
      </c>
      <c r="O636" t="inlineStr">
        <is>
          <t>AMEND</t>
        </is>
      </c>
      <c r="Q636" t="inlineStr">
        <is>
          <t>GROSS</t>
        </is>
      </c>
    </row>
    <row r="637">
      <c r="A637" t="inlineStr">
        <is>
          <t>150316825069</t>
        </is>
      </c>
      <c r="B637" t="inlineStr">
        <is>
          <t>TCC</t>
        </is>
      </c>
      <c r="C637" t="inlineStr">
        <is>
          <t>BRGX</t>
        </is>
      </c>
      <c r="D637" s="6" t="n">
        <v>46252</v>
      </c>
      <c r="E637" t="inlineStr">
        <is>
          <t>DR</t>
        </is>
      </c>
      <c r="F637" t="inlineStr">
        <is>
          <t>GBP</t>
        </is>
      </c>
      <c r="G637" s="7" t="n">
        <v>-14563706.434</v>
      </c>
      <c r="H637" t="inlineStr">
        <is>
          <t>GBP</t>
        </is>
      </c>
      <c r="I637" s="7" t="n">
        <v>-14563706.434</v>
      </c>
      <c r="J637" s="8" t="n">
        <v>46252.66913194444</v>
      </c>
      <c r="K637" t="inlineStr">
        <is>
          <t>CF260818 00631</t>
        </is>
      </c>
      <c r="L637" t="inlineStr">
        <is>
          <t>GL.NOSTRO.GBP.BRGX.005</t>
        </is>
      </c>
      <c r="M637" t="inlineStr">
        <is>
          <t>Ironbark Trust</t>
        </is>
      </c>
      <c r="N637" t="inlineStr">
        <is>
          <t>BRGXTRSY</t>
        </is>
      </c>
      <c r="O637" t="inlineStr">
        <is>
          <t>NEW</t>
        </is>
      </c>
      <c r="P637" t="inlineStr">
        <is>
          <t>NT26081800284</t>
        </is>
      </c>
      <c r="Q637" t="inlineStr">
        <is>
          <t>NETTER</t>
        </is>
      </c>
    </row>
    <row r="638">
      <c r="A638" t="inlineStr">
        <is>
          <t>927538182434</t>
        </is>
      </c>
      <c r="B638" t="inlineStr">
        <is>
          <t>TCP</t>
        </is>
      </c>
      <c r="C638" t="inlineStr">
        <is>
          <t>BRNK</t>
        </is>
      </c>
      <c r="D638" s="6" t="n">
        <v>46252</v>
      </c>
      <c r="E638" t="inlineStr">
        <is>
          <t>DR</t>
        </is>
      </c>
      <c r="F638" t="inlineStr">
        <is>
          <t>CNY</t>
        </is>
      </c>
      <c r="G638" s="7" t="n">
        <v>-209342689.706</v>
      </c>
      <c r="H638" t="inlineStr">
        <is>
          <t>GBP</t>
        </is>
      </c>
      <c r="I638" s="7" t="n">
        <v>-22818353.178</v>
      </c>
      <c r="J638" s="8" t="n">
        <v>46252.31032407407</v>
      </c>
      <c r="K638" t="inlineStr">
        <is>
          <t>CF260818 00632</t>
        </is>
      </c>
      <c r="L638" t="inlineStr">
        <is>
          <t>GL.NOSTRO.CNY.BRNK.001</t>
        </is>
      </c>
      <c r="M638" t="inlineStr">
        <is>
          <t>Ironbark Commercial Bank</t>
        </is>
      </c>
      <c r="N638" t="inlineStr">
        <is>
          <t>BRNKMM</t>
        </is>
      </c>
      <c r="O638" t="inlineStr">
        <is>
          <t>NEW</t>
        </is>
      </c>
      <c r="Q638" t="inlineStr">
        <is>
          <t>INTERNAL</t>
        </is>
      </c>
    </row>
    <row r="639">
      <c r="A639" t="inlineStr">
        <is>
          <t>150316825069</t>
        </is>
      </c>
      <c r="B639" t="inlineStr">
        <is>
          <t>TCX</t>
        </is>
      </c>
      <c r="C639" t="inlineStr">
        <is>
          <t>BRGX</t>
        </is>
      </c>
      <c r="D639" s="6" t="n">
        <v>46252</v>
      </c>
      <c r="E639" t="inlineStr">
        <is>
          <t>DR</t>
        </is>
      </c>
      <c r="F639" t="inlineStr">
        <is>
          <t>GBP</t>
        </is>
      </c>
      <c r="G639" s="7" t="n">
        <v>-112255949.833</v>
      </c>
      <c r="H639" t="inlineStr">
        <is>
          <t>GBP</t>
        </is>
      </c>
      <c r="I639" s="7" t="n">
        <v>-112255949.833</v>
      </c>
      <c r="J639" s="8" t="n">
        <v>46252.69871527778</v>
      </c>
      <c r="K639" t="inlineStr">
        <is>
          <t>CF260818 00633</t>
        </is>
      </c>
      <c r="L639" t="inlineStr">
        <is>
          <t>GL.NOSTRO.GBP.BRGX.002</t>
        </is>
      </c>
      <c r="M639" t="inlineStr">
        <is>
          <t>Thornbury Bank</t>
        </is>
      </c>
      <c r="N639" t="inlineStr">
        <is>
          <t>BRGXTRSY</t>
        </is>
      </c>
      <c r="O639" t="inlineStr">
        <is>
          <t>AMEND</t>
        </is>
      </c>
      <c r="Q639" t="inlineStr">
        <is>
          <t>GROSS</t>
        </is>
      </c>
    </row>
    <row r="640">
      <c r="A640" t="inlineStr">
        <is>
          <t>120047354818</t>
        </is>
      </c>
      <c r="B640" t="inlineStr">
        <is>
          <t>TCX</t>
        </is>
      </c>
      <c r="C640" t="inlineStr">
        <is>
          <t>BRNK</t>
        </is>
      </c>
      <c r="D640" s="6" t="n">
        <v>46252</v>
      </c>
      <c r="E640" t="inlineStr">
        <is>
          <t>CR</t>
        </is>
      </c>
      <c r="F640" t="inlineStr">
        <is>
          <t>USD</t>
        </is>
      </c>
      <c r="G640" s="7" t="n">
        <v>291495038.4</v>
      </c>
      <c r="H640" t="inlineStr">
        <is>
          <t>GBP</t>
        </is>
      </c>
      <c r="I640" s="7" t="n">
        <v>228532110.106</v>
      </c>
      <c r="J640" s="8" t="n">
        <v>46252.31172453704</v>
      </c>
      <c r="K640" t="inlineStr">
        <is>
          <t>CF260818 00634</t>
        </is>
      </c>
      <c r="L640" t="inlineStr">
        <is>
          <t>GL.NOSTRO.USD.BRNK.002</t>
        </is>
      </c>
      <c r="M640" t="inlineStr">
        <is>
          <t>Redstart Commercial Bank</t>
        </is>
      </c>
      <c r="N640" t="inlineStr">
        <is>
          <t>BRNK</t>
        </is>
      </c>
      <c r="O640" t="inlineStr">
        <is>
          <t>NEW</t>
        </is>
      </c>
      <c r="P640" t="inlineStr">
        <is>
          <t>NT26081800294</t>
        </is>
      </c>
      <c r="Q640" t="inlineStr">
        <is>
          <t>NETTER</t>
        </is>
      </c>
    </row>
    <row r="641">
      <c r="A641" t="inlineStr">
        <is>
          <t>726928343448</t>
        </is>
      </c>
      <c r="B641" t="inlineStr">
        <is>
          <t>TCG</t>
        </is>
      </c>
      <c r="C641" t="inlineStr">
        <is>
          <t>BRGX</t>
        </is>
      </c>
      <c r="D641" s="6" t="n">
        <v>46252</v>
      </c>
      <c r="E641" t="inlineStr">
        <is>
          <t>CR</t>
        </is>
      </c>
      <c r="F641" t="inlineStr">
        <is>
          <t>EUR</t>
        </is>
      </c>
      <c r="G641" s="7" t="n">
        <v>11317664.252</v>
      </c>
      <c r="H641" t="inlineStr">
        <is>
          <t>GBP</t>
        </is>
      </c>
      <c r="I641" s="7" t="n">
        <v>9710555.927999999</v>
      </c>
      <c r="J641" s="8" t="n">
        <v>46252.40265046297</v>
      </c>
      <c r="K641" t="inlineStr">
        <is>
          <t>CF260818 00635</t>
        </is>
      </c>
      <c r="L641" t="inlineStr">
        <is>
          <t>GL.NOSTRO.EUR.BRGX.006</t>
        </is>
      </c>
      <c r="M641" t="inlineStr">
        <is>
          <t>Sablewood Settlement Bank</t>
        </is>
      </c>
      <c r="N641" t="inlineStr">
        <is>
          <t>BRGXCASH</t>
        </is>
      </c>
      <c r="O641" t="inlineStr">
        <is>
          <t>NEW</t>
        </is>
      </c>
      <c r="Q641" t="inlineStr">
        <is>
          <t>NETTER</t>
        </is>
      </c>
    </row>
    <row r="642">
      <c r="A642" t="inlineStr">
        <is>
          <t>150316825069</t>
        </is>
      </c>
      <c r="B642" t="inlineStr">
        <is>
          <t>TCX</t>
        </is>
      </c>
      <c r="C642" t="inlineStr">
        <is>
          <t>BRGX</t>
        </is>
      </c>
      <c r="D642" s="6" t="n">
        <v>46252</v>
      </c>
      <c r="E642" t="inlineStr">
        <is>
          <t>CR</t>
        </is>
      </c>
      <c r="F642" t="inlineStr">
        <is>
          <t>GBP</t>
        </is>
      </c>
      <c r="G642" s="7" t="n">
        <v>767454.504</v>
      </c>
      <c r="H642" t="inlineStr">
        <is>
          <t>GBP</t>
        </is>
      </c>
      <c r="I642" s="7" t="n">
        <v>767454.504</v>
      </c>
      <c r="J642" s="8" t="n">
        <v>46252.07940972222</v>
      </c>
      <c r="K642" t="inlineStr">
        <is>
          <t>CF260818 00636</t>
        </is>
      </c>
      <c r="L642" t="inlineStr">
        <is>
          <t>GL.NOSTRO.GBP.BRGX.008</t>
        </is>
      </c>
      <c r="M642" t="inlineStr">
        <is>
          <t>Sablewood Bank</t>
        </is>
      </c>
      <c r="N642" t="inlineStr">
        <is>
          <t>BRGXTRSY</t>
        </is>
      </c>
      <c r="O642" t="inlineStr">
        <is>
          <t>NEW</t>
        </is>
      </c>
      <c r="P642" t="inlineStr">
        <is>
          <t>NT26081800299</t>
        </is>
      </c>
      <c r="Q642" t="inlineStr">
        <is>
          <t>GROSS</t>
        </is>
      </c>
    </row>
    <row r="643">
      <c r="A643" t="inlineStr">
        <is>
          <t>794226063698</t>
        </is>
      </c>
      <c r="B643" t="inlineStr">
        <is>
          <t>TCC</t>
        </is>
      </c>
      <c r="C643" t="inlineStr">
        <is>
          <t>BRMD</t>
        </is>
      </c>
      <c r="D643" s="6" t="n">
        <v>46252</v>
      </c>
      <c r="E643" t="inlineStr">
        <is>
          <t>CR</t>
        </is>
      </c>
      <c r="F643" t="inlineStr">
        <is>
          <t>AED</t>
        </is>
      </c>
      <c r="G643" s="7" t="n">
        <v>1090101.867</v>
      </c>
      <c r="H643" t="inlineStr">
        <is>
          <t>GBP</t>
        </is>
      </c>
      <c r="I643" s="7" t="n">
        <v>232191.698</v>
      </c>
      <c r="J643" s="8" t="n">
        <v>46252.61313657407</v>
      </c>
      <c r="K643" t="inlineStr">
        <is>
          <t>CF260818 00637</t>
        </is>
      </c>
      <c r="L643" t="inlineStr">
        <is>
          <t>GL.NOSTRO.AED.BRMD.001</t>
        </is>
      </c>
      <c r="M643" t="inlineStr">
        <is>
          <t>Thornbury Bank</t>
        </is>
      </c>
      <c r="N643" t="inlineStr">
        <is>
          <t>BRMDCASH</t>
        </is>
      </c>
      <c r="O643" t="inlineStr">
        <is>
          <t>NEW</t>
        </is>
      </c>
      <c r="P643" t="inlineStr">
        <is>
          <t>NT26081800298</t>
        </is>
      </c>
      <c r="Q643" t="inlineStr">
        <is>
          <t>NETTER</t>
        </is>
      </c>
    </row>
    <row r="644">
      <c r="A644" t="inlineStr">
        <is>
          <t>700726936098</t>
        </is>
      </c>
      <c r="B644" t="inlineStr">
        <is>
          <t>TCQ</t>
        </is>
      </c>
      <c r="C644" t="inlineStr">
        <is>
          <t>BRMD</t>
        </is>
      </c>
      <c r="D644" s="6" t="n">
        <v>46252</v>
      </c>
      <c r="E644" t="inlineStr">
        <is>
          <t>CR</t>
        </is>
      </c>
      <c r="F644" t="inlineStr">
        <is>
          <t>SAR</t>
        </is>
      </c>
      <c r="G644" s="7" t="n">
        <v>345676731.991</v>
      </c>
      <c r="H644" t="inlineStr">
        <is>
          <t>GBP</t>
        </is>
      </c>
      <c r="I644" s="7" t="n">
        <v>72246436.986</v>
      </c>
      <c r="J644" s="8" t="n">
        <v>46252.57986111111</v>
      </c>
      <c r="K644" t="inlineStr">
        <is>
          <t>CF260818 00638</t>
        </is>
      </c>
      <c r="L644" t="inlineStr">
        <is>
          <t>GL.NOSTRO.SAR.BRMD.002</t>
        </is>
      </c>
      <c r="M644" t="inlineStr">
        <is>
          <t>Granite Clearing</t>
        </is>
      </c>
      <c r="N644" t="inlineStr">
        <is>
          <t>BRMD</t>
        </is>
      </c>
      <c r="O644" t="inlineStr">
        <is>
          <t>NEW</t>
        </is>
      </c>
      <c r="Q644" t="inlineStr">
        <is>
          <t>INTERNAL</t>
        </is>
      </c>
    </row>
    <row r="645">
      <c r="A645" t="inlineStr">
        <is>
          <t>359365220160</t>
        </is>
      </c>
      <c r="B645" t="inlineStr">
        <is>
          <t>TCQ</t>
        </is>
      </c>
      <c r="C645" t="inlineStr">
        <is>
          <t>BRGX</t>
        </is>
      </c>
      <c r="D645" s="6" t="n">
        <v>46252</v>
      </c>
      <c r="E645" t="inlineStr">
        <is>
          <t>DR</t>
        </is>
      </c>
      <c r="F645" t="inlineStr">
        <is>
          <t>EUR</t>
        </is>
      </c>
      <c r="G645" s="7" t="n">
        <v>-398892.149</v>
      </c>
      <c r="H645" t="inlineStr">
        <is>
          <t>GBP</t>
        </is>
      </c>
      <c r="I645" s="7" t="n">
        <v>-342249.464</v>
      </c>
      <c r="J645" s="8" t="n">
        <v>46252.45761574074</v>
      </c>
      <c r="K645" t="inlineStr">
        <is>
          <t>CF260818 00639</t>
        </is>
      </c>
      <c r="L645" t="inlineStr">
        <is>
          <t>GL.NOSTRO.EUR.BRGX.008</t>
        </is>
      </c>
      <c r="M645" t="inlineStr">
        <is>
          <t>Yarrow Bank</t>
        </is>
      </c>
      <c r="N645" t="inlineStr">
        <is>
          <t>BRGXCASH</t>
        </is>
      </c>
      <c r="O645" t="inlineStr">
        <is>
          <t>NEW</t>
        </is>
      </c>
      <c r="P645" t="inlineStr">
        <is>
          <t>NT26081800284</t>
        </is>
      </c>
      <c r="Q645" t="inlineStr">
        <is>
          <t>GROSS</t>
        </is>
      </c>
    </row>
    <row r="646">
      <c r="A646" t="inlineStr">
        <is>
          <t>284925023085</t>
        </is>
      </c>
      <c r="B646" t="inlineStr">
        <is>
          <t>TCC</t>
        </is>
      </c>
      <c r="C646" t="inlineStr">
        <is>
          <t>BRMD</t>
        </is>
      </c>
      <c r="D646" s="6" t="n">
        <v>46252</v>
      </c>
      <c r="E646" t="inlineStr">
        <is>
          <t>CR</t>
        </is>
      </c>
      <c r="F646" t="inlineStr">
        <is>
          <t>MXN</t>
        </is>
      </c>
      <c r="G646" s="7" t="n">
        <v>18172399.92</v>
      </c>
      <c r="H646" t="inlineStr">
        <is>
          <t>GBP</t>
        </is>
      </c>
      <c r="I646" s="7" t="n">
        <v>777778.7169999999</v>
      </c>
      <c r="J646" s="8" t="n">
        <v>46252.44542824074</v>
      </c>
      <c r="K646" t="inlineStr">
        <is>
          <t>CF260818 00640</t>
        </is>
      </c>
      <c r="L646" t="inlineStr">
        <is>
          <t>GL.NOSTRO.MXN.BRMD.005</t>
        </is>
      </c>
      <c r="M646" t="inlineStr">
        <is>
          <t>Elmwood Settlement Bank</t>
        </is>
      </c>
      <c r="N646" t="inlineStr">
        <is>
          <t>BRMDMM</t>
        </is>
      </c>
      <c r="O646" t="inlineStr">
        <is>
          <t>AMEND</t>
        </is>
      </c>
      <c r="P646" t="inlineStr">
        <is>
          <t>NT26081800280</t>
        </is>
      </c>
      <c r="Q646" t="inlineStr">
        <is>
          <t>NETTER</t>
        </is>
      </c>
    </row>
    <row r="647">
      <c r="A647" t="inlineStr">
        <is>
          <t>898317028833</t>
        </is>
      </c>
      <c r="B647" t="inlineStr">
        <is>
          <t>TCG</t>
        </is>
      </c>
      <c r="C647" t="inlineStr">
        <is>
          <t>BRAA</t>
        </is>
      </c>
      <c r="D647" s="6" t="n">
        <v>46252</v>
      </c>
      <c r="E647" t="inlineStr">
        <is>
          <t>CR</t>
        </is>
      </c>
      <c r="F647" t="inlineStr">
        <is>
          <t>GBP</t>
        </is>
      </c>
      <c r="G647" s="7" t="n">
        <v>703375941.788</v>
      </c>
      <c r="H647" t="inlineStr">
        <is>
          <t>GBP</t>
        </is>
      </c>
      <c r="I647" s="7" t="n">
        <v>703375941.788</v>
      </c>
      <c r="J647" s="8" t="n">
        <v>46252.17840277778</v>
      </c>
      <c r="K647" t="inlineStr">
        <is>
          <t>CF260818 00641</t>
        </is>
      </c>
      <c r="L647" t="inlineStr">
        <is>
          <t>GL.NOSTRO.GBP.BRAA.003</t>
        </is>
      </c>
      <c r="M647" t="inlineStr">
        <is>
          <t>Elmwood Clearing</t>
        </is>
      </c>
      <c r="N647" t="inlineStr">
        <is>
          <t>BRAATRSY</t>
        </is>
      </c>
      <c r="O647" t="inlineStr">
        <is>
          <t>NEW</t>
        </is>
      </c>
      <c r="Q647" t="inlineStr">
        <is>
          <t>GROSS</t>
        </is>
      </c>
    </row>
    <row r="648">
      <c r="A648" t="inlineStr">
        <is>
          <t>468341071172</t>
        </is>
      </c>
      <c r="B648" t="inlineStr">
        <is>
          <t>TCP</t>
        </is>
      </c>
      <c r="C648" t="inlineStr">
        <is>
          <t>BRCC</t>
        </is>
      </c>
      <c r="D648" s="6" t="n">
        <v>46252</v>
      </c>
      <c r="E648" t="inlineStr">
        <is>
          <t>CR</t>
        </is>
      </c>
      <c r="F648" t="inlineStr">
        <is>
          <t>EUR</t>
        </is>
      </c>
      <c r="G648" s="7" t="n">
        <v>9155711.426000001</v>
      </c>
      <c r="H648" t="inlineStr">
        <is>
          <t>GBP</t>
        </is>
      </c>
      <c r="I648" s="7" t="n">
        <v>7855600.404</v>
      </c>
      <c r="J648" s="8" t="n">
        <v>46252.29547453704</v>
      </c>
      <c r="K648" t="inlineStr">
        <is>
          <t>CF260818 00642</t>
        </is>
      </c>
      <c r="L648" t="inlineStr">
        <is>
          <t>GL.NOSTRO.EUR.BRCC.001</t>
        </is>
      </c>
      <c r="M648" t="inlineStr">
        <is>
          <t>Nightjar Bank</t>
        </is>
      </c>
      <c r="N648" t="inlineStr">
        <is>
          <t>BRCCCASH</t>
        </is>
      </c>
      <c r="O648" t="inlineStr">
        <is>
          <t>NEW</t>
        </is>
      </c>
      <c r="P648" t="inlineStr">
        <is>
          <t>NT26081800280</t>
        </is>
      </c>
      <c r="Q648" t="inlineStr">
        <is>
          <t>NETTER</t>
        </is>
      </c>
    </row>
    <row r="649">
      <c r="A649" t="inlineStr">
        <is>
          <t>150316825069</t>
        </is>
      </c>
      <c r="B649" t="inlineStr">
        <is>
          <t>TCG</t>
        </is>
      </c>
      <c r="C649" t="inlineStr">
        <is>
          <t>BRGX</t>
        </is>
      </c>
      <c r="D649" s="6" t="n">
        <v>46252</v>
      </c>
      <c r="E649" t="inlineStr">
        <is>
          <t>DR</t>
        </is>
      </c>
      <c r="F649" t="inlineStr">
        <is>
          <t>GBP</t>
        </is>
      </c>
      <c r="G649" s="7" t="n">
        <v>-110924.574</v>
      </c>
      <c r="H649" t="inlineStr">
        <is>
          <t>GBP</t>
        </is>
      </c>
      <c r="I649" s="7" t="n">
        <v>-110924.574</v>
      </c>
      <c r="J649" s="8" t="n">
        <v>46252.36465277777</v>
      </c>
      <c r="K649" t="inlineStr">
        <is>
          <t>CF260818 00643</t>
        </is>
      </c>
      <c r="L649" t="inlineStr">
        <is>
          <t>GL.NOSTRO.GBP.BRGX.007</t>
        </is>
      </c>
      <c r="M649" t="inlineStr">
        <is>
          <t>Umberton Clearing</t>
        </is>
      </c>
      <c r="N649" t="inlineStr">
        <is>
          <t>BRGX</t>
        </is>
      </c>
      <c r="O649" t="inlineStr">
        <is>
          <t>NEW</t>
        </is>
      </c>
      <c r="P649" t="inlineStr">
        <is>
          <t>NT26081800280</t>
        </is>
      </c>
      <c r="Q649" t="inlineStr">
        <is>
          <t>GROSS</t>
        </is>
      </c>
    </row>
    <row r="650">
      <c r="A650" t="inlineStr">
        <is>
          <t>910703979141</t>
        </is>
      </c>
      <c r="B650" t="inlineStr">
        <is>
          <t>TCP</t>
        </is>
      </c>
      <c r="C650" t="inlineStr">
        <is>
          <t>BRCC</t>
        </is>
      </c>
      <c r="D650" s="6" t="n">
        <v>46252</v>
      </c>
      <c r="E650" t="inlineStr">
        <is>
          <t>DR</t>
        </is>
      </c>
      <c r="F650" t="inlineStr">
        <is>
          <t>CHF</t>
        </is>
      </c>
      <c r="G650" s="7" t="n">
        <v>-22085617.016</v>
      </c>
      <c r="H650" t="inlineStr">
        <is>
          <t>GBP</t>
        </is>
      </c>
      <c r="I650" s="7" t="n">
        <v>-19810798.463</v>
      </c>
      <c r="J650" s="8" t="n">
        <v>46252.62200231481</v>
      </c>
      <c r="K650" t="inlineStr">
        <is>
          <t>CF260818 00644</t>
        </is>
      </c>
      <c r="L650" t="inlineStr">
        <is>
          <t>GL.NOSTRO.CHF.BRCC.005</t>
        </is>
      </c>
      <c r="M650" t="inlineStr">
        <is>
          <t>Bramble Bank</t>
        </is>
      </c>
      <c r="N650" t="inlineStr">
        <is>
          <t>BRCCCASH</t>
        </is>
      </c>
      <c r="O650" t="inlineStr">
        <is>
          <t>AMEND</t>
        </is>
      </c>
      <c r="Q650" t="inlineStr">
        <is>
          <t>INTERNAL</t>
        </is>
      </c>
    </row>
    <row r="651">
      <c r="A651" t="inlineStr">
        <is>
          <t>927538182434</t>
        </is>
      </c>
      <c r="B651" t="inlineStr">
        <is>
          <t>TCX</t>
        </is>
      </c>
      <c r="C651" t="inlineStr">
        <is>
          <t>BRNK</t>
        </is>
      </c>
      <c r="D651" s="6" t="n">
        <v>46252</v>
      </c>
      <c r="E651" t="inlineStr">
        <is>
          <t>DR</t>
        </is>
      </c>
      <c r="F651" t="inlineStr">
        <is>
          <t>CNY</t>
        </is>
      </c>
      <c r="G651" s="7" t="n">
        <v>-3969167.305</v>
      </c>
      <c r="H651" t="inlineStr">
        <is>
          <t>GBP</t>
        </is>
      </c>
      <c r="I651" s="7" t="n">
        <v>-432639.236</v>
      </c>
      <c r="J651" s="8" t="n">
        <v>46252.21068287037</v>
      </c>
      <c r="K651" t="inlineStr">
        <is>
          <t>CF260818 00645</t>
        </is>
      </c>
      <c r="L651" t="inlineStr">
        <is>
          <t>GL.NOSTRO.CNY.BRNK.009</t>
        </is>
      </c>
      <c r="M651" t="inlineStr">
        <is>
          <t>Umberton Clearing</t>
        </is>
      </c>
      <c r="N651" t="inlineStr">
        <is>
          <t>BRNK</t>
        </is>
      </c>
      <c r="O651" t="inlineStr">
        <is>
          <t>NEW</t>
        </is>
      </c>
      <c r="P651" t="inlineStr">
        <is>
          <t>NT26081800283</t>
        </is>
      </c>
      <c r="Q651" t="inlineStr">
        <is>
          <t>NETTER</t>
        </is>
      </c>
    </row>
    <row r="652">
      <c r="A652" t="inlineStr">
        <is>
          <t>150316825069</t>
        </is>
      </c>
      <c r="B652" t="inlineStr">
        <is>
          <t>TCG</t>
        </is>
      </c>
      <c r="C652" t="inlineStr">
        <is>
          <t>BRGX</t>
        </is>
      </c>
      <c r="D652" s="6" t="n">
        <v>46252</v>
      </c>
      <c r="E652" t="inlineStr">
        <is>
          <t>DR</t>
        </is>
      </c>
      <c r="F652" t="inlineStr">
        <is>
          <t>GBP</t>
        </is>
      </c>
      <c r="G652" s="7" t="n">
        <v>-43399134.78</v>
      </c>
      <c r="H652" t="inlineStr">
        <is>
          <t>GBP</t>
        </is>
      </c>
      <c r="I652" s="7" t="n">
        <v>-43399134.78</v>
      </c>
      <c r="J652" s="8" t="n">
        <v>46252.4437962963</v>
      </c>
      <c r="K652" t="inlineStr">
        <is>
          <t>CF260818 00646</t>
        </is>
      </c>
      <c r="L652" t="inlineStr">
        <is>
          <t>GL.NOSTRO.GBP.BRGX.003</t>
        </is>
      </c>
      <c r="M652" t="inlineStr">
        <is>
          <t>Dunlin Trust</t>
        </is>
      </c>
      <c r="N652" t="inlineStr">
        <is>
          <t>BRGXTRSY</t>
        </is>
      </c>
      <c r="O652" t="inlineStr">
        <is>
          <t>NEW</t>
        </is>
      </c>
      <c r="P652" t="inlineStr">
        <is>
          <t>NT26081800281</t>
        </is>
      </c>
      <c r="Q652" t="inlineStr">
        <is>
          <t>GROSS</t>
        </is>
      </c>
    </row>
    <row r="653">
      <c r="A653" t="inlineStr">
        <is>
          <t>150316825069</t>
        </is>
      </c>
      <c r="B653" t="inlineStr">
        <is>
          <t>TCX</t>
        </is>
      </c>
      <c r="C653" t="inlineStr">
        <is>
          <t>BRGX</t>
        </is>
      </c>
      <c r="D653" s="6" t="n">
        <v>46252</v>
      </c>
      <c r="E653" t="inlineStr">
        <is>
          <t>CR</t>
        </is>
      </c>
      <c r="F653" t="inlineStr">
        <is>
          <t>GBP</t>
        </is>
      </c>
      <c r="G653" s="7" t="n">
        <v>6944223.663</v>
      </c>
      <c r="H653" t="inlineStr">
        <is>
          <t>GBP</t>
        </is>
      </c>
      <c r="I653" s="7" t="n">
        <v>6944223.663</v>
      </c>
      <c r="J653" s="8" t="n">
        <v>46252.57462962963</v>
      </c>
      <c r="K653" t="inlineStr">
        <is>
          <t>CF260818 00647</t>
        </is>
      </c>
      <c r="L653" t="inlineStr">
        <is>
          <t>GL.NOSTRO.GBP.BRGX.004</t>
        </is>
      </c>
      <c r="M653" t="inlineStr">
        <is>
          <t>Oriel Trust</t>
        </is>
      </c>
      <c r="N653" t="inlineStr">
        <is>
          <t>BRGXTRSY</t>
        </is>
      </c>
      <c r="O653" t="inlineStr">
        <is>
          <t>NEW</t>
        </is>
      </c>
      <c r="P653" t="inlineStr">
        <is>
          <t>NT26081800295</t>
        </is>
      </c>
      <c r="Q653" t="inlineStr">
        <is>
          <t>NETTER</t>
        </is>
      </c>
    </row>
    <row r="654">
      <c r="A654" t="inlineStr">
        <is>
          <t>898317028833</t>
        </is>
      </c>
      <c r="B654" t="inlineStr">
        <is>
          <t>TCX</t>
        </is>
      </c>
      <c r="C654" t="inlineStr">
        <is>
          <t>BRAA</t>
        </is>
      </c>
      <c r="D654" s="6" t="n">
        <v>46252</v>
      </c>
      <c r="E654" t="inlineStr">
        <is>
          <t>CR</t>
        </is>
      </c>
      <c r="F654" t="inlineStr">
        <is>
          <t>GBP</t>
        </is>
      </c>
      <c r="G654" s="7" t="n">
        <v>29044316.941</v>
      </c>
      <c r="H654" t="inlineStr">
        <is>
          <t>GBP</t>
        </is>
      </c>
      <c r="I654" s="7" t="n">
        <v>29044316.941</v>
      </c>
      <c r="J654" s="8" t="n">
        <v>46252.30302083334</v>
      </c>
      <c r="K654" t="inlineStr">
        <is>
          <t>CF260818 00648</t>
        </is>
      </c>
      <c r="L654" t="inlineStr">
        <is>
          <t>GL.NOSTRO.GBP.BRAA.008</t>
        </is>
      </c>
      <c r="M654" t="inlineStr">
        <is>
          <t>Yarrow Clearing</t>
        </is>
      </c>
      <c r="N654" t="inlineStr">
        <is>
          <t>BRAAMM</t>
        </is>
      </c>
      <c r="O654" t="inlineStr">
        <is>
          <t>AMEND</t>
        </is>
      </c>
      <c r="P654" t="inlineStr">
        <is>
          <t>NT26081800309</t>
        </is>
      </c>
      <c r="Q654" t="inlineStr">
        <is>
          <t>NETTER</t>
        </is>
      </c>
    </row>
    <row r="655">
      <c r="A655" t="inlineStr">
        <is>
          <t>468341071172</t>
        </is>
      </c>
      <c r="B655" t="inlineStr">
        <is>
          <t>TCC</t>
        </is>
      </c>
      <c r="C655" t="inlineStr">
        <is>
          <t>BRCC</t>
        </is>
      </c>
      <c r="D655" s="6" t="n">
        <v>46252</v>
      </c>
      <c r="E655" t="inlineStr">
        <is>
          <t>DR</t>
        </is>
      </c>
      <c r="F655" t="inlineStr">
        <is>
          <t>EUR</t>
        </is>
      </c>
      <c r="G655" s="7" t="n">
        <v>-50336817.805</v>
      </c>
      <c r="H655" t="inlineStr">
        <is>
          <t>GBP</t>
        </is>
      </c>
      <c r="I655" s="7" t="n">
        <v>-43188989.677</v>
      </c>
      <c r="J655" s="8" t="n">
        <v>46252.46929398148</v>
      </c>
      <c r="K655" t="inlineStr">
        <is>
          <t>CF260818 00649</t>
        </is>
      </c>
      <c r="L655" t="inlineStr">
        <is>
          <t>GL.NOSTRO.EUR.BRCC.007</t>
        </is>
      </c>
      <c r="M655" t="inlineStr">
        <is>
          <t>Alder Trust</t>
        </is>
      </c>
      <c r="N655" t="inlineStr">
        <is>
          <t>BRCC</t>
        </is>
      </c>
      <c r="O655" t="inlineStr">
        <is>
          <t>NEW</t>
        </is>
      </c>
      <c r="P655" t="inlineStr">
        <is>
          <t>NT26081800287</t>
        </is>
      </c>
      <c r="Q655" t="inlineStr">
        <is>
          <t>GROSS</t>
        </is>
      </c>
    </row>
    <row r="656">
      <c r="A656" t="inlineStr">
        <is>
          <t>150316825069</t>
        </is>
      </c>
      <c r="B656" t="inlineStr">
        <is>
          <t>TCG</t>
        </is>
      </c>
      <c r="C656" t="inlineStr">
        <is>
          <t>BRGX</t>
        </is>
      </c>
      <c r="D656" s="6" t="n">
        <v>46252</v>
      </c>
      <c r="E656" t="inlineStr">
        <is>
          <t>DR</t>
        </is>
      </c>
      <c r="F656" t="inlineStr">
        <is>
          <t>GBP</t>
        </is>
      </c>
      <c r="G656" s="7" t="n">
        <v>-5779896.829</v>
      </c>
      <c r="H656" t="inlineStr">
        <is>
          <t>GBP</t>
        </is>
      </c>
      <c r="I656" s="7" t="n">
        <v>-5779896.829</v>
      </c>
      <c r="J656" s="8" t="n">
        <v>46252.49696759259</v>
      </c>
      <c r="K656" t="inlineStr">
        <is>
          <t>CF260818 00650</t>
        </is>
      </c>
      <c r="L656" t="inlineStr">
        <is>
          <t>GL.NOSTRO.GBP.BRGX.007</t>
        </is>
      </c>
      <c r="M656" t="inlineStr">
        <is>
          <t>Nightjar Bank</t>
        </is>
      </c>
      <c r="N656" t="inlineStr">
        <is>
          <t>BRGXTRSY</t>
        </is>
      </c>
      <c r="O656" t="inlineStr">
        <is>
          <t>AMEND</t>
        </is>
      </c>
      <c r="Q656" t="inlineStr">
        <is>
          <t>GROSS</t>
        </is>
      </c>
    </row>
    <row r="657">
      <c r="A657" t="inlineStr">
        <is>
          <t>499062838623</t>
        </is>
      </c>
      <c r="B657" t="inlineStr">
        <is>
          <t>TCX</t>
        </is>
      </c>
      <c r="C657" t="inlineStr">
        <is>
          <t>BRBX</t>
        </is>
      </c>
      <c r="D657" s="6" t="n">
        <v>46252</v>
      </c>
      <c r="E657" t="inlineStr">
        <is>
          <t>DR</t>
        </is>
      </c>
      <c r="F657" t="inlineStr">
        <is>
          <t>USD</t>
        </is>
      </c>
      <c r="G657" s="7" t="n">
        <v>-4621283.341</v>
      </c>
      <c r="H657" t="inlineStr">
        <is>
          <t>GBP</t>
        </is>
      </c>
      <c r="I657" s="7" t="n">
        <v>-3623086.139</v>
      </c>
      <c r="J657" s="8" t="n">
        <v>46252.41792824074</v>
      </c>
      <c r="K657" t="inlineStr">
        <is>
          <t>CF260818 00651</t>
        </is>
      </c>
      <c r="L657" t="inlineStr">
        <is>
          <t>GL.NOSTRO.USD.BRBX.004</t>
        </is>
      </c>
      <c r="M657" t="inlineStr">
        <is>
          <t>Thornbury Bank</t>
        </is>
      </c>
      <c r="N657" t="inlineStr">
        <is>
          <t>BRBXTRSY</t>
        </is>
      </c>
      <c r="O657" t="inlineStr">
        <is>
          <t>NEW</t>
        </is>
      </c>
      <c r="P657" t="inlineStr">
        <is>
          <t>NT26081800293</t>
        </is>
      </c>
      <c r="Q657" t="inlineStr">
        <is>
          <t>GROSS</t>
        </is>
      </c>
    </row>
    <row r="658">
      <c r="A658" t="inlineStr">
        <is>
          <t>726928343448</t>
        </is>
      </c>
      <c r="B658" t="inlineStr">
        <is>
          <t>TCC</t>
        </is>
      </c>
      <c r="C658" t="inlineStr">
        <is>
          <t>BRGX</t>
        </is>
      </c>
      <c r="D658" s="6" t="n">
        <v>46252</v>
      </c>
      <c r="E658" t="inlineStr">
        <is>
          <t>CR</t>
        </is>
      </c>
      <c r="F658" t="inlineStr">
        <is>
          <t>EUR</t>
        </is>
      </c>
      <c r="G658" s="7" t="n">
        <v>4447250.057</v>
      </c>
      <c r="H658" t="inlineStr">
        <is>
          <t>GBP</t>
        </is>
      </c>
      <c r="I658" s="7" t="n">
        <v>3815740.549</v>
      </c>
      <c r="J658" s="8" t="n">
        <v>46252.650625</v>
      </c>
      <c r="K658" t="inlineStr">
        <is>
          <t>CF260818 00652</t>
        </is>
      </c>
      <c r="L658" t="inlineStr">
        <is>
          <t>GL.NOSTRO.EUR.BRGX.002</t>
        </is>
      </c>
      <c r="M658" t="inlineStr">
        <is>
          <t>Harrow Clearing</t>
        </is>
      </c>
      <c r="N658" t="inlineStr">
        <is>
          <t>BRGX</t>
        </is>
      </c>
      <c r="O658" t="inlineStr">
        <is>
          <t>NEW</t>
        </is>
      </c>
      <c r="Q658" t="inlineStr">
        <is>
          <t>NETTER</t>
        </is>
      </c>
    </row>
    <row r="659">
      <c r="A659" t="inlineStr">
        <is>
          <t>265771593142</t>
        </is>
      </c>
      <c r="B659" t="inlineStr">
        <is>
          <t>TCX</t>
        </is>
      </c>
      <c r="C659" t="inlineStr">
        <is>
          <t>BRYG</t>
        </is>
      </c>
      <c r="D659" s="6" t="n">
        <v>46252</v>
      </c>
      <c r="E659" t="inlineStr">
        <is>
          <t>CR</t>
        </is>
      </c>
      <c r="F659" t="inlineStr">
        <is>
          <t>EUR</t>
        </is>
      </c>
      <c r="G659" s="7" t="n">
        <v>25272420.858</v>
      </c>
      <c r="H659" t="inlineStr">
        <is>
          <t>GBP</t>
        </is>
      </c>
      <c r="I659" s="7" t="n">
        <v>21683737.096</v>
      </c>
      <c r="J659" s="8" t="n">
        <v>46252.41165509259</v>
      </c>
      <c r="K659" t="inlineStr">
        <is>
          <t>CF260818 00653</t>
        </is>
      </c>
      <c r="L659" t="inlineStr">
        <is>
          <t>GL.NOSTRO.EUR.BRYG.005</t>
        </is>
      </c>
      <c r="M659" t="inlineStr">
        <is>
          <t>Nightjar Bank</t>
        </is>
      </c>
      <c r="N659" t="inlineStr">
        <is>
          <t>BRYG</t>
        </is>
      </c>
      <c r="O659" t="inlineStr">
        <is>
          <t>NEW</t>
        </is>
      </c>
      <c r="Q659" t="inlineStr">
        <is>
          <t>GROSS</t>
        </is>
      </c>
    </row>
    <row r="660">
      <c r="A660" t="inlineStr">
        <is>
          <t>910703979141</t>
        </is>
      </c>
      <c r="B660" t="inlineStr">
        <is>
          <t>TCP</t>
        </is>
      </c>
      <c r="C660" t="inlineStr">
        <is>
          <t>BRCC</t>
        </is>
      </c>
      <c r="D660" s="6" t="n">
        <v>46252</v>
      </c>
      <c r="E660" t="inlineStr">
        <is>
          <t>CR</t>
        </is>
      </c>
      <c r="F660" t="inlineStr">
        <is>
          <t>CHF</t>
        </is>
      </c>
      <c r="G660" s="7" t="n">
        <v>9054749.391000001</v>
      </c>
      <c r="H660" t="inlineStr">
        <is>
          <t>GBP</t>
        </is>
      </c>
      <c r="I660" s="7" t="n">
        <v>8122110.204</v>
      </c>
      <c r="J660" s="8" t="n">
        <v>46252.33706018519</v>
      </c>
      <c r="K660" t="inlineStr">
        <is>
          <t>CF260818 00654</t>
        </is>
      </c>
      <c r="L660" t="inlineStr">
        <is>
          <t>GL.NOSTRO.CHF.BRCC.007</t>
        </is>
      </c>
      <c r="M660" t="inlineStr">
        <is>
          <t>Yarrow Bank</t>
        </is>
      </c>
      <c r="N660" t="inlineStr">
        <is>
          <t>BRCCMM</t>
        </is>
      </c>
      <c r="O660" t="inlineStr">
        <is>
          <t>AMEND</t>
        </is>
      </c>
      <c r="P660" t="inlineStr">
        <is>
          <t>NT26081800294</t>
        </is>
      </c>
      <c r="Q660" t="inlineStr">
        <is>
          <t>INTERNAL</t>
        </is>
      </c>
    </row>
    <row r="661">
      <c r="A661" t="inlineStr">
        <is>
          <t>794226063698</t>
        </is>
      </c>
      <c r="B661" t="inlineStr">
        <is>
          <t>TCP</t>
        </is>
      </c>
      <c r="C661" t="inlineStr">
        <is>
          <t>BRMD</t>
        </is>
      </c>
      <c r="D661" s="6" t="n">
        <v>46252</v>
      </c>
      <c r="E661" t="inlineStr">
        <is>
          <t>DR</t>
        </is>
      </c>
      <c r="F661" t="inlineStr">
        <is>
          <t>AED</t>
        </is>
      </c>
      <c r="G661" s="7" t="n">
        <v>-417889100.6</v>
      </c>
      <c r="H661" t="inlineStr">
        <is>
          <t>GBP</t>
        </is>
      </c>
      <c r="I661" s="7" t="n">
        <v>-89010378.428</v>
      </c>
      <c r="J661" s="8" t="n">
        <v>46252.36708333333</v>
      </c>
      <c r="K661" t="inlineStr">
        <is>
          <t>CF260818 00655</t>
        </is>
      </c>
      <c r="L661" t="inlineStr">
        <is>
          <t>GL.NOSTRO.AED.BRMD.005</t>
        </is>
      </c>
      <c r="M661" t="inlineStr">
        <is>
          <t>Elmwood Trust</t>
        </is>
      </c>
      <c r="N661" t="inlineStr">
        <is>
          <t>BRMDMM</t>
        </is>
      </c>
      <c r="O661" t="inlineStr">
        <is>
          <t>NEW</t>
        </is>
      </c>
      <c r="P661" t="inlineStr">
        <is>
          <t>NT26081800295</t>
        </is>
      </c>
      <c r="Q661" t="inlineStr">
        <is>
          <t>NETTER</t>
        </is>
      </c>
    </row>
    <row r="662">
      <c r="A662" t="inlineStr">
        <is>
          <t>132544340094</t>
        </is>
      </c>
      <c r="B662" t="inlineStr">
        <is>
          <t>TCC</t>
        </is>
      </c>
      <c r="C662" t="inlineStr">
        <is>
          <t>BRYG</t>
        </is>
      </c>
      <c r="D662" s="6" t="n">
        <v>46252</v>
      </c>
      <c r="E662" t="inlineStr">
        <is>
          <t>CR</t>
        </is>
      </c>
      <c r="F662" t="inlineStr">
        <is>
          <t>CZK</t>
        </is>
      </c>
      <c r="G662" s="7" t="n">
        <v>86447459.118</v>
      </c>
      <c r="H662" t="inlineStr">
        <is>
          <t>GBP</t>
        </is>
      </c>
      <c r="I662" s="7" t="n">
        <v>2930568.864</v>
      </c>
      <c r="J662" s="8" t="n">
        <v>46252.76614583333</v>
      </c>
      <c r="K662" t="inlineStr">
        <is>
          <t>CF260818 00656</t>
        </is>
      </c>
      <c r="L662" t="inlineStr">
        <is>
          <t>GL.NOSTRO.CZK.BRYG.004</t>
        </is>
      </c>
      <c r="M662" t="inlineStr">
        <is>
          <t>Sablewood Clearing</t>
        </is>
      </c>
      <c r="N662" t="inlineStr">
        <is>
          <t>BRYG</t>
        </is>
      </c>
      <c r="O662" t="inlineStr">
        <is>
          <t>NEW</t>
        </is>
      </c>
      <c r="P662" t="inlineStr">
        <is>
          <t>NT26081800308</t>
        </is>
      </c>
      <c r="Q662" t="inlineStr">
        <is>
          <t>NETTER</t>
        </is>
      </c>
    </row>
    <row r="663">
      <c r="A663" t="inlineStr">
        <is>
          <t>132544340094</t>
        </is>
      </c>
      <c r="B663" t="inlineStr">
        <is>
          <t>TCG</t>
        </is>
      </c>
      <c r="C663" t="inlineStr">
        <is>
          <t>BRYG</t>
        </is>
      </c>
      <c r="D663" s="6" t="n">
        <v>46252</v>
      </c>
      <c r="E663" t="inlineStr">
        <is>
          <t>DR</t>
        </is>
      </c>
      <c r="F663" t="inlineStr">
        <is>
          <t>CZK</t>
        </is>
      </c>
      <c r="G663" s="7" t="n">
        <v>-1789534.04</v>
      </c>
      <c r="H663" t="inlineStr">
        <is>
          <t>GBP</t>
        </is>
      </c>
      <c r="I663" s="7" t="n">
        <v>-60665.204</v>
      </c>
      <c r="J663" s="8" t="n">
        <v>46252.64292824074</v>
      </c>
      <c r="K663" t="inlineStr">
        <is>
          <t>CF260818 00657</t>
        </is>
      </c>
      <c r="L663" t="inlineStr">
        <is>
          <t>GL.NOSTRO.CZK.BRYG.004</t>
        </is>
      </c>
      <c r="M663" t="inlineStr">
        <is>
          <t>Ironbark Commercial Bank</t>
        </is>
      </c>
      <c r="N663" t="inlineStr">
        <is>
          <t>BRYGCASH</t>
        </is>
      </c>
      <c r="O663" t="inlineStr">
        <is>
          <t>AMEND</t>
        </is>
      </c>
      <c r="Q663" t="inlineStr">
        <is>
          <t>GROSS</t>
        </is>
      </c>
    </row>
    <row r="664">
      <c r="A664" t="inlineStr">
        <is>
          <t>359365220160</t>
        </is>
      </c>
      <c r="B664" t="inlineStr">
        <is>
          <t>TCG</t>
        </is>
      </c>
      <c r="C664" t="inlineStr">
        <is>
          <t>BRGX</t>
        </is>
      </c>
      <c r="D664" s="6" t="n">
        <v>46252</v>
      </c>
      <c r="E664" t="inlineStr">
        <is>
          <t>DR</t>
        </is>
      </c>
      <c r="F664" t="inlineStr">
        <is>
          <t>EUR</t>
        </is>
      </c>
      <c r="G664" s="7" t="n">
        <v>-101945.106</v>
      </c>
      <c r="H664" t="inlineStr">
        <is>
          <t>GBP</t>
        </is>
      </c>
      <c r="I664" s="7" t="n">
        <v>-87468.901</v>
      </c>
      <c r="J664" s="8" t="n">
        <v>46252.60716435185</v>
      </c>
      <c r="K664" t="inlineStr">
        <is>
          <t>CF260818 00658</t>
        </is>
      </c>
      <c r="L664" t="inlineStr">
        <is>
          <t>GL.NOSTRO.EUR.BRGX.004</t>
        </is>
      </c>
      <c r="M664" t="inlineStr">
        <is>
          <t>Zephyr Bank</t>
        </is>
      </c>
      <c r="N664" t="inlineStr">
        <is>
          <t>BRGXTRSY</t>
        </is>
      </c>
      <c r="O664" t="inlineStr">
        <is>
          <t>CANCEL</t>
        </is>
      </c>
      <c r="Q664" t="inlineStr">
        <is>
          <t>NETTER</t>
        </is>
      </c>
    </row>
    <row r="665">
      <c r="A665" t="inlineStr">
        <is>
          <t>284925023085</t>
        </is>
      </c>
      <c r="B665" t="inlineStr">
        <is>
          <t>TCG</t>
        </is>
      </c>
      <c r="C665" t="inlineStr">
        <is>
          <t>BRMD</t>
        </is>
      </c>
      <c r="D665" s="6" t="n">
        <v>46252</v>
      </c>
      <c r="E665" t="inlineStr">
        <is>
          <t>CR</t>
        </is>
      </c>
      <c r="F665" t="inlineStr">
        <is>
          <t>MXN</t>
        </is>
      </c>
      <c r="G665" s="7" t="n">
        <v>89600.57399999999</v>
      </c>
      <c r="H665" t="inlineStr">
        <is>
          <t>GBP</t>
        </is>
      </c>
      <c r="I665" s="7" t="n">
        <v>3834.905</v>
      </c>
      <c r="J665" s="8" t="n">
        <v>46252.30395833333</v>
      </c>
      <c r="K665" t="inlineStr">
        <is>
          <t>CF260818 00659</t>
        </is>
      </c>
      <c r="L665" t="inlineStr">
        <is>
          <t>GL.NOSTRO.MXN.BRMD.008</t>
        </is>
      </c>
      <c r="M665" t="inlineStr">
        <is>
          <t>Wrenfield Settlement Bank</t>
        </is>
      </c>
      <c r="N665" t="inlineStr">
        <is>
          <t>BRMDMM</t>
        </is>
      </c>
      <c r="O665" t="inlineStr">
        <is>
          <t>NEW</t>
        </is>
      </c>
      <c r="P665" t="inlineStr">
        <is>
          <t>NT26081800282</t>
        </is>
      </c>
      <c r="Q665" t="inlineStr">
        <is>
          <t>GROSS</t>
        </is>
      </c>
    </row>
    <row r="666">
      <c r="A666" t="inlineStr">
        <is>
          <t>968942362772</t>
        </is>
      </c>
      <c r="B666" t="inlineStr">
        <is>
          <t>TCQ</t>
        </is>
      </c>
      <c r="C666" t="inlineStr">
        <is>
          <t>BRYG</t>
        </is>
      </c>
      <c r="D666" s="6" t="n">
        <v>46252</v>
      </c>
      <c r="E666" t="inlineStr">
        <is>
          <t>DR</t>
        </is>
      </c>
      <c r="F666" t="inlineStr">
        <is>
          <t>EUR</t>
        </is>
      </c>
      <c r="G666" s="7" t="n">
        <v>-339361.934</v>
      </c>
      <c r="H666" t="inlineStr">
        <is>
          <t>GBP</t>
        </is>
      </c>
      <c r="I666" s="7" t="n">
        <v>-291172.539</v>
      </c>
      <c r="J666" s="8" t="n">
        <v>46252.47586805555</v>
      </c>
      <c r="K666" t="inlineStr">
        <is>
          <t>CF260818 00660</t>
        </is>
      </c>
      <c r="L666" t="inlineStr">
        <is>
          <t>GL.NOSTRO.EUR.BRYG.009</t>
        </is>
      </c>
      <c r="M666" t="inlineStr">
        <is>
          <t>Sablewood Clearing</t>
        </is>
      </c>
      <c r="N666" t="inlineStr">
        <is>
          <t>BRYGCASH</t>
        </is>
      </c>
      <c r="O666" t="inlineStr">
        <is>
          <t>NEW</t>
        </is>
      </c>
      <c r="P666" t="inlineStr">
        <is>
          <t>NT26081800300</t>
        </is>
      </c>
      <c r="Q666" t="inlineStr">
        <is>
          <t>NETTER</t>
        </is>
      </c>
    </row>
    <row r="667">
      <c r="A667" t="inlineStr">
        <is>
          <t>898317028833</t>
        </is>
      </c>
      <c r="B667" t="inlineStr">
        <is>
          <t>TCX</t>
        </is>
      </c>
      <c r="C667" t="inlineStr">
        <is>
          <t>BRAA</t>
        </is>
      </c>
      <c r="D667" s="6" t="n">
        <v>46252</v>
      </c>
      <c r="E667" t="inlineStr">
        <is>
          <t>CR</t>
        </is>
      </c>
      <c r="F667" t="inlineStr">
        <is>
          <t>GBP</t>
        </is>
      </c>
      <c r="G667" s="7" t="n">
        <v>1071230.918</v>
      </c>
      <c r="H667" t="inlineStr">
        <is>
          <t>GBP</t>
        </is>
      </c>
      <c r="I667" s="7" t="n">
        <v>1071230.918</v>
      </c>
      <c r="J667" s="8" t="n">
        <v>46252.41299768518</v>
      </c>
      <c r="K667" t="inlineStr">
        <is>
          <t>CF260818 00661</t>
        </is>
      </c>
      <c r="L667" t="inlineStr">
        <is>
          <t>GL.NOSTRO.GBP.BRAA.006</t>
        </is>
      </c>
      <c r="M667" t="inlineStr">
        <is>
          <t>Elmwood Trust</t>
        </is>
      </c>
      <c r="N667" t="inlineStr">
        <is>
          <t>BRAAMM</t>
        </is>
      </c>
      <c r="O667" t="inlineStr">
        <is>
          <t>NEW</t>
        </is>
      </c>
      <c r="Q667" t="inlineStr">
        <is>
          <t>NETTER</t>
        </is>
      </c>
    </row>
    <row r="668">
      <c r="A668" t="inlineStr">
        <is>
          <t>120047354818</t>
        </is>
      </c>
      <c r="B668" t="inlineStr">
        <is>
          <t>TCP</t>
        </is>
      </c>
      <c r="C668" t="inlineStr">
        <is>
          <t>BRNK</t>
        </is>
      </c>
      <c r="D668" s="6" t="n">
        <v>46252</v>
      </c>
      <c r="E668" t="inlineStr">
        <is>
          <t>DR</t>
        </is>
      </c>
      <c r="F668" t="inlineStr">
        <is>
          <t>USD</t>
        </is>
      </c>
      <c r="G668" s="7" t="n">
        <v>-1182708.177</v>
      </c>
      <c r="H668" t="inlineStr">
        <is>
          <t>GBP</t>
        </is>
      </c>
      <c r="I668" s="7" t="n">
        <v>-927243.211</v>
      </c>
      <c r="J668" s="8" t="n">
        <v>46252.40579861111</v>
      </c>
      <c r="K668" t="inlineStr">
        <is>
          <t>CF260818 00662</t>
        </is>
      </c>
      <c r="L668" t="inlineStr">
        <is>
          <t>GL.NOSTRO.USD.BRNK.002</t>
        </is>
      </c>
      <c r="M668" t="inlineStr">
        <is>
          <t>Elmwood Clearing</t>
        </is>
      </c>
      <c r="N668" t="inlineStr">
        <is>
          <t>BRNKTRSY</t>
        </is>
      </c>
      <c r="O668" t="inlineStr">
        <is>
          <t>CANCEL</t>
        </is>
      </c>
      <c r="Q668" t="inlineStr">
        <is>
          <t>GROSS</t>
        </is>
      </c>
    </row>
    <row r="669">
      <c r="A669" t="inlineStr">
        <is>
          <t>927538182434</t>
        </is>
      </c>
      <c r="B669" t="inlineStr">
        <is>
          <t>TCC</t>
        </is>
      </c>
      <c r="C669" t="inlineStr">
        <is>
          <t>BRNK</t>
        </is>
      </c>
      <c r="D669" s="6" t="n">
        <v>46252</v>
      </c>
      <c r="E669" t="inlineStr">
        <is>
          <t>DR</t>
        </is>
      </c>
      <c r="F669" t="inlineStr">
        <is>
          <t>CNY</t>
        </is>
      </c>
      <c r="G669" s="7" t="n">
        <v>-986257344.566</v>
      </c>
      <c r="H669" t="inlineStr">
        <is>
          <t>GBP</t>
        </is>
      </c>
      <c r="I669" s="7" t="n">
        <v>-107502050.558</v>
      </c>
      <c r="J669" s="8" t="n">
        <v>46252.33670138889</v>
      </c>
      <c r="K669" t="inlineStr">
        <is>
          <t>CF260818 00663</t>
        </is>
      </c>
      <c r="L669" t="inlineStr">
        <is>
          <t>GL.NOSTRO.CNY.BRNK.001</t>
        </is>
      </c>
      <c r="M669" t="inlineStr">
        <is>
          <t>Thornbury Bank</t>
        </is>
      </c>
      <c r="N669" t="inlineStr">
        <is>
          <t>BRNKMM</t>
        </is>
      </c>
      <c r="O669" t="inlineStr">
        <is>
          <t>NEW</t>
        </is>
      </c>
      <c r="P669" t="inlineStr">
        <is>
          <t>NT26081800278</t>
        </is>
      </c>
      <c r="Q669" t="inlineStr">
        <is>
          <t>NETTER</t>
        </is>
      </c>
    </row>
    <row r="670">
      <c r="A670" t="inlineStr">
        <is>
          <t>910703979141</t>
        </is>
      </c>
      <c r="B670" t="inlineStr">
        <is>
          <t>TCC</t>
        </is>
      </c>
      <c r="C670" t="inlineStr">
        <is>
          <t>BRCC</t>
        </is>
      </c>
      <c r="D670" s="6" t="n">
        <v>46252</v>
      </c>
      <c r="E670" t="inlineStr">
        <is>
          <t>DR</t>
        </is>
      </c>
      <c r="F670" t="inlineStr">
        <is>
          <t>CHF</t>
        </is>
      </c>
      <c r="G670" s="7" t="n">
        <v>-3215.102</v>
      </c>
      <c r="H670" t="inlineStr">
        <is>
          <t>GBP</t>
        </is>
      </c>
      <c r="I670" s="7" t="n">
        <v>-2883.946</v>
      </c>
      <c r="J670" s="8" t="n">
        <v>46252.53886574074</v>
      </c>
      <c r="K670" t="inlineStr">
        <is>
          <t>CF260818 00664</t>
        </is>
      </c>
      <c r="L670" t="inlineStr">
        <is>
          <t>GL.NOSTRO.CHF.BRCC.004</t>
        </is>
      </c>
      <c r="M670" t="inlineStr">
        <is>
          <t>Elmwood Settlement Bank</t>
        </is>
      </c>
      <c r="N670" t="inlineStr">
        <is>
          <t>BRCCTRSY</t>
        </is>
      </c>
      <c r="O670" t="inlineStr">
        <is>
          <t>NEW</t>
        </is>
      </c>
      <c r="Q670" t="inlineStr">
        <is>
          <t>GROSS</t>
        </is>
      </c>
    </row>
    <row r="671">
      <c r="A671" t="inlineStr">
        <is>
          <t>824840705580</t>
        </is>
      </c>
      <c r="B671" t="inlineStr">
        <is>
          <t>TCC</t>
        </is>
      </c>
      <c r="C671" t="inlineStr">
        <is>
          <t>BRGL</t>
        </is>
      </c>
      <c r="D671" s="6" t="n">
        <v>46252</v>
      </c>
      <c r="E671" t="inlineStr">
        <is>
          <t>DR</t>
        </is>
      </c>
      <c r="F671" t="inlineStr">
        <is>
          <t>EUR</t>
        </is>
      </c>
      <c r="G671" s="7" t="n">
        <v>-1220257.778</v>
      </c>
      <c r="H671" t="inlineStr">
        <is>
          <t>GBP</t>
        </is>
      </c>
      <c r="I671" s="7" t="n">
        <v>-1046981.174</v>
      </c>
      <c r="J671" s="8" t="n">
        <v>46252.37085648148</v>
      </c>
      <c r="K671" t="inlineStr">
        <is>
          <t>CF260818 00665</t>
        </is>
      </c>
      <c r="L671" t="inlineStr">
        <is>
          <t>GL.NOSTRO.EUR.BRGL.009</t>
        </is>
      </c>
      <c r="M671" t="inlineStr">
        <is>
          <t>Granite Bank</t>
        </is>
      </c>
      <c r="N671" t="inlineStr">
        <is>
          <t>BRGLTRSY</t>
        </is>
      </c>
      <c r="O671" t="inlineStr">
        <is>
          <t>AMEND</t>
        </is>
      </c>
      <c r="Q671" t="inlineStr">
        <is>
          <t>GROSS</t>
        </is>
      </c>
    </row>
    <row r="672">
      <c r="A672" t="inlineStr">
        <is>
          <t>499062838623</t>
        </is>
      </c>
      <c r="B672" t="inlineStr">
        <is>
          <t>TCG</t>
        </is>
      </c>
      <c r="C672" t="inlineStr">
        <is>
          <t>BRBX</t>
        </is>
      </c>
      <c r="D672" s="6" t="n">
        <v>46252</v>
      </c>
      <c r="E672" t="inlineStr">
        <is>
          <t>DR</t>
        </is>
      </c>
      <c r="F672" t="inlineStr">
        <is>
          <t>USD</t>
        </is>
      </c>
      <c r="G672" s="7" t="n">
        <v>-190906178.31</v>
      </c>
      <c r="H672" t="inlineStr">
        <is>
          <t>GBP</t>
        </is>
      </c>
      <c r="I672" s="7" t="n">
        <v>-149670443.795</v>
      </c>
      <c r="J672" s="8" t="n">
        <v>46252.48637731482</v>
      </c>
      <c r="K672" t="inlineStr">
        <is>
          <t>CF260818 00666</t>
        </is>
      </c>
      <c r="L672" t="inlineStr">
        <is>
          <t>GL.NOSTRO.USD.BRBX.002</t>
        </is>
      </c>
      <c r="M672" t="inlineStr">
        <is>
          <t>Elmwood Trust</t>
        </is>
      </c>
      <c r="N672" t="inlineStr">
        <is>
          <t>BRBXCASH</t>
        </is>
      </c>
      <c r="O672" t="inlineStr">
        <is>
          <t>NEW</t>
        </is>
      </c>
      <c r="Q672" t="inlineStr">
        <is>
          <t>NETTER</t>
        </is>
      </c>
    </row>
    <row r="673">
      <c r="A673" t="inlineStr">
        <is>
          <t>953625291146</t>
        </is>
      </c>
      <c r="B673" t="inlineStr">
        <is>
          <t>TCG</t>
        </is>
      </c>
      <c r="C673" t="inlineStr">
        <is>
          <t>BRGL</t>
        </is>
      </c>
      <c r="D673" s="6" t="n">
        <v>46252</v>
      </c>
      <c r="E673" t="inlineStr">
        <is>
          <t>DR</t>
        </is>
      </c>
      <c r="F673" t="inlineStr">
        <is>
          <t>USD</t>
        </is>
      </c>
      <c r="G673" s="7" t="n">
        <v>-48146618.272</v>
      </c>
      <c r="H673" t="inlineStr">
        <is>
          <t>GBP</t>
        </is>
      </c>
      <c r="I673" s="7" t="n">
        <v>-37746948.725</v>
      </c>
      <c r="J673" s="8" t="n">
        <v>46252.67581018519</v>
      </c>
      <c r="K673" t="inlineStr">
        <is>
          <t>CF260818 00667</t>
        </is>
      </c>
      <c r="L673" t="inlineStr">
        <is>
          <t>GL.NOSTRO.USD.BRGL.002</t>
        </is>
      </c>
      <c r="M673" t="inlineStr">
        <is>
          <t>Fernway Settlement Bank</t>
        </is>
      </c>
      <c r="N673" t="inlineStr">
        <is>
          <t>BRGLTRSY</t>
        </is>
      </c>
      <c r="O673" t="inlineStr">
        <is>
          <t>NEW</t>
        </is>
      </c>
      <c r="Q673" t="inlineStr">
        <is>
          <t>NETTER</t>
        </is>
      </c>
    </row>
    <row r="674">
      <c r="A674" t="inlineStr">
        <is>
          <t>898317028833</t>
        </is>
      </c>
      <c r="B674" t="inlineStr">
        <is>
          <t>TCQ</t>
        </is>
      </c>
      <c r="C674" t="inlineStr">
        <is>
          <t>BRAA</t>
        </is>
      </c>
      <c r="D674" s="6" t="n">
        <v>46252</v>
      </c>
      <c r="E674" t="inlineStr">
        <is>
          <t>DR</t>
        </is>
      </c>
      <c r="F674" t="inlineStr">
        <is>
          <t>GBP</t>
        </is>
      </c>
      <c r="G674" s="7" t="n">
        <v>-2682372.331</v>
      </c>
      <c r="H674" t="inlineStr">
        <is>
          <t>GBP</t>
        </is>
      </c>
      <c r="I674" s="7" t="n">
        <v>-2682372.331</v>
      </c>
      <c r="J674" s="8" t="n">
        <v>46252.44924768519</v>
      </c>
      <c r="K674" t="inlineStr">
        <is>
          <t>CF260818 00668</t>
        </is>
      </c>
      <c r="L674" t="inlineStr">
        <is>
          <t>GL.NOSTRO.GBP.BRAA.005</t>
        </is>
      </c>
      <c r="M674" t="inlineStr">
        <is>
          <t>Granite Bank</t>
        </is>
      </c>
      <c r="N674" t="inlineStr">
        <is>
          <t>BRAATRSY</t>
        </is>
      </c>
      <c r="O674" t="inlineStr">
        <is>
          <t>NEW</t>
        </is>
      </c>
      <c r="P674" t="inlineStr">
        <is>
          <t>NT26081800303</t>
        </is>
      </c>
      <c r="Q674" t="inlineStr">
        <is>
          <t>GROSS</t>
        </is>
      </c>
    </row>
    <row r="675">
      <c r="A675" t="inlineStr">
        <is>
          <t>968942362772</t>
        </is>
      </c>
      <c r="B675" t="inlineStr">
        <is>
          <t>TCX</t>
        </is>
      </c>
      <c r="C675" t="inlineStr">
        <is>
          <t>BRYG</t>
        </is>
      </c>
      <c r="D675" s="6" t="n">
        <v>46252</v>
      </c>
      <c r="E675" t="inlineStr">
        <is>
          <t>DR</t>
        </is>
      </c>
      <c r="F675" t="inlineStr">
        <is>
          <t>EUR</t>
        </is>
      </c>
      <c r="G675" s="7" t="n">
        <v>-41034512.309</v>
      </c>
      <c r="H675" t="inlineStr">
        <is>
          <t>GBP</t>
        </is>
      </c>
      <c r="I675" s="7" t="n">
        <v>-35207611.561</v>
      </c>
      <c r="J675" s="8" t="n">
        <v>46252.49737268518</v>
      </c>
      <c r="K675" t="inlineStr">
        <is>
          <t>CF260818 00669</t>
        </is>
      </c>
      <c r="L675" t="inlineStr">
        <is>
          <t>GL.NOSTRO.EUR.BRYG.001</t>
        </is>
      </c>
      <c r="M675" t="inlineStr">
        <is>
          <t>Nightjar Bank</t>
        </is>
      </c>
      <c r="N675" t="inlineStr">
        <is>
          <t>BRYGTRSY</t>
        </is>
      </c>
      <c r="O675" t="inlineStr">
        <is>
          <t>NEW</t>
        </is>
      </c>
      <c r="P675" t="inlineStr">
        <is>
          <t>NT26081800289</t>
        </is>
      </c>
      <c r="Q675" t="inlineStr">
        <is>
          <t>GROSS</t>
        </is>
      </c>
    </row>
    <row r="676">
      <c r="A676" t="inlineStr">
        <is>
          <t>359365220160</t>
        </is>
      </c>
      <c r="B676" t="inlineStr">
        <is>
          <t>TCG</t>
        </is>
      </c>
      <c r="C676" t="inlineStr">
        <is>
          <t>BRGX</t>
        </is>
      </c>
      <c r="D676" s="6" t="n">
        <v>46252</v>
      </c>
      <c r="E676" t="inlineStr">
        <is>
          <t>DR</t>
        </is>
      </c>
      <c r="F676" t="inlineStr">
        <is>
          <t>EUR</t>
        </is>
      </c>
      <c r="G676" s="7" t="n">
        <v>-490044769.435</v>
      </c>
      <c r="H676" t="inlineStr">
        <is>
          <t>GBP</t>
        </is>
      </c>
      <c r="I676" s="7" t="n">
        <v>-420458412.175</v>
      </c>
      <c r="J676" s="8" t="n">
        <v>46252.36761574074</v>
      </c>
      <c r="K676" t="inlineStr">
        <is>
          <t>CF260818 00670</t>
        </is>
      </c>
      <c r="L676" t="inlineStr">
        <is>
          <t>GL.NOSTRO.EUR.BRGX.009</t>
        </is>
      </c>
      <c r="M676" t="inlineStr">
        <is>
          <t>Granite Clearing</t>
        </is>
      </c>
      <c r="N676" t="inlineStr">
        <is>
          <t>BRGXCASH</t>
        </is>
      </c>
      <c r="O676" t="inlineStr">
        <is>
          <t>NEW</t>
        </is>
      </c>
      <c r="P676" t="inlineStr">
        <is>
          <t>NT26081800315</t>
        </is>
      </c>
      <c r="Q676" t="inlineStr">
        <is>
          <t>GROSS</t>
        </is>
      </c>
    </row>
    <row r="677">
      <c r="A677" t="inlineStr">
        <is>
          <t>927538182434</t>
        </is>
      </c>
      <c r="B677" t="inlineStr">
        <is>
          <t>TCG</t>
        </is>
      </c>
      <c r="C677" t="inlineStr">
        <is>
          <t>BRNK</t>
        </is>
      </c>
      <c r="D677" s="6" t="n">
        <v>46252</v>
      </c>
      <c r="E677" t="inlineStr">
        <is>
          <t>DR</t>
        </is>
      </c>
      <c r="F677" t="inlineStr">
        <is>
          <t>CNY</t>
        </is>
      </c>
      <c r="G677" s="7" t="n">
        <v>-253513.087</v>
      </c>
      <c r="H677" t="inlineStr">
        <is>
          <t>GBP</t>
        </is>
      </c>
      <c r="I677" s="7" t="n">
        <v>-27632.926</v>
      </c>
      <c r="J677" s="8" t="n">
        <v>46252.48725694444</v>
      </c>
      <c r="K677" t="inlineStr">
        <is>
          <t>CF260818 00671</t>
        </is>
      </c>
      <c r="L677" t="inlineStr">
        <is>
          <t>GL.NOSTRO.CNY.BRNK.008</t>
        </is>
      </c>
      <c r="M677" t="inlineStr">
        <is>
          <t>Yarrow Clearing</t>
        </is>
      </c>
      <c r="N677" t="inlineStr">
        <is>
          <t>BRNKMM</t>
        </is>
      </c>
      <c r="O677" t="inlineStr">
        <is>
          <t>CANCEL</t>
        </is>
      </c>
      <c r="P677" t="inlineStr">
        <is>
          <t>NT26081800296</t>
        </is>
      </c>
      <c r="Q677" t="inlineStr">
        <is>
          <t>GROSS</t>
        </is>
      </c>
    </row>
    <row r="678">
      <c r="A678" t="inlineStr">
        <is>
          <t>171857983160</t>
        </is>
      </c>
      <c r="B678" t="inlineStr">
        <is>
          <t>TCC</t>
        </is>
      </c>
      <c r="C678" t="inlineStr">
        <is>
          <t>BRBX</t>
        </is>
      </c>
      <c r="D678" s="6" t="n">
        <v>46252</v>
      </c>
      <c r="E678" t="inlineStr">
        <is>
          <t>DR</t>
        </is>
      </c>
      <c r="F678" t="inlineStr">
        <is>
          <t>AUD</t>
        </is>
      </c>
      <c r="G678" s="7" t="n">
        <v>-991999968.9630001</v>
      </c>
      <c r="H678" t="inlineStr">
        <is>
          <t>GBP</t>
        </is>
      </c>
      <c r="I678" s="7" t="n">
        <v>-508895984.078</v>
      </c>
      <c r="J678" s="8" t="n">
        <v>46252.42087962963</v>
      </c>
      <c r="K678" t="inlineStr">
        <is>
          <t>CF260818 00672</t>
        </is>
      </c>
      <c r="L678" t="inlineStr">
        <is>
          <t>GL.NOSTRO.AUD.BRBX.002</t>
        </is>
      </c>
      <c r="M678" t="inlineStr">
        <is>
          <t>Juniper Settlement Bank</t>
        </is>
      </c>
      <c r="N678" t="inlineStr">
        <is>
          <t>BRBXCASH</t>
        </is>
      </c>
      <c r="O678" t="inlineStr">
        <is>
          <t>NEW</t>
        </is>
      </c>
      <c r="Q678" t="inlineStr">
        <is>
          <t>NETTER</t>
        </is>
      </c>
    </row>
    <row r="679">
      <c r="A679" t="inlineStr">
        <is>
          <t>468341071172</t>
        </is>
      </c>
      <c r="B679" t="inlineStr">
        <is>
          <t>TCP</t>
        </is>
      </c>
      <c r="C679" t="inlineStr">
        <is>
          <t>BRCC</t>
        </is>
      </c>
      <c r="D679" s="6" t="n">
        <v>46252</v>
      </c>
      <c r="E679" t="inlineStr">
        <is>
          <t>DR</t>
        </is>
      </c>
      <c r="F679" t="inlineStr">
        <is>
          <t>EUR</t>
        </is>
      </c>
      <c r="G679" s="7" t="n">
        <v>-680.549</v>
      </c>
      <c r="H679" t="inlineStr">
        <is>
          <t>GBP</t>
        </is>
      </c>
      <c r="I679" s="7" t="n">
        <v>-583.9109999999999</v>
      </c>
      <c r="J679" s="8" t="n">
        <v>46252.85552083333</v>
      </c>
      <c r="K679" t="inlineStr">
        <is>
          <t>CF260818 00673</t>
        </is>
      </c>
      <c r="L679" t="inlineStr">
        <is>
          <t>GL.NOSTRO.EUR.BRCC.001</t>
        </is>
      </c>
      <c r="M679" t="inlineStr">
        <is>
          <t>Redstart Trust</t>
        </is>
      </c>
      <c r="N679" t="inlineStr">
        <is>
          <t>BRCCMM</t>
        </is>
      </c>
      <c r="O679" t="inlineStr">
        <is>
          <t>NEW</t>
        </is>
      </c>
      <c r="P679" t="inlineStr">
        <is>
          <t>NT26081800297</t>
        </is>
      </c>
      <c r="Q679" t="inlineStr">
        <is>
          <t>GROSS</t>
        </is>
      </c>
    </row>
    <row r="680">
      <c r="A680" t="inlineStr">
        <is>
          <t>910703979141</t>
        </is>
      </c>
      <c r="B680" t="inlineStr">
        <is>
          <t>TCX</t>
        </is>
      </c>
      <c r="C680" t="inlineStr">
        <is>
          <t>BRCC</t>
        </is>
      </c>
      <c r="D680" s="6" t="n">
        <v>46252</v>
      </c>
      <c r="E680" t="inlineStr">
        <is>
          <t>DR</t>
        </is>
      </c>
      <c r="F680" t="inlineStr">
        <is>
          <t>CHF</t>
        </is>
      </c>
      <c r="G680" s="7" t="n">
        <v>-197.092</v>
      </c>
      <c r="H680" t="inlineStr">
        <is>
          <t>GBP</t>
        </is>
      </c>
      <c r="I680" s="7" t="n">
        <v>-176.792</v>
      </c>
      <c r="J680" s="8" t="n">
        <v>46252.39693287037</v>
      </c>
      <c r="K680" t="inlineStr">
        <is>
          <t>CF260818 00674</t>
        </is>
      </c>
      <c r="L680" t="inlineStr">
        <is>
          <t>GL.NOSTRO.CHF.BRCC.006</t>
        </is>
      </c>
      <c r="M680" t="inlineStr">
        <is>
          <t>Fernway Settlement Bank</t>
        </is>
      </c>
      <c r="N680" t="inlineStr">
        <is>
          <t>BRCCMM</t>
        </is>
      </c>
      <c r="O680" t="inlineStr">
        <is>
          <t>NEW</t>
        </is>
      </c>
      <c r="P680" t="inlineStr">
        <is>
          <t>NT26081800315</t>
        </is>
      </c>
      <c r="Q680" t="inlineStr">
        <is>
          <t>GROSS</t>
        </is>
      </c>
    </row>
    <row r="681">
      <c r="A681" t="inlineStr">
        <is>
          <t>359365220160</t>
        </is>
      </c>
      <c r="B681" t="inlineStr">
        <is>
          <t>TCQ</t>
        </is>
      </c>
      <c r="C681" t="inlineStr">
        <is>
          <t>BRGX</t>
        </is>
      </c>
      <c r="D681" s="6" t="n">
        <v>46252</v>
      </c>
      <c r="E681" t="inlineStr">
        <is>
          <t>CR</t>
        </is>
      </c>
      <c r="F681" t="inlineStr">
        <is>
          <t>EUR</t>
        </is>
      </c>
      <c r="G681" s="7" t="n">
        <v>12537681.641</v>
      </c>
      <c r="H681" t="inlineStr">
        <is>
          <t>GBP</t>
        </is>
      </c>
      <c r="I681" s="7" t="n">
        <v>10757330.848</v>
      </c>
      <c r="J681" s="8" t="n">
        <v>46252.31743055556</v>
      </c>
      <c r="K681" t="inlineStr">
        <is>
          <t>CF260818 00675</t>
        </is>
      </c>
      <c r="L681" t="inlineStr">
        <is>
          <t>GL.NOSTRO.EUR.BRGX.002</t>
        </is>
      </c>
      <c r="M681" t="inlineStr">
        <is>
          <t>Wrenfield Commercial Bank</t>
        </is>
      </c>
      <c r="N681" t="inlineStr">
        <is>
          <t>BRGXMM</t>
        </is>
      </c>
      <c r="O681" t="inlineStr">
        <is>
          <t>NEW</t>
        </is>
      </c>
      <c r="Q681" t="inlineStr">
        <is>
          <t>GROSS</t>
        </is>
      </c>
    </row>
    <row r="682">
      <c r="A682" t="inlineStr">
        <is>
          <t>265771593142</t>
        </is>
      </c>
      <c r="B682" t="inlineStr">
        <is>
          <t>TCQ</t>
        </is>
      </c>
      <c r="C682" t="inlineStr">
        <is>
          <t>BRYG</t>
        </is>
      </c>
      <c r="D682" s="6" t="n">
        <v>46252</v>
      </c>
      <c r="E682" t="inlineStr">
        <is>
          <t>DR</t>
        </is>
      </c>
      <c r="F682" t="inlineStr">
        <is>
          <t>EUR</t>
        </is>
      </c>
      <c r="G682" s="7" t="n">
        <v>-83446655.964</v>
      </c>
      <c r="H682" t="inlineStr">
        <is>
          <t>GBP</t>
        </is>
      </c>
      <c r="I682" s="7" t="n">
        <v>-71597230.817</v>
      </c>
      <c r="J682" s="8" t="n">
        <v>46252.39903935185</v>
      </c>
      <c r="K682" t="inlineStr">
        <is>
          <t>CF260818 00676</t>
        </is>
      </c>
      <c r="L682" t="inlineStr">
        <is>
          <t>GL.NOSTRO.EUR.BRYG.009</t>
        </is>
      </c>
      <c r="M682" t="inlineStr">
        <is>
          <t>Mallow Clearing</t>
        </is>
      </c>
      <c r="N682" t="inlineStr">
        <is>
          <t>BRYGTRSY</t>
        </is>
      </c>
      <c r="O682" t="inlineStr">
        <is>
          <t>NEW</t>
        </is>
      </c>
      <c r="Q682" t="inlineStr">
        <is>
          <t>NETTER</t>
        </is>
      </c>
    </row>
    <row r="683">
      <c r="A683" t="inlineStr">
        <is>
          <t>468341071172</t>
        </is>
      </c>
      <c r="B683" t="inlineStr">
        <is>
          <t>TCP</t>
        </is>
      </c>
      <c r="C683" t="inlineStr">
        <is>
          <t>BRCC</t>
        </is>
      </c>
      <c r="D683" s="6" t="n">
        <v>46252</v>
      </c>
      <c r="E683" t="inlineStr">
        <is>
          <t>CR</t>
        </is>
      </c>
      <c r="F683" t="inlineStr">
        <is>
          <t>EUR</t>
        </is>
      </c>
      <c r="G683" s="7" t="n">
        <v>660359450.544</v>
      </c>
      <c r="H683" t="inlineStr">
        <is>
          <t>GBP</t>
        </is>
      </c>
      <c r="I683" s="7" t="n">
        <v>566588408.567</v>
      </c>
      <c r="J683" s="8" t="n">
        <v>46252.42145833333</v>
      </c>
      <c r="K683" t="inlineStr">
        <is>
          <t>CF260818 00677</t>
        </is>
      </c>
      <c r="L683" t="inlineStr">
        <is>
          <t>GL.NOSTRO.EUR.BRCC.008</t>
        </is>
      </c>
      <c r="M683" t="inlineStr">
        <is>
          <t>Dunlin Bank</t>
        </is>
      </c>
      <c r="N683" t="inlineStr">
        <is>
          <t>BRCCMM</t>
        </is>
      </c>
      <c r="O683" t="inlineStr">
        <is>
          <t>NEW</t>
        </is>
      </c>
      <c r="Q683" t="inlineStr">
        <is>
          <t>GROSS</t>
        </is>
      </c>
    </row>
    <row r="684">
      <c r="A684" t="inlineStr">
        <is>
          <t>910703979141</t>
        </is>
      </c>
      <c r="B684" t="inlineStr">
        <is>
          <t>TCP</t>
        </is>
      </c>
      <c r="C684" t="inlineStr">
        <is>
          <t>BRCC</t>
        </is>
      </c>
      <c r="D684" s="6" t="n">
        <v>46252</v>
      </c>
      <c r="E684" t="inlineStr">
        <is>
          <t>CR</t>
        </is>
      </c>
      <c r="F684" t="inlineStr">
        <is>
          <t>CHF</t>
        </is>
      </c>
      <c r="G684" s="7" t="n">
        <v>815613844.711</v>
      </c>
      <c r="H684" t="inlineStr">
        <is>
          <t>GBP</t>
        </is>
      </c>
      <c r="I684" s="7" t="n">
        <v>731605618.706</v>
      </c>
      <c r="J684" s="8" t="n">
        <v>46252.40467592593</v>
      </c>
      <c r="K684" t="inlineStr">
        <is>
          <t>CF260818 00678</t>
        </is>
      </c>
      <c r="L684" t="inlineStr">
        <is>
          <t>GL.NOSTRO.CHF.BRCC.001</t>
        </is>
      </c>
      <c r="M684" t="inlineStr">
        <is>
          <t>Nightjar Trust</t>
        </is>
      </c>
      <c r="N684" t="inlineStr">
        <is>
          <t>BRCC</t>
        </is>
      </c>
      <c r="O684" t="inlineStr">
        <is>
          <t>NEW</t>
        </is>
      </c>
      <c r="Q684" t="inlineStr">
        <is>
          <t>NETTER</t>
        </is>
      </c>
    </row>
    <row r="685">
      <c r="A685" t="inlineStr">
        <is>
          <t>150316825069</t>
        </is>
      </c>
      <c r="B685" t="inlineStr">
        <is>
          <t>TCX</t>
        </is>
      </c>
      <c r="C685" t="inlineStr">
        <is>
          <t>BRGX</t>
        </is>
      </c>
      <c r="D685" s="6" t="n">
        <v>46252</v>
      </c>
      <c r="E685" t="inlineStr">
        <is>
          <t>CR</t>
        </is>
      </c>
      <c r="F685" t="inlineStr">
        <is>
          <t>GBP</t>
        </is>
      </c>
      <c r="G685" s="7" t="n">
        <v>901999385.999</v>
      </c>
      <c r="H685" t="inlineStr">
        <is>
          <t>GBP</t>
        </is>
      </c>
      <c r="I685" s="7" t="n">
        <v>901999385.999</v>
      </c>
      <c r="J685" s="8" t="n">
        <v>46252.49877314815</v>
      </c>
      <c r="K685" t="inlineStr">
        <is>
          <t>CF260818 00679</t>
        </is>
      </c>
      <c r="L685" t="inlineStr">
        <is>
          <t>GL.NOSTRO.GBP.BRGX.004</t>
        </is>
      </c>
      <c r="M685" t="inlineStr">
        <is>
          <t>Bramble Bank</t>
        </is>
      </c>
      <c r="N685" t="inlineStr">
        <is>
          <t>BRGXTRSY</t>
        </is>
      </c>
      <c r="O685" t="inlineStr">
        <is>
          <t>NEW</t>
        </is>
      </c>
      <c r="P685" t="inlineStr">
        <is>
          <t>NT26081800316</t>
        </is>
      </c>
      <c r="Q685" t="inlineStr">
        <is>
          <t>NETTER</t>
        </is>
      </c>
    </row>
    <row r="686">
      <c r="A686" t="inlineStr">
        <is>
          <t>132544340094</t>
        </is>
      </c>
      <c r="B686" t="inlineStr">
        <is>
          <t>TCX</t>
        </is>
      </c>
      <c r="C686" t="inlineStr">
        <is>
          <t>BRYG</t>
        </is>
      </c>
      <c r="D686" s="6" t="n">
        <v>46252</v>
      </c>
      <c r="E686" t="inlineStr">
        <is>
          <t>CR</t>
        </is>
      </c>
      <c r="F686" t="inlineStr">
        <is>
          <t>CZK</t>
        </is>
      </c>
      <c r="G686" s="7" t="n">
        <v>17823291.108</v>
      </c>
      <c r="H686" t="inlineStr">
        <is>
          <t>GBP</t>
        </is>
      </c>
      <c r="I686" s="7" t="n">
        <v>604209.569</v>
      </c>
      <c r="J686" s="8" t="n">
        <v>46252.79181712963</v>
      </c>
      <c r="K686" t="inlineStr">
        <is>
          <t>CF260818 00680</t>
        </is>
      </c>
      <c r="L686" t="inlineStr">
        <is>
          <t>GL.NOSTRO.CZK.BRYG.004</t>
        </is>
      </c>
      <c r="M686" t="inlineStr">
        <is>
          <t>Pinehurst Bank</t>
        </is>
      </c>
      <c r="N686" t="inlineStr">
        <is>
          <t>BRYGMM</t>
        </is>
      </c>
      <c r="O686" t="inlineStr">
        <is>
          <t>AMEND</t>
        </is>
      </c>
      <c r="P686" t="inlineStr">
        <is>
          <t>NT26081800303</t>
        </is>
      </c>
      <c r="Q686" t="inlineStr">
        <is>
          <t>GROSS</t>
        </is>
      </c>
    </row>
    <row r="687">
      <c r="A687" t="inlineStr">
        <is>
          <t>265771593142</t>
        </is>
      </c>
      <c r="B687" t="inlineStr">
        <is>
          <t>TCC</t>
        </is>
      </c>
      <c r="C687" t="inlineStr">
        <is>
          <t>BRYG</t>
        </is>
      </c>
      <c r="D687" s="6" t="n">
        <v>46252</v>
      </c>
      <c r="E687" t="inlineStr">
        <is>
          <t>CR</t>
        </is>
      </c>
      <c r="F687" t="inlineStr">
        <is>
          <t>EUR</t>
        </is>
      </c>
      <c r="G687" s="7" t="n">
        <v>365506739.089</v>
      </c>
      <c r="H687" t="inlineStr">
        <is>
          <t>GBP</t>
        </is>
      </c>
      <c r="I687" s="7" t="n">
        <v>313604782.138</v>
      </c>
      <c r="J687" s="8" t="n">
        <v>46252.66792824074</v>
      </c>
      <c r="K687" t="inlineStr">
        <is>
          <t>CF260818 00681</t>
        </is>
      </c>
      <c r="L687" t="inlineStr">
        <is>
          <t>GL.NOSTRO.EUR.BRYG.007</t>
        </is>
      </c>
      <c r="M687" t="inlineStr">
        <is>
          <t>Ironbark Commercial Bank</t>
        </is>
      </c>
      <c r="N687" t="inlineStr">
        <is>
          <t>BRYGCASH</t>
        </is>
      </c>
      <c r="O687" t="inlineStr">
        <is>
          <t>NEW</t>
        </is>
      </c>
      <c r="Q687" t="inlineStr">
        <is>
          <t>GROSS</t>
        </is>
      </c>
    </row>
    <row r="688">
      <c r="A688" t="inlineStr">
        <is>
          <t>120047354818</t>
        </is>
      </c>
      <c r="B688" t="inlineStr">
        <is>
          <t>TCG</t>
        </is>
      </c>
      <c r="C688" t="inlineStr">
        <is>
          <t>BRNK</t>
        </is>
      </c>
      <c r="D688" s="6" t="n">
        <v>46252</v>
      </c>
      <c r="E688" t="inlineStr">
        <is>
          <t>CR</t>
        </is>
      </c>
      <c r="F688" t="inlineStr">
        <is>
          <t>USD</t>
        </is>
      </c>
      <c r="G688" s="7" t="n">
        <v>2218143.642</v>
      </c>
      <c r="H688" t="inlineStr">
        <is>
          <t>GBP</t>
        </is>
      </c>
      <c r="I688" s="7" t="n">
        <v>1739024.615</v>
      </c>
      <c r="J688" s="8" t="n">
        <v>46252.56659722222</v>
      </c>
      <c r="K688" t="inlineStr">
        <is>
          <t>CF260818 00682</t>
        </is>
      </c>
      <c r="L688" t="inlineStr">
        <is>
          <t>GL.NOSTRO.USD.BRNK.003</t>
        </is>
      </c>
      <c r="M688" t="inlineStr">
        <is>
          <t>Pinehurst Bank</t>
        </is>
      </c>
      <c r="N688" t="inlineStr">
        <is>
          <t>BRNKCASH</t>
        </is>
      </c>
      <c r="O688" t="inlineStr">
        <is>
          <t>NEW</t>
        </is>
      </c>
      <c r="Q688" t="inlineStr">
        <is>
          <t>INTERNAL</t>
        </is>
      </c>
    </row>
    <row r="689">
      <c r="A689" t="inlineStr">
        <is>
          <t>927538182434</t>
        </is>
      </c>
      <c r="B689" t="inlineStr">
        <is>
          <t>TCC</t>
        </is>
      </c>
      <c r="C689" t="inlineStr">
        <is>
          <t>BRNK</t>
        </is>
      </c>
      <c r="D689" s="6" t="n">
        <v>46252</v>
      </c>
      <c r="E689" t="inlineStr">
        <is>
          <t>DR</t>
        </is>
      </c>
      <c r="F689" t="inlineStr">
        <is>
          <t>CNY</t>
        </is>
      </c>
      <c r="G689" s="7" t="n">
        <v>-413716.505</v>
      </c>
      <c r="H689" t="inlineStr">
        <is>
          <t>GBP</t>
        </is>
      </c>
      <c r="I689" s="7" t="n">
        <v>-45095.099</v>
      </c>
      <c r="J689" s="8" t="n">
        <v>46252.47480324074</v>
      </c>
      <c r="K689" t="inlineStr">
        <is>
          <t>CF260818 00683</t>
        </is>
      </c>
      <c r="L689" t="inlineStr">
        <is>
          <t>GL.NOSTRO.CNY.BRNK.003</t>
        </is>
      </c>
      <c r="M689" t="inlineStr">
        <is>
          <t>Wrenfield Settlement Bank</t>
        </is>
      </c>
      <c r="N689" t="inlineStr">
        <is>
          <t>BRNK</t>
        </is>
      </c>
      <c r="O689" t="inlineStr">
        <is>
          <t>NEW</t>
        </is>
      </c>
      <c r="P689" t="inlineStr">
        <is>
          <t>NT26081800284</t>
        </is>
      </c>
      <c r="Q689" t="inlineStr">
        <is>
          <t>GROSS</t>
        </is>
      </c>
    </row>
    <row r="690">
      <c r="A690" t="inlineStr">
        <is>
          <t>150316825069</t>
        </is>
      </c>
      <c r="B690" t="inlineStr">
        <is>
          <t>TCQ</t>
        </is>
      </c>
      <c r="C690" t="inlineStr">
        <is>
          <t>BRGX</t>
        </is>
      </c>
      <c r="D690" s="6" t="n">
        <v>46252</v>
      </c>
      <c r="E690" t="inlineStr">
        <is>
          <t>CR</t>
        </is>
      </c>
      <c r="F690" t="inlineStr">
        <is>
          <t>GBP</t>
        </is>
      </c>
      <c r="G690" s="7" t="n">
        <v>200185438.607</v>
      </c>
      <c r="H690" t="inlineStr">
        <is>
          <t>GBP</t>
        </is>
      </c>
      <c r="I690" s="7" t="n">
        <v>200185438.607</v>
      </c>
      <c r="J690" s="8" t="n">
        <v>46252.34457175926</v>
      </c>
      <c r="K690" t="inlineStr">
        <is>
          <t>CF260818 00684</t>
        </is>
      </c>
      <c r="L690" t="inlineStr">
        <is>
          <t>GL.NOSTRO.GBP.BRGX.008</t>
        </is>
      </c>
      <c r="M690" t="inlineStr">
        <is>
          <t>Cedar Commercial Bank</t>
        </is>
      </c>
      <c r="N690" t="inlineStr">
        <is>
          <t>BRGX</t>
        </is>
      </c>
      <c r="O690" t="inlineStr">
        <is>
          <t>NEW</t>
        </is>
      </c>
      <c r="Q690" t="inlineStr">
        <is>
          <t>NETTER</t>
        </is>
      </c>
    </row>
    <row r="691">
      <c r="A691" t="inlineStr">
        <is>
          <t>794226063698</t>
        </is>
      </c>
      <c r="B691" t="inlineStr">
        <is>
          <t>TCP</t>
        </is>
      </c>
      <c r="C691" t="inlineStr">
        <is>
          <t>BRMD</t>
        </is>
      </c>
      <c r="D691" s="6" t="n">
        <v>46252</v>
      </c>
      <c r="E691" t="inlineStr">
        <is>
          <t>DR</t>
        </is>
      </c>
      <c r="F691" t="inlineStr">
        <is>
          <t>AED</t>
        </is>
      </c>
      <c r="G691" s="7" t="n">
        <v>-720922718.027</v>
      </c>
      <c r="H691" t="inlineStr">
        <is>
          <t>GBP</t>
        </is>
      </c>
      <c r="I691" s="7" t="n">
        <v>-153556538.94</v>
      </c>
      <c r="J691" s="8" t="n">
        <v>46252.53173611111</v>
      </c>
      <c r="K691" t="inlineStr">
        <is>
          <t>CF260818 00685</t>
        </is>
      </c>
      <c r="L691" t="inlineStr">
        <is>
          <t>GL.NOSTRO.AED.BRMD.008</t>
        </is>
      </c>
      <c r="M691" t="inlineStr">
        <is>
          <t>Larkspur Clearing</t>
        </is>
      </c>
      <c r="N691" t="inlineStr">
        <is>
          <t>BRMDTRSY</t>
        </is>
      </c>
      <c r="O691" t="inlineStr">
        <is>
          <t>AMEND</t>
        </is>
      </c>
      <c r="Q691" t="inlineStr">
        <is>
          <t>GROSS</t>
        </is>
      </c>
    </row>
    <row r="692">
      <c r="A692" t="inlineStr">
        <is>
          <t>953625291146</t>
        </is>
      </c>
      <c r="B692" t="inlineStr">
        <is>
          <t>TCC</t>
        </is>
      </c>
      <c r="C692" t="inlineStr">
        <is>
          <t>BRGL</t>
        </is>
      </c>
      <c r="D692" s="6" t="n">
        <v>46252</v>
      </c>
      <c r="E692" t="inlineStr">
        <is>
          <t>DR</t>
        </is>
      </c>
      <c r="F692" t="inlineStr">
        <is>
          <t>USD</t>
        </is>
      </c>
      <c r="G692" s="7" t="n">
        <v>-26978247.569</v>
      </c>
      <c r="H692" t="inlineStr">
        <is>
          <t>GBP</t>
        </is>
      </c>
      <c r="I692" s="7" t="n">
        <v>-21150946.094</v>
      </c>
      <c r="J692" s="8" t="n">
        <v>46252.63596064815</v>
      </c>
      <c r="K692" t="inlineStr">
        <is>
          <t>CF260818 00686</t>
        </is>
      </c>
      <c r="L692" t="inlineStr">
        <is>
          <t>GL.NOSTRO.USD.BRGL.002</t>
        </is>
      </c>
      <c r="M692" t="inlineStr">
        <is>
          <t>Vetchling Settlement Bank</t>
        </is>
      </c>
      <c r="N692" t="inlineStr">
        <is>
          <t>BRGLMM</t>
        </is>
      </c>
      <c r="O692" t="inlineStr">
        <is>
          <t>NEW</t>
        </is>
      </c>
      <c r="Q692" t="inlineStr">
        <is>
          <t>GROSS</t>
        </is>
      </c>
    </row>
    <row r="693">
      <c r="A693" t="inlineStr">
        <is>
          <t>794226063698</t>
        </is>
      </c>
      <c r="B693" t="inlineStr">
        <is>
          <t>TCC</t>
        </is>
      </c>
      <c r="C693" t="inlineStr">
        <is>
          <t>BRMD</t>
        </is>
      </c>
      <c r="D693" s="6" t="n">
        <v>46252</v>
      </c>
      <c r="E693" t="inlineStr">
        <is>
          <t>DR</t>
        </is>
      </c>
      <c r="F693" t="inlineStr">
        <is>
          <t>AED</t>
        </is>
      </c>
      <c r="G693" s="7" t="n">
        <v>-9010.26</v>
      </c>
      <c r="H693" t="inlineStr">
        <is>
          <t>GBP</t>
        </is>
      </c>
      <c r="I693" s="7" t="n">
        <v>-1919.185</v>
      </c>
      <c r="J693" s="8" t="n">
        <v>46252.30813657407</v>
      </c>
      <c r="K693" t="inlineStr">
        <is>
          <t>CF260818 00687</t>
        </is>
      </c>
      <c r="L693" t="inlineStr">
        <is>
          <t>GL.NOSTRO.AED.BRMD.004</t>
        </is>
      </c>
      <c r="M693" t="inlineStr">
        <is>
          <t>Wrenfield Commercial Bank</t>
        </is>
      </c>
      <c r="N693" t="inlineStr">
        <is>
          <t>BRMDTRSY</t>
        </is>
      </c>
      <c r="O693" t="inlineStr">
        <is>
          <t>NEW</t>
        </is>
      </c>
      <c r="Q693" t="inlineStr">
        <is>
          <t>NETTER</t>
        </is>
      </c>
    </row>
    <row r="694">
      <c r="A694" t="inlineStr">
        <is>
          <t>910703979141</t>
        </is>
      </c>
      <c r="B694" t="inlineStr">
        <is>
          <t>TCX</t>
        </is>
      </c>
      <c r="C694" t="inlineStr">
        <is>
          <t>BRCC</t>
        </is>
      </c>
      <c r="D694" s="6" t="n">
        <v>46252</v>
      </c>
      <c r="E694" t="inlineStr">
        <is>
          <t>DR</t>
        </is>
      </c>
      <c r="F694" t="inlineStr">
        <is>
          <t>CHF</t>
        </is>
      </c>
      <c r="G694" s="7" t="n">
        <v>-47584485.024</v>
      </c>
      <c r="H694" t="inlineStr">
        <is>
          <t>GBP</t>
        </is>
      </c>
      <c r="I694" s="7" t="n">
        <v>-42683283.067</v>
      </c>
      <c r="J694" s="8" t="n">
        <v>46252.27311342592</v>
      </c>
      <c r="K694" t="inlineStr">
        <is>
          <t>CF260818 00688</t>
        </is>
      </c>
      <c r="L694" t="inlineStr">
        <is>
          <t>GL.NOSTRO.CHF.BRCC.008</t>
        </is>
      </c>
      <c r="M694" t="inlineStr">
        <is>
          <t>Oriel Trust</t>
        </is>
      </c>
      <c r="N694" t="inlineStr">
        <is>
          <t>BRCC</t>
        </is>
      </c>
      <c r="O694" t="inlineStr">
        <is>
          <t>NEW</t>
        </is>
      </c>
      <c r="Q694" t="inlineStr">
        <is>
          <t>GROSS</t>
        </is>
      </c>
    </row>
    <row r="695">
      <c r="A695" t="inlineStr">
        <is>
          <t>968942362772</t>
        </is>
      </c>
      <c r="B695" t="inlineStr">
        <is>
          <t>TCQ</t>
        </is>
      </c>
      <c r="C695" t="inlineStr">
        <is>
          <t>BRYG</t>
        </is>
      </c>
      <c r="D695" s="6" t="n">
        <v>46252</v>
      </c>
      <c r="E695" t="inlineStr">
        <is>
          <t>CR</t>
        </is>
      </c>
      <c r="F695" t="inlineStr">
        <is>
          <t>EUR</t>
        </is>
      </c>
      <c r="G695" s="7" t="n">
        <v>179490.232</v>
      </c>
      <c r="H695" t="inlineStr">
        <is>
          <t>GBP</t>
        </is>
      </c>
      <c r="I695" s="7" t="n">
        <v>154002.619</v>
      </c>
      <c r="J695" s="8" t="n">
        <v>46252.65660879629</v>
      </c>
      <c r="K695" t="inlineStr">
        <is>
          <t>CF260818 00689</t>
        </is>
      </c>
      <c r="L695" t="inlineStr">
        <is>
          <t>GL.NOSTRO.EUR.BRYG.001</t>
        </is>
      </c>
      <c r="M695" t="inlineStr">
        <is>
          <t>Larkspur Clearing</t>
        </is>
      </c>
      <c r="N695" t="inlineStr">
        <is>
          <t>BRYG</t>
        </is>
      </c>
      <c r="O695" t="inlineStr">
        <is>
          <t>AMEND</t>
        </is>
      </c>
      <c r="P695" t="inlineStr">
        <is>
          <t>NT26081800291</t>
        </is>
      </c>
      <c r="Q695" t="inlineStr">
        <is>
          <t>NETTER</t>
        </is>
      </c>
    </row>
    <row r="696">
      <c r="A696" t="inlineStr">
        <is>
          <t>171857983160</t>
        </is>
      </c>
      <c r="B696" t="inlineStr">
        <is>
          <t>TCC</t>
        </is>
      </c>
      <c r="C696" t="inlineStr">
        <is>
          <t>BRBX</t>
        </is>
      </c>
      <c r="D696" s="6" t="n">
        <v>46252</v>
      </c>
      <c r="E696" t="inlineStr">
        <is>
          <t>DR</t>
        </is>
      </c>
      <c r="F696" t="inlineStr">
        <is>
          <t>AUD</t>
        </is>
      </c>
      <c r="G696" s="7" t="n">
        <v>-5861727.73</v>
      </c>
      <c r="H696" t="inlineStr">
        <is>
          <t>GBP</t>
        </is>
      </c>
      <c r="I696" s="7" t="n">
        <v>-3007066.325</v>
      </c>
      <c r="J696" s="8" t="n">
        <v>46252.80258101852</v>
      </c>
      <c r="K696" t="inlineStr">
        <is>
          <t>CF260818 00690</t>
        </is>
      </c>
      <c r="L696" t="inlineStr">
        <is>
          <t>GL.NOSTRO.AUD.BRBX.004</t>
        </is>
      </c>
      <c r="M696" t="inlineStr">
        <is>
          <t>Zephyr Bank</t>
        </is>
      </c>
      <c r="N696" t="inlineStr">
        <is>
          <t>BRBXTRSY</t>
        </is>
      </c>
      <c r="O696" t="inlineStr">
        <is>
          <t>NEW</t>
        </is>
      </c>
      <c r="P696" t="inlineStr">
        <is>
          <t>NT26081800312</t>
        </is>
      </c>
      <c r="Q696" t="inlineStr">
        <is>
          <t>INTERNAL</t>
        </is>
      </c>
    </row>
    <row r="697">
      <c r="A697" t="inlineStr">
        <is>
          <t>910703979141</t>
        </is>
      </c>
      <c r="B697" t="inlineStr">
        <is>
          <t>TCG</t>
        </is>
      </c>
      <c r="C697" t="inlineStr">
        <is>
          <t>BRCC</t>
        </is>
      </c>
      <c r="D697" s="6" t="n">
        <v>46252</v>
      </c>
      <c r="E697" t="inlineStr">
        <is>
          <t>CR</t>
        </is>
      </c>
      <c r="F697" t="inlineStr">
        <is>
          <t>CHF</t>
        </is>
      </c>
      <c r="G697" s="7" t="n">
        <v>5103.677</v>
      </c>
      <c r="H697" t="inlineStr">
        <is>
          <t>GBP</t>
        </is>
      </c>
      <c r="I697" s="7" t="n">
        <v>4577.998</v>
      </c>
      <c r="J697" s="8" t="n">
        <v>46252.59239583334</v>
      </c>
      <c r="K697" t="inlineStr">
        <is>
          <t>CF260818 00691</t>
        </is>
      </c>
      <c r="L697" t="inlineStr">
        <is>
          <t>GL.NOSTRO.CHF.BRCC.005</t>
        </is>
      </c>
      <c r="M697" t="inlineStr">
        <is>
          <t>Pinehurst Clearing</t>
        </is>
      </c>
      <c r="N697" t="inlineStr">
        <is>
          <t>BRCCTRSY</t>
        </is>
      </c>
      <c r="O697" t="inlineStr">
        <is>
          <t>NEW</t>
        </is>
      </c>
      <c r="Q697" t="inlineStr">
        <is>
          <t>NETTER</t>
        </is>
      </c>
    </row>
    <row r="698">
      <c r="A698" t="inlineStr">
        <is>
          <t>726928343448</t>
        </is>
      </c>
      <c r="B698" t="inlineStr">
        <is>
          <t>TCG</t>
        </is>
      </c>
      <c r="C698" t="inlineStr">
        <is>
          <t>BRGX</t>
        </is>
      </c>
      <c r="D698" s="6" t="n">
        <v>46252</v>
      </c>
      <c r="E698" t="inlineStr">
        <is>
          <t>CR</t>
        </is>
      </c>
      <c r="F698" t="inlineStr">
        <is>
          <t>EUR</t>
        </is>
      </c>
      <c r="G698" s="7" t="n">
        <v>186903156.643</v>
      </c>
      <c r="H698" t="inlineStr">
        <is>
          <t>GBP</t>
        </is>
      </c>
      <c r="I698" s="7" t="n">
        <v>160362908.4</v>
      </c>
      <c r="J698" s="8" t="n">
        <v>46252.58743055556</v>
      </c>
      <c r="K698" t="inlineStr">
        <is>
          <t>CF260818 00692</t>
        </is>
      </c>
      <c r="L698" t="inlineStr">
        <is>
          <t>GL.NOSTRO.EUR.BRGX.008</t>
        </is>
      </c>
      <c r="M698" t="inlineStr">
        <is>
          <t>Mallow Clearing</t>
        </is>
      </c>
      <c r="N698" t="inlineStr">
        <is>
          <t>BRGX</t>
        </is>
      </c>
      <c r="O698" t="inlineStr">
        <is>
          <t>NEW</t>
        </is>
      </c>
      <c r="P698" t="inlineStr">
        <is>
          <t>NT26081800279</t>
        </is>
      </c>
      <c r="Q698" t="inlineStr">
        <is>
          <t>GROSS</t>
        </is>
      </c>
    </row>
    <row r="699">
      <c r="A699" t="inlineStr">
        <is>
          <t>468341071172</t>
        </is>
      </c>
      <c r="B699" t="inlineStr">
        <is>
          <t>TCP</t>
        </is>
      </c>
      <c r="C699" t="inlineStr">
        <is>
          <t>BRCC</t>
        </is>
      </c>
      <c r="D699" s="6" t="n">
        <v>46252</v>
      </c>
      <c r="E699" t="inlineStr">
        <is>
          <t>DR</t>
        </is>
      </c>
      <c r="F699" t="inlineStr">
        <is>
          <t>EUR</t>
        </is>
      </c>
      <c r="G699" s="7" t="n">
        <v>-17963887.358</v>
      </c>
      <c r="H699" t="inlineStr">
        <is>
          <t>GBP</t>
        </is>
      </c>
      <c r="I699" s="7" t="n">
        <v>-15413015.353</v>
      </c>
      <c r="J699" s="8" t="n">
        <v>46252.41565972222</v>
      </c>
      <c r="K699" t="inlineStr">
        <is>
          <t>CF260818 00693</t>
        </is>
      </c>
      <c r="L699" t="inlineStr">
        <is>
          <t>GL.NOSTRO.EUR.BRCC.007</t>
        </is>
      </c>
      <c r="M699" t="inlineStr">
        <is>
          <t>Oriel Trust</t>
        </is>
      </c>
      <c r="N699" t="inlineStr">
        <is>
          <t>BRCCCASH</t>
        </is>
      </c>
      <c r="O699" t="inlineStr">
        <is>
          <t>AMEND</t>
        </is>
      </c>
      <c r="Q699" t="inlineStr">
        <is>
          <t>GROSS</t>
        </is>
      </c>
    </row>
    <row r="700">
      <c r="A700" t="inlineStr">
        <is>
          <t>284925023085</t>
        </is>
      </c>
      <c r="B700" t="inlineStr">
        <is>
          <t>TCP</t>
        </is>
      </c>
      <c r="C700" t="inlineStr">
        <is>
          <t>BRMD</t>
        </is>
      </c>
      <c r="D700" s="6" t="n">
        <v>46252</v>
      </c>
      <c r="E700" t="inlineStr">
        <is>
          <t>CR</t>
        </is>
      </c>
      <c r="F700" t="inlineStr">
        <is>
          <t>MXN</t>
        </is>
      </c>
      <c r="G700" s="7" t="n">
        <v>3765161.734</v>
      </c>
      <c r="H700" t="inlineStr">
        <is>
          <t>GBP</t>
        </is>
      </c>
      <c r="I700" s="7" t="n">
        <v>161148.922</v>
      </c>
      <c r="J700" s="8" t="n">
        <v>46252.45490740741</v>
      </c>
      <c r="K700" t="inlineStr">
        <is>
          <t>CF260818 00694</t>
        </is>
      </c>
      <c r="L700" t="inlineStr">
        <is>
          <t>GL.NOSTRO.MXN.BRMD.002</t>
        </is>
      </c>
      <c r="M700" t="inlineStr">
        <is>
          <t>Pinehurst Settlement Bank</t>
        </is>
      </c>
      <c r="N700" t="inlineStr">
        <is>
          <t>BRMDMM</t>
        </is>
      </c>
      <c r="O700" t="inlineStr">
        <is>
          <t>NEW</t>
        </is>
      </c>
      <c r="P700" t="inlineStr">
        <is>
          <t>NT26081800288</t>
        </is>
      </c>
      <c r="Q700" t="inlineStr">
        <is>
          <t>NETTER</t>
        </is>
      </c>
    </row>
    <row r="701">
      <c r="A701" t="inlineStr">
        <is>
          <t>898317028833</t>
        </is>
      </c>
      <c r="B701" t="inlineStr">
        <is>
          <t>TCC</t>
        </is>
      </c>
      <c r="C701" t="inlineStr">
        <is>
          <t>BRAA</t>
        </is>
      </c>
      <c r="D701" s="6" t="n">
        <v>46252</v>
      </c>
      <c r="E701" t="inlineStr">
        <is>
          <t>CR</t>
        </is>
      </c>
      <c r="F701" t="inlineStr">
        <is>
          <t>GBP</t>
        </is>
      </c>
      <c r="G701" s="7" t="n">
        <v>2212255.484</v>
      </c>
      <c r="H701" t="inlineStr">
        <is>
          <t>GBP</t>
        </is>
      </c>
      <c r="I701" s="7" t="n">
        <v>2212255.484</v>
      </c>
      <c r="J701" s="8" t="n">
        <v>46252.37857638889</v>
      </c>
      <c r="K701" t="inlineStr">
        <is>
          <t>CF260818 00695</t>
        </is>
      </c>
      <c r="L701" t="inlineStr">
        <is>
          <t>GL.NOSTRO.GBP.BRAA.004</t>
        </is>
      </c>
      <c r="M701" t="inlineStr">
        <is>
          <t>Vetchling Commercial Bank</t>
        </is>
      </c>
      <c r="N701" t="inlineStr">
        <is>
          <t>BRAACASH</t>
        </is>
      </c>
      <c r="O701" t="inlineStr">
        <is>
          <t>NEW</t>
        </is>
      </c>
      <c r="Q701" t="inlineStr">
        <is>
          <t>NETTER</t>
        </is>
      </c>
    </row>
    <row r="702">
      <c r="A702" t="inlineStr">
        <is>
          <t>150316825069</t>
        </is>
      </c>
      <c r="B702" t="inlineStr">
        <is>
          <t>TCP</t>
        </is>
      </c>
      <c r="C702" t="inlineStr">
        <is>
          <t>BRGX</t>
        </is>
      </c>
      <c r="D702" s="6" t="n">
        <v>46252</v>
      </c>
      <c r="E702" t="inlineStr">
        <is>
          <t>CR</t>
        </is>
      </c>
      <c r="F702" t="inlineStr">
        <is>
          <t>GBP</t>
        </is>
      </c>
      <c r="G702" s="7" t="n">
        <v>13531876.034</v>
      </c>
      <c r="H702" t="inlineStr">
        <is>
          <t>GBP</t>
        </is>
      </c>
      <c r="I702" s="7" t="n">
        <v>13531876.034</v>
      </c>
      <c r="J702" s="8" t="n">
        <v>46252.58482638889</v>
      </c>
      <c r="K702" t="inlineStr">
        <is>
          <t>CF260818 00696</t>
        </is>
      </c>
      <c r="L702" t="inlineStr">
        <is>
          <t>GL.NOSTRO.GBP.BRGX.004</t>
        </is>
      </c>
      <c r="M702" t="inlineStr">
        <is>
          <t>Granite Bank</t>
        </is>
      </c>
      <c r="N702" t="inlineStr">
        <is>
          <t>BRGXCASH</t>
        </is>
      </c>
      <c r="O702" t="inlineStr">
        <is>
          <t>CANCEL</t>
        </is>
      </c>
      <c r="Q702" t="inlineStr">
        <is>
          <t>NETTER</t>
        </is>
      </c>
    </row>
    <row r="703">
      <c r="A703" t="inlineStr">
        <is>
          <t>265771593142</t>
        </is>
      </c>
      <c r="B703" t="inlineStr">
        <is>
          <t>TCG</t>
        </is>
      </c>
      <c r="C703" t="inlineStr">
        <is>
          <t>BRYG</t>
        </is>
      </c>
      <c r="D703" s="6" t="n">
        <v>46252</v>
      </c>
      <c r="E703" t="inlineStr">
        <is>
          <t>DR</t>
        </is>
      </c>
      <c r="F703" t="inlineStr">
        <is>
          <t>EUR</t>
        </is>
      </c>
      <c r="G703" s="7" t="n">
        <v>-1096594.956</v>
      </c>
      <c r="H703" t="inlineStr">
        <is>
          <t>GBP</t>
        </is>
      </c>
      <c r="I703" s="7" t="n">
        <v>-940878.472</v>
      </c>
      <c r="J703" s="8" t="n">
        <v>46252.37506944445</v>
      </c>
      <c r="K703" t="inlineStr">
        <is>
          <t>CF260818 00697</t>
        </is>
      </c>
      <c r="L703" t="inlineStr">
        <is>
          <t>GL.NOSTRO.EUR.BRYG.002</t>
        </is>
      </c>
      <c r="M703" t="inlineStr">
        <is>
          <t>Umberton Clearing</t>
        </is>
      </c>
      <c r="N703" t="inlineStr">
        <is>
          <t>BRYGMM</t>
        </is>
      </c>
      <c r="O703" t="inlineStr">
        <is>
          <t>NEW</t>
        </is>
      </c>
      <c r="Q703" t="inlineStr">
        <is>
          <t>GROSS</t>
        </is>
      </c>
    </row>
    <row r="704">
      <c r="A704" t="inlineStr">
        <is>
          <t>468341071172</t>
        </is>
      </c>
      <c r="B704" t="inlineStr">
        <is>
          <t>TCC</t>
        </is>
      </c>
      <c r="C704" t="inlineStr">
        <is>
          <t>BRCC</t>
        </is>
      </c>
      <c r="D704" s="6" t="n">
        <v>46252</v>
      </c>
      <c r="E704" t="inlineStr">
        <is>
          <t>CR</t>
        </is>
      </c>
      <c r="F704" t="inlineStr">
        <is>
          <t>EUR</t>
        </is>
      </c>
      <c r="G704" s="7" t="n">
        <v>174547.589</v>
      </c>
      <c r="H704" t="inlineStr">
        <is>
          <t>GBP</t>
        </is>
      </c>
      <c r="I704" s="7" t="n">
        <v>149761.831</v>
      </c>
      <c r="J704" s="8" t="n">
        <v>46252.17868055555</v>
      </c>
      <c r="K704" t="inlineStr">
        <is>
          <t>CF260818 00698</t>
        </is>
      </c>
      <c r="L704" t="inlineStr">
        <is>
          <t>GL.NOSTRO.EUR.BRCC.001</t>
        </is>
      </c>
      <c r="M704" t="inlineStr">
        <is>
          <t>Zephyr Commercial Bank</t>
        </is>
      </c>
      <c r="N704" t="inlineStr">
        <is>
          <t>BRCC</t>
        </is>
      </c>
      <c r="O704" t="inlineStr">
        <is>
          <t>NEW</t>
        </is>
      </c>
      <c r="Q704" t="inlineStr">
        <is>
          <t>INTERNAL</t>
        </is>
      </c>
    </row>
    <row r="705">
      <c r="A705" t="inlineStr">
        <is>
          <t>794226063698</t>
        </is>
      </c>
      <c r="B705" t="inlineStr">
        <is>
          <t>TCC</t>
        </is>
      </c>
      <c r="C705" t="inlineStr">
        <is>
          <t>BRMD</t>
        </is>
      </c>
      <c r="D705" s="6" t="n">
        <v>46252</v>
      </c>
      <c r="E705" t="inlineStr">
        <is>
          <t>DR</t>
        </is>
      </c>
      <c r="F705" t="inlineStr">
        <is>
          <t>AED</t>
        </is>
      </c>
      <c r="G705" s="7" t="n">
        <v>-5253822.147</v>
      </c>
      <c r="H705" t="inlineStr">
        <is>
          <t>GBP</t>
        </is>
      </c>
      <c r="I705" s="7" t="n">
        <v>-1119064.117</v>
      </c>
      <c r="J705" s="8" t="n">
        <v>46252.33646990741</v>
      </c>
      <c r="K705" t="inlineStr">
        <is>
          <t>CF260818 00699</t>
        </is>
      </c>
      <c r="L705" t="inlineStr">
        <is>
          <t>GL.NOSTRO.AED.BRMD.009</t>
        </is>
      </c>
      <c r="M705" t="inlineStr">
        <is>
          <t>Dunlin Clearing</t>
        </is>
      </c>
      <c r="N705" t="inlineStr">
        <is>
          <t>BRMDTRSY</t>
        </is>
      </c>
      <c r="O705" t="inlineStr">
        <is>
          <t>CANCEL</t>
        </is>
      </c>
      <c r="Q705" t="inlineStr">
        <is>
          <t>NETTER</t>
        </is>
      </c>
    </row>
    <row r="706">
      <c r="A706" t="inlineStr">
        <is>
          <t>359365220160</t>
        </is>
      </c>
      <c r="B706" t="inlineStr">
        <is>
          <t>TCP</t>
        </is>
      </c>
      <c r="C706" t="inlineStr">
        <is>
          <t>BRGX</t>
        </is>
      </c>
      <c r="D706" s="6" t="n">
        <v>46252</v>
      </c>
      <c r="E706" t="inlineStr">
        <is>
          <t>CR</t>
        </is>
      </c>
      <c r="F706" t="inlineStr">
        <is>
          <t>EUR</t>
        </is>
      </c>
      <c r="G706" s="7" t="n">
        <v>4509949.356</v>
      </c>
      <c r="H706" t="inlineStr">
        <is>
          <t>GBP</t>
        </is>
      </c>
      <c r="I706" s="7" t="n">
        <v>3869536.547</v>
      </c>
      <c r="J706" s="8" t="n">
        <v>46252.56956018518</v>
      </c>
      <c r="K706" t="inlineStr">
        <is>
          <t>CF260818 00700</t>
        </is>
      </c>
      <c r="L706" t="inlineStr">
        <is>
          <t>GL.NOSTRO.EUR.BRGX.006</t>
        </is>
      </c>
      <c r="M706" t="inlineStr">
        <is>
          <t>Alder Clearing</t>
        </is>
      </c>
      <c r="N706" t="inlineStr">
        <is>
          <t>BRGXCASH</t>
        </is>
      </c>
      <c r="O706" t="inlineStr">
        <is>
          <t>CANCEL</t>
        </is>
      </c>
      <c r="P706" t="inlineStr">
        <is>
          <t>NT26081800306</t>
        </is>
      </c>
      <c r="Q706" t="inlineStr">
        <is>
          <t>NETTER</t>
        </is>
      </c>
    </row>
    <row r="707">
      <c r="A707" t="inlineStr">
        <is>
          <t>794226063698</t>
        </is>
      </c>
      <c r="B707" t="inlineStr">
        <is>
          <t>TCP</t>
        </is>
      </c>
      <c r="C707" t="inlineStr">
        <is>
          <t>BRMD</t>
        </is>
      </c>
      <c r="D707" s="6" t="n">
        <v>46252</v>
      </c>
      <c r="E707" t="inlineStr">
        <is>
          <t>DR</t>
        </is>
      </c>
      <c r="F707" t="inlineStr">
        <is>
          <t>AED</t>
        </is>
      </c>
      <c r="G707" s="7" t="n">
        <v>-21077728.442</v>
      </c>
      <c r="H707" t="inlineStr">
        <is>
          <t>GBP</t>
        </is>
      </c>
      <c r="I707" s="7" t="n">
        <v>-4489556.158</v>
      </c>
      <c r="J707" s="8" t="n">
        <v>46252.60861111111</v>
      </c>
      <c r="K707" t="inlineStr">
        <is>
          <t>CF260818 00701</t>
        </is>
      </c>
      <c r="L707" t="inlineStr">
        <is>
          <t>GL.NOSTRO.AED.BRMD.008</t>
        </is>
      </c>
      <c r="M707" t="inlineStr">
        <is>
          <t>Vetchling Bank</t>
        </is>
      </c>
      <c r="N707" t="inlineStr">
        <is>
          <t>BRMDCASH</t>
        </is>
      </c>
      <c r="O707" t="inlineStr">
        <is>
          <t>AMEND</t>
        </is>
      </c>
      <c r="P707" t="inlineStr">
        <is>
          <t>NT26081800308</t>
        </is>
      </c>
      <c r="Q707" t="inlineStr">
        <is>
          <t>NETTER</t>
        </is>
      </c>
    </row>
    <row r="708">
      <c r="A708" t="inlineStr">
        <is>
          <t>120047354818</t>
        </is>
      </c>
      <c r="B708" t="inlineStr">
        <is>
          <t>TCQ</t>
        </is>
      </c>
      <c r="C708" t="inlineStr">
        <is>
          <t>BRNK</t>
        </is>
      </c>
      <c r="D708" s="6" t="n">
        <v>46252</v>
      </c>
      <c r="E708" t="inlineStr">
        <is>
          <t>DR</t>
        </is>
      </c>
      <c r="F708" t="inlineStr">
        <is>
          <t>USD</t>
        </is>
      </c>
      <c r="G708" s="7" t="n">
        <v>-21112694.17</v>
      </c>
      <c r="H708" t="inlineStr">
        <is>
          <t>GBP</t>
        </is>
      </c>
      <c r="I708" s="7" t="n">
        <v>-16552352.229</v>
      </c>
      <c r="J708" s="8" t="n">
        <v>46252.49097222222</v>
      </c>
      <c r="K708" t="inlineStr">
        <is>
          <t>CF260818 00702</t>
        </is>
      </c>
      <c r="L708" t="inlineStr">
        <is>
          <t>GL.NOSTRO.USD.BRNK.002</t>
        </is>
      </c>
      <c r="M708" t="inlineStr">
        <is>
          <t>Mallow Trust</t>
        </is>
      </c>
      <c r="N708" t="inlineStr">
        <is>
          <t>BRNKMM</t>
        </is>
      </c>
      <c r="O708" t="inlineStr">
        <is>
          <t>NEW</t>
        </is>
      </c>
      <c r="P708" t="inlineStr">
        <is>
          <t>NT26081800308</t>
        </is>
      </c>
      <c r="Q708" t="inlineStr">
        <is>
          <t>GROSS</t>
        </is>
      </c>
    </row>
    <row r="709">
      <c r="A709" t="inlineStr">
        <is>
          <t>132544340094</t>
        </is>
      </c>
      <c r="B709" t="inlineStr">
        <is>
          <t>TCC</t>
        </is>
      </c>
      <c r="C709" t="inlineStr">
        <is>
          <t>BRYG</t>
        </is>
      </c>
      <c r="D709" s="6" t="n">
        <v>46252</v>
      </c>
      <c r="E709" t="inlineStr">
        <is>
          <t>DR</t>
        </is>
      </c>
      <c r="F709" t="inlineStr">
        <is>
          <t>CZK</t>
        </is>
      </c>
      <c r="G709" s="7" t="n">
        <v>-539525114.355</v>
      </c>
      <c r="H709" t="inlineStr">
        <is>
          <t>GBP</t>
        </is>
      </c>
      <c r="I709" s="7" t="n">
        <v>-18289901.377</v>
      </c>
      <c r="J709" s="8" t="n">
        <v>46252.41075231481</v>
      </c>
      <c r="K709" t="inlineStr">
        <is>
          <t>CF260818 00703</t>
        </is>
      </c>
      <c r="L709" t="inlineStr">
        <is>
          <t>GL.NOSTRO.CZK.BRYG.001</t>
        </is>
      </c>
      <c r="M709" t="inlineStr">
        <is>
          <t>Fernway Settlement Bank</t>
        </is>
      </c>
      <c r="N709" t="inlineStr">
        <is>
          <t>BRYGTRSY</t>
        </is>
      </c>
      <c r="O709" t="inlineStr">
        <is>
          <t>NEW</t>
        </is>
      </c>
      <c r="P709" t="inlineStr">
        <is>
          <t>NT26081800278</t>
        </is>
      </c>
      <c r="Q709" t="inlineStr">
        <is>
          <t>NETTER</t>
        </is>
      </c>
    </row>
    <row r="710">
      <c r="A710" t="inlineStr">
        <is>
          <t>171857983160</t>
        </is>
      </c>
      <c r="B710" t="inlineStr">
        <is>
          <t>TCG</t>
        </is>
      </c>
      <c r="C710" t="inlineStr">
        <is>
          <t>BRBX</t>
        </is>
      </c>
      <c r="D710" s="6" t="n">
        <v>46252</v>
      </c>
      <c r="E710" t="inlineStr">
        <is>
          <t>CR</t>
        </is>
      </c>
      <c r="F710" t="inlineStr">
        <is>
          <t>AUD</t>
        </is>
      </c>
      <c r="G710" s="7" t="n">
        <v>801036993.862</v>
      </c>
      <c r="H710" t="inlineStr">
        <is>
          <t>GBP</t>
        </is>
      </c>
      <c r="I710" s="7" t="n">
        <v>410931977.851</v>
      </c>
      <c r="J710" s="8" t="n">
        <v>46252.73642361111</v>
      </c>
      <c r="K710" t="inlineStr">
        <is>
          <t>CF260818 00704</t>
        </is>
      </c>
      <c r="L710" t="inlineStr">
        <is>
          <t>GL.NOSTRO.AUD.BRBX.007</t>
        </is>
      </c>
      <c r="M710" t="inlineStr">
        <is>
          <t>Bramble Bank</t>
        </is>
      </c>
      <c r="N710" t="inlineStr">
        <is>
          <t>BRBXMM</t>
        </is>
      </c>
      <c r="O710" t="inlineStr">
        <is>
          <t>NEW</t>
        </is>
      </c>
      <c r="P710" t="inlineStr">
        <is>
          <t>NT26081800288</t>
        </is>
      </c>
      <c r="Q710" t="inlineStr">
        <is>
          <t>INTERNAL</t>
        </is>
      </c>
    </row>
    <row r="711">
      <c r="A711" t="inlineStr">
        <is>
          <t>284925023085</t>
        </is>
      </c>
      <c r="B711" t="inlineStr">
        <is>
          <t>TCG</t>
        </is>
      </c>
      <c r="C711" t="inlineStr">
        <is>
          <t>BRMD</t>
        </is>
      </c>
      <c r="D711" s="6" t="n">
        <v>46252</v>
      </c>
      <c r="E711" t="inlineStr">
        <is>
          <t>CR</t>
        </is>
      </c>
      <c r="F711" t="inlineStr">
        <is>
          <t>MXN</t>
        </is>
      </c>
      <c r="G711" s="7" t="n">
        <v>211444987.886</v>
      </c>
      <c r="H711" t="inlineStr">
        <is>
          <t>GBP</t>
        </is>
      </c>
      <c r="I711" s="7" t="n">
        <v>9049845.482000001</v>
      </c>
      <c r="J711" s="8" t="n">
        <v>46252.44217592593</v>
      </c>
      <c r="K711" t="inlineStr">
        <is>
          <t>CF260818 00705</t>
        </is>
      </c>
      <c r="L711" t="inlineStr">
        <is>
          <t>GL.NOSTRO.MXN.BRMD.008</t>
        </is>
      </c>
      <c r="M711" t="inlineStr">
        <is>
          <t>Yarrow Bank</t>
        </is>
      </c>
      <c r="N711" t="inlineStr">
        <is>
          <t>BRMDTRSY</t>
        </is>
      </c>
      <c r="O711" t="inlineStr">
        <is>
          <t>NEW</t>
        </is>
      </c>
      <c r="P711" t="inlineStr">
        <is>
          <t>NT26081800294</t>
        </is>
      </c>
      <c r="Q711" t="inlineStr">
        <is>
          <t>INTERNAL</t>
        </is>
      </c>
    </row>
    <row r="712">
      <c r="A712" t="inlineStr">
        <is>
          <t>132544340094</t>
        </is>
      </c>
      <c r="B712" t="inlineStr">
        <is>
          <t>TCP</t>
        </is>
      </c>
      <c r="C712" t="inlineStr">
        <is>
          <t>BRYG</t>
        </is>
      </c>
      <c r="D712" s="6" t="n">
        <v>46252</v>
      </c>
      <c r="E712" t="inlineStr">
        <is>
          <t>DR</t>
        </is>
      </c>
      <c r="F712" t="inlineStr">
        <is>
          <t>CZK</t>
        </is>
      </c>
      <c r="G712" s="7" t="n">
        <v>-810065467.536</v>
      </c>
      <c r="H712" t="inlineStr">
        <is>
          <t>GBP</t>
        </is>
      </c>
      <c r="I712" s="7" t="n">
        <v>-27461219.349</v>
      </c>
      <c r="J712" s="8" t="n">
        <v>46252.42392361111</v>
      </c>
      <c r="K712" t="inlineStr">
        <is>
          <t>CF260818 00706</t>
        </is>
      </c>
      <c r="L712" t="inlineStr">
        <is>
          <t>GL.NOSTRO.CZK.BRYG.001</t>
        </is>
      </c>
      <c r="M712" t="inlineStr">
        <is>
          <t>Sablewood Commercial Bank</t>
        </is>
      </c>
      <c r="N712" t="inlineStr">
        <is>
          <t>BRYG</t>
        </is>
      </c>
      <c r="O712" t="inlineStr">
        <is>
          <t>NEW</t>
        </is>
      </c>
      <c r="P712" t="inlineStr">
        <is>
          <t>NT26081800299</t>
        </is>
      </c>
      <c r="Q712" t="inlineStr">
        <is>
          <t>NETTER</t>
        </is>
      </c>
    </row>
    <row r="713">
      <c r="A713" t="inlineStr">
        <is>
          <t>499062838623</t>
        </is>
      </c>
      <c r="B713" t="inlineStr">
        <is>
          <t>TCC</t>
        </is>
      </c>
      <c r="C713" t="inlineStr">
        <is>
          <t>BRBX</t>
        </is>
      </c>
      <c r="D713" s="6" t="n">
        <v>46252</v>
      </c>
      <c r="E713" t="inlineStr">
        <is>
          <t>CR</t>
        </is>
      </c>
      <c r="F713" t="inlineStr">
        <is>
          <t>USD</t>
        </is>
      </c>
      <c r="G713" s="7" t="n">
        <v>176106844.213</v>
      </c>
      <c r="H713" t="inlineStr">
        <is>
          <t>GBP</t>
        </is>
      </c>
      <c r="I713" s="7" t="n">
        <v>138067765.863</v>
      </c>
      <c r="J713" s="8" t="n">
        <v>46252.72972222222</v>
      </c>
      <c r="K713" t="inlineStr">
        <is>
          <t>CF260818 00707</t>
        </is>
      </c>
      <c r="L713" t="inlineStr">
        <is>
          <t>GL.NOSTRO.USD.BRBX.002</t>
        </is>
      </c>
      <c r="M713" t="inlineStr">
        <is>
          <t>Sablewood Commercial Bank</t>
        </is>
      </c>
      <c r="N713" t="inlineStr">
        <is>
          <t>BRBXCASH</t>
        </is>
      </c>
      <c r="O713" t="inlineStr">
        <is>
          <t>AMEND</t>
        </is>
      </c>
      <c r="Q713" t="inlineStr">
        <is>
          <t>INTERNAL</t>
        </is>
      </c>
    </row>
    <row r="714">
      <c r="A714" t="inlineStr">
        <is>
          <t>150316825069</t>
        </is>
      </c>
      <c r="B714" t="inlineStr">
        <is>
          <t>TCQ</t>
        </is>
      </c>
      <c r="C714" t="inlineStr">
        <is>
          <t>BRGX</t>
        </is>
      </c>
      <c r="D714" s="6" t="n">
        <v>46252</v>
      </c>
      <c r="E714" t="inlineStr">
        <is>
          <t>DR</t>
        </is>
      </c>
      <c r="F714" t="inlineStr">
        <is>
          <t>GBP</t>
        </is>
      </c>
      <c r="G714" s="7" t="n">
        <v>-740080761.809</v>
      </c>
      <c r="H714" t="inlineStr">
        <is>
          <t>GBP</t>
        </is>
      </c>
      <c r="I714" s="7" t="n">
        <v>-740080761.809</v>
      </c>
      <c r="J714" s="8" t="n">
        <v>46252.58626157408</v>
      </c>
      <c r="K714" t="inlineStr">
        <is>
          <t>CF260818 00708</t>
        </is>
      </c>
      <c r="L714" t="inlineStr">
        <is>
          <t>GL.NOSTRO.GBP.BRGX.009</t>
        </is>
      </c>
      <c r="M714" t="inlineStr">
        <is>
          <t>Ironbark Commercial Bank</t>
        </is>
      </c>
      <c r="N714" t="inlineStr">
        <is>
          <t>BRGXCASH</t>
        </is>
      </c>
      <c r="O714" t="inlineStr">
        <is>
          <t>NEW</t>
        </is>
      </c>
      <c r="P714" t="inlineStr">
        <is>
          <t>NT26081800300</t>
        </is>
      </c>
      <c r="Q714" t="inlineStr">
        <is>
          <t>INTERNAL</t>
        </is>
      </c>
    </row>
    <row r="715">
      <c r="A715" t="inlineStr">
        <is>
          <t>824840705580</t>
        </is>
      </c>
      <c r="B715" t="inlineStr">
        <is>
          <t>TCP</t>
        </is>
      </c>
      <c r="C715" t="inlineStr">
        <is>
          <t>BRGL</t>
        </is>
      </c>
      <c r="D715" s="6" t="n">
        <v>46252</v>
      </c>
      <c r="E715" t="inlineStr">
        <is>
          <t>CR</t>
        </is>
      </c>
      <c r="F715" t="inlineStr">
        <is>
          <t>EUR</t>
        </is>
      </c>
      <c r="G715" s="7" t="n">
        <v>288126194.394</v>
      </c>
      <c r="H715" t="inlineStr">
        <is>
          <t>GBP</t>
        </is>
      </c>
      <c r="I715" s="7" t="n">
        <v>247212274.79</v>
      </c>
      <c r="J715" s="8" t="n">
        <v>46252.64346064815</v>
      </c>
      <c r="K715" t="inlineStr">
        <is>
          <t>CF260818 00709</t>
        </is>
      </c>
      <c r="L715" t="inlineStr">
        <is>
          <t>GL.NOSTRO.EUR.BRGL.005</t>
        </is>
      </c>
      <c r="M715" t="inlineStr">
        <is>
          <t>Juniper Bank</t>
        </is>
      </c>
      <c r="N715" t="inlineStr">
        <is>
          <t>BRGLMM</t>
        </is>
      </c>
      <c r="O715" t="inlineStr">
        <is>
          <t>NEW</t>
        </is>
      </c>
      <c r="P715" t="inlineStr">
        <is>
          <t>NT26081800299</t>
        </is>
      </c>
      <c r="Q715" t="inlineStr">
        <is>
          <t>NETTER</t>
        </is>
      </c>
    </row>
    <row r="716">
      <c r="A716" t="inlineStr">
        <is>
          <t>132544340094</t>
        </is>
      </c>
      <c r="B716" t="inlineStr">
        <is>
          <t>TCQ</t>
        </is>
      </c>
      <c r="C716" t="inlineStr">
        <is>
          <t>BRYG</t>
        </is>
      </c>
      <c r="D716" s="6" t="n">
        <v>46252</v>
      </c>
      <c r="E716" t="inlineStr">
        <is>
          <t>DR</t>
        </is>
      </c>
      <c r="F716" t="inlineStr">
        <is>
          <t>CZK</t>
        </is>
      </c>
      <c r="G716" s="7" t="n">
        <v>-5641935.06</v>
      </c>
      <c r="H716" t="inlineStr">
        <is>
          <t>GBP</t>
        </is>
      </c>
      <c r="I716" s="7" t="n">
        <v>-191261.599</v>
      </c>
      <c r="J716" s="8" t="n">
        <v>46252.35114583333</v>
      </c>
      <c r="K716" t="inlineStr">
        <is>
          <t>CF260818 00710</t>
        </is>
      </c>
      <c r="L716" t="inlineStr">
        <is>
          <t>GL.NOSTRO.CZK.BRYG.004</t>
        </is>
      </c>
      <c r="M716" t="inlineStr">
        <is>
          <t>Granite Clearing</t>
        </is>
      </c>
      <c r="N716" t="inlineStr">
        <is>
          <t>BRYGCASH</t>
        </is>
      </c>
      <c r="O716" t="inlineStr">
        <is>
          <t>NEW</t>
        </is>
      </c>
      <c r="P716" t="inlineStr">
        <is>
          <t>NT26081800280</t>
        </is>
      </c>
      <c r="Q716" t="inlineStr">
        <is>
          <t>NETTER</t>
        </is>
      </c>
    </row>
    <row r="717">
      <c r="A717" t="inlineStr">
        <is>
          <t>150316825069</t>
        </is>
      </c>
      <c r="B717" t="inlineStr">
        <is>
          <t>TCX</t>
        </is>
      </c>
      <c r="C717" t="inlineStr">
        <is>
          <t>BRGX</t>
        </is>
      </c>
      <c r="D717" s="6" t="n">
        <v>46252</v>
      </c>
      <c r="E717" t="inlineStr">
        <is>
          <t>DR</t>
        </is>
      </c>
      <c r="F717" t="inlineStr">
        <is>
          <t>GBP</t>
        </is>
      </c>
      <c r="G717" s="7" t="n">
        <v>-782654.007</v>
      </c>
      <c r="H717" t="inlineStr">
        <is>
          <t>GBP</t>
        </is>
      </c>
      <c r="I717" s="7" t="n">
        <v>-782654.007</v>
      </c>
      <c r="J717" s="8" t="n">
        <v>46252.78741898148</v>
      </c>
      <c r="K717" t="inlineStr">
        <is>
          <t>CF260818 00711</t>
        </is>
      </c>
      <c r="L717" t="inlineStr">
        <is>
          <t>GL.NOSTRO.GBP.BRGX.001</t>
        </is>
      </c>
      <c r="M717" t="inlineStr">
        <is>
          <t>Dunlin Clearing</t>
        </is>
      </c>
      <c r="N717" t="inlineStr">
        <is>
          <t>BRGXCASH</t>
        </is>
      </c>
      <c r="O717" t="inlineStr">
        <is>
          <t>NEW</t>
        </is>
      </c>
      <c r="Q717" t="inlineStr">
        <is>
          <t>NETTER</t>
        </is>
      </c>
    </row>
    <row r="718">
      <c r="A718" t="inlineStr">
        <is>
          <t>113829985108</t>
        </is>
      </c>
      <c r="B718" t="inlineStr">
        <is>
          <t>TCQ</t>
        </is>
      </c>
      <c r="C718" t="inlineStr">
        <is>
          <t>BRGL</t>
        </is>
      </c>
      <c r="D718" s="6" t="n">
        <v>46252</v>
      </c>
      <c r="E718" t="inlineStr">
        <is>
          <t>DR</t>
        </is>
      </c>
      <c r="F718" t="inlineStr">
        <is>
          <t>EUR</t>
        </is>
      </c>
      <c r="G718" s="7" t="n">
        <v>-59714117.805</v>
      </c>
      <c r="H718" t="inlineStr">
        <is>
          <t>GBP</t>
        </is>
      </c>
      <c r="I718" s="7" t="n">
        <v>-51234713.077</v>
      </c>
      <c r="J718" s="8" t="n">
        <v>46252.29650462963</v>
      </c>
      <c r="K718" t="inlineStr">
        <is>
          <t>CF260818 00712</t>
        </is>
      </c>
      <c r="L718" t="inlineStr">
        <is>
          <t>GL.NOSTRO.EUR.BRGL.006</t>
        </is>
      </c>
      <c r="M718" t="inlineStr">
        <is>
          <t>Granite Clearing</t>
        </is>
      </c>
      <c r="N718" t="inlineStr">
        <is>
          <t>BRGLTRSY</t>
        </is>
      </c>
      <c r="O718" t="inlineStr">
        <is>
          <t>NEW</t>
        </is>
      </c>
      <c r="Q718" t="inlineStr">
        <is>
          <t>INTERNAL</t>
        </is>
      </c>
    </row>
    <row r="719">
      <c r="A719" t="inlineStr">
        <is>
          <t>794226063698</t>
        </is>
      </c>
      <c r="B719" t="inlineStr">
        <is>
          <t>TCX</t>
        </is>
      </c>
      <c r="C719" t="inlineStr">
        <is>
          <t>BRMD</t>
        </is>
      </c>
      <c r="D719" s="6" t="n">
        <v>46252</v>
      </c>
      <c r="E719" t="inlineStr">
        <is>
          <t>DR</t>
        </is>
      </c>
      <c r="F719" t="inlineStr">
        <is>
          <t>AED</t>
        </is>
      </c>
      <c r="G719" s="7" t="n">
        <v>-76078.815</v>
      </c>
      <c r="H719" t="inlineStr">
        <is>
          <t>GBP</t>
        </is>
      </c>
      <c r="I719" s="7" t="n">
        <v>-16204.788</v>
      </c>
      <c r="J719" s="8" t="n">
        <v>46252.31506944444</v>
      </c>
      <c r="K719" t="inlineStr">
        <is>
          <t>CF260818 00713</t>
        </is>
      </c>
      <c r="L719" t="inlineStr">
        <is>
          <t>GL.NOSTRO.AED.BRMD.006</t>
        </is>
      </c>
      <c r="M719" t="inlineStr">
        <is>
          <t>Ironbark Commercial Bank</t>
        </is>
      </c>
      <c r="N719" t="inlineStr">
        <is>
          <t>BRMDCASH</t>
        </is>
      </c>
      <c r="O719" t="inlineStr">
        <is>
          <t>NEW</t>
        </is>
      </c>
      <c r="Q719" t="inlineStr">
        <is>
          <t>GROSS</t>
        </is>
      </c>
    </row>
    <row r="720">
      <c r="A720" t="inlineStr">
        <is>
          <t>499062838623</t>
        </is>
      </c>
      <c r="B720" t="inlineStr">
        <is>
          <t>TCQ</t>
        </is>
      </c>
      <c r="C720" t="inlineStr">
        <is>
          <t>BRBX</t>
        </is>
      </c>
      <c r="D720" s="6" t="n">
        <v>46252</v>
      </c>
      <c r="E720" t="inlineStr">
        <is>
          <t>DR</t>
        </is>
      </c>
      <c r="F720" t="inlineStr">
        <is>
          <t>USD</t>
        </is>
      </c>
      <c r="G720" s="7" t="n">
        <v>-475282.495</v>
      </c>
      <c r="H720" t="inlineStr">
        <is>
          <t>GBP</t>
        </is>
      </c>
      <c r="I720" s="7" t="n">
        <v>-372621.476</v>
      </c>
      <c r="J720" s="8" t="n">
        <v>46252.53039351852</v>
      </c>
      <c r="K720" t="inlineStr">
        <is>
          <t>CF260818 00714</t>
        </is>
      </c>
      <c r="L720" t="inlineStr">
        <is>
          <t>GL.NOSTRO.USD.BRBX.007</t>
        </is>
      </c>
      <c r="M720" t="inlineStr">
        <is>
          <t>Umberton Commercial Bank</t>
        </is>
      </c>
      <c r="N720" t="inlineStr">
        <is>
          <t>BRBXMM</t>
        </is>
      </c>
      <c r="O720" t="inlineStr">
        <is>
          <t>NEW</t>
        </is>
      </c>
      <c r="P720" t="inlineStr">
        <is>
          <t>NT26081800289</t>
        </is>
      </c>
      <c r="Q720" t="inlineStr">
        <is>
          <t>GROSS</t>
        </is>
      </c>
    </row>
    <row r="721">
      <c r="A721" t="inlineStr">
        <is>
          <t>910703979141</t>
        </is>
      </c>
      <c r="B721" t="inlineStr">
        <is>
          <t>TCQ</t>
        </is>
      </c>
      <c r="C721" t="inlineStr">
        <is>
          <t>BRCC</t>
        </is>
      </c>
      <c r="D721" s="6" t="n">
        <v>46252</v>
      </c>
      <c r="E721" t="inlineStr">
        <is>
          <t>DR</t>
        </is>
      </c>
      <c r="F721" t="inlineStr">
        <is>
          <t>CHF</t>
        </is>
      </c>
      <c r="G721" s="7" t="n">
        <v>-77221655.074</v>
      </c>
      <c r="H721" t="inlineStr">
        <is>
          <t>GBP</t>
        </is>
      </c>
      <c r="I721" s="7" t="n">
        <v>-69267824.601</v>
      </c>
      <c r="J721" s="8" t="n">
        <v>46252.30791666666</v>
      </c>
      <c r="K721" t="inlineStr">
        <is>
          <t>CF260818 00715</t>
        </is>
      </c>
      <c r="L721" t="inlineStr">
        <is>
          <t>GL.NOSTRO.CHF.BRCC.004</t>
        </is>
      </c>
      <c r="M721" t="inlineStr">
        <is>
          <t>Pinehurst Clearing</t>
        </is>
      </c>
      <c r="N721" t="inlineStr">
        <is>
          <t>BRCCMM</t>
        </is>
      </c>
      <c r="O721" t="inlineStr">
        <is>
          <t>NEW</t>
        </is>
      </c>
      <c r="Q721" t="inlineStr">
        <is>
          <t>NETTER</t>
        </is>
      </c>
    </row>
    <row r="722">
      <c r="A722" t="inlineStr">
        <is>
          <t>468341071172</t>
        </is>
      </c>
      <c r="B722" t="inlineStr">
        <is>
          <t>TCG</t>
        </is>
      </c>
      <c r="C722" t="inlineStr">
        <is>
          <t>BRCC</t>
        </is>
      </c>
      <c r="D722" s="6" t="n">
        <v>46252</v>
      </c>
      <c r="E722" t="inlineStr">
        <is>
          <t>CR</t>
        </is>
      </c>
      <c r="F722" t="inlineStr">
        <is>
          <t>EUR</t>
        </is>
      </c>
      <c r="G722" s="7" t="n">
        <v>97025565.852</v>
      </c>
      <c r="H722" t="inlineStr">
        <is>
          <t>GBP</t>
        </is>
      </c>
      <c r="I722" s="7" t="n">
        <v>83247935.501</v>
      </c>
      <c r="J722" s="8" t="n">
        <v>46252.4030324074</v>
      </c>
      <c r="K722" t="inlineStr">
        <is>
          <t>CF260818 00716</t>
        </is>
      </c>
      <c r="L722" t="inlineStr">
        <is>
          <t>GL.NOSTRO.EUR.BRCC.002</t>
        </is>
      </c>
      <c r="M722" t="inlineStr">
        <is>
          <t>Nightjar Trust</t>
        </is>
      </c>
      <c r="N722" t="inlineStr">
        <is>
          <t>BRCCMM</t>
        </is>
      </c>
      <c r="O722" t="inlineStr">
        <is>
          <t>NEW</t>
        </is>
      </c>
      <c r="P722" t="inlineStr">
        <is>
          <t>NT26081800283</t>
        </is>
      </c>
      <c r="Q722" t="inlineStr">
        <is>
          <t>GROSS</t>
        </is>
      </c>
    </row>
    <row r="723">
      <c r="A723" t="inlineStr">
        <is>
          <t>794226063698</t>
        </is>
      </c>
      <c r="B723" t="inlineStr">
        <is>
          <t>TCP</t>
        </is>
      </c>
      <c r="C723" t="inlineStr">
        <is>
          <t>BRMD</t>
        </is>
      </c>
      <c r="D723" s="6" t="n">
        <v>46252</v>
      </c>
      <c r="E723" t="inlineStr">
        <is>
          <t>DR</t>
        </is>
      </c>
      <c r="F723" t="inlineStr">
        <is>
          <t>AED</t>
        </is>
      </c>
      <c r="G723" s="7" t="n">
        <v>-695811.078</v>
      </c>
      <c r="H723" t="inlineStr">
        <is>
          <t>GBP</t>
        </is>
      </c>
      <c r="I723" s="7" t="n">
        <v>-148207.76</v>
      </c>
      <c r="J723" s="8" t="n">
        <v>46252.525</v>
      </c>
      <c r="K723" t="inlineStr">
        <is>
          <t>CF260818 00717</t>
        </is>
      </c>
      <c r="L723" t="inlineStr">
        <is>
          <t>GL.NOSTRO.AED.BRMD.005</t>
        </is>
      </c>
      <c r="M723" t="inlineStr">
        <is>
          <t>Fernway Settlement Bank</t>
        </is>
      </c>
      <c r="N723" t="inlineStr">
        <is>
          <t>BRMDTRSY</t>
        </is>
      </c>
      <c r="O723" t="inlineStr">
        <is>
          <t>CANCEL</t>
        </is>
      </c>
      <c r="P723" t="inlineStr">
        <is>
          <t>NT26081800316</t>
        </is>
      </c>
      <c r="Q723" t="inlineStr">
        <is>
          <t>NETTER</t>
        </is>
      </c>
    </row>
    <row r="724">
      <c r="A724" t="inlineStr">
        <is>
          <t>150316825069</t>
        </is>
      </c>
      <c r="B724" t="inlineStr">
        <is>
          <t>TCX</t>
        </is>
      </c>
      <c r="C724" t="inlineStr">
        <is>
          <t>BRGX</t>
        </is>
      </c>
      <c r="D724" s="6" t="n">
        <v>46252</v>
      </c>
      <c r="E724" t="inlineStr">
        <is>
          <t>DR</t>
        </is>
      </c>
      <c r="F724" t="inlineStr">
        <is>
          <t>GBP</t>
        </is>
      </c>
      <c r="G724" s="7" t="n">
        <v>-565481862.801</v>
      </c>
      <c r="H724" t="inlineStr">
        <is>
          <t>GBP</t>
        </is>
      </c>
      <c r="I724" s="7" t="n">
        <v>-565481862.801</v>
      </c>
      <c r="J724" s="8" t="n">
        <v>46252.32572916667</v>
      </c>
      <c r="K724" t="inlineStr">
        <is>
          <t>CF260818 00718</t>
        </is>
      </c>
      <c r="L724" t="inlineStr">
        <is>
          <t>GL.NOSTRO.GBP.BRGX.002</t>
        </is>
      </c>
      <c r="M724" t="inlineStr">
        <is>
          <t>Redstart Commercial Bank</t>
        </is>
      </c>
      <c r="N724" t="inlineStr">
        <is>
          <t>BRGXCASH</t>
        </is>
      </c>
      <c r="O724" t="inlineStr">
        <is>
          <t>NEW</t>
        </is>
      </c>
      <c r="P724" t="inlineStr">
        <is>
          <t>NT26081800300</t>
        </is>
      </c>
      <c r="Q724" t="inlineStr">
        <is>
          <t>NETTER</t>
        </is>
      </c>
    </row>
    <row r="725">
      <c r="A725" t="inlineStr">
        <is>
          <t>499062838623</t>
        </is>
      </c>
      <c r="B725" t="inlineStr">
        <is>
          <t>TCC</t>
        </is>
      </c>
      <c r="C725" t="inlineStr">
        <is>
          <t>BRBX</t>
        </is>
      </c>
      <c r="D725" s="6" t="n">
        <v>46252</v>
      </c>
      <c r="E725" t="inlineStr">
        <is>
          <t>DR</t>
        </is>
      </c>
      <c r="F725" t="inlineStr">
        <is>
          <t>USD</t>
        </is>
      </c>
      <c r="G725" s="7" t="n">
        <v>-679094554.748</v>
      </c>
      <c r="H725" t="inlineStr">
        <is>
          <t>GBP</t>
        </is>
      </c>
      <c r="I725" s="7" t="n">
        <v>-532410130.922</v>
      </c>
      <c r="J725" s="8" t="n">
        <v>46252.69142361111</v>
      </c>
      <c r="K725" t="inlineStr">
        <is>
          <t>CF260818 00719</t>
        </is>
      </c>
      <c r="L725" t="inlineStr">
        <is>
          <t>GL.NOSTRO.USD.BRBX.003</t>
        </is>
      </c>
      <c r="M725" t="inlineStr">
        <is>
          <t>Pinehurst Bank</t>
        </is>
      </c>
      <c r="N725" t="inlineStr">
        <is>
          <t>BRBXCASH</t>
        </is>
      </c>
      <c r="O725" t="inlineStr">
        <is>
          <t>NEW</t>
        </is>
      </c>
      <c r="P725" t="inlineStr">
        <is>
          <t>NT26081800311</t>
        </is>
      </c>
      <c r="Q725" t="inlineStr">
        <is>
          <t>GROSS</t>
        </is>
      </c>
    </row>
    <row r="726">
      <c r="A726" t="inlineStr">
        <is>
          <t>824840705580</t>
        </is>
      </c>
      <c r="B726" t="inlineStr">
        <is>
          <t>TCC</t>
        </is>
      </c>
      <c r="C726" t="inlineStr">
        <is>
          <t>BRGL</t>
        </is>
      </c>
      <c r="D726" s="6" t="n">
        <v>46252</v>
      </c>
      <c r="E726" t="inlineStr">
        <is>
          <t>DR</t>
        </is>
      </c>
      <c r="F726" t="inlineStr">
        <is>
          <t>EUR</t>
        </is>
      </c>
      <c r="G726" s="7" t="n">
        <v>-261531.844</v>
      </c>
      <c r="H726" t="inlineStr">
        <is>
          <t>GBP</t>
        </is>
      </c>
      <c r="I726" s="7" t="n">
        <v>-224394.322</v>
      </c>
      <c r="J726" s="8" t="n">
        <v>46252.34635416666</v>
      </c>
      <c r="K726" t="inlineStr">
        <is>
          <t>CF260818 00720</t>
        </is>
      </c>
      <c r="L726" t="inlineStr">
        <is>
          <t>GL.NOSTRO.EUR.BRGL.008</t>
        </is>
      </c>
      <c r="M726" t="inlineStr">
        <is>
          <t>Sablewood Commercial Bank</t>
        </is>
      </c>
      <c r="N726" t="inlineStr">
        <is>
          <t>BRGLMM</t>
        </is>
      </c>
      <c r="O726" t="inlineStr">
        <is>
          <t>AMEND</t>
        </is>
      </c>
      <c r="P726" t="inlineStr">
        <is>
          <t>NT26081800290</t>
        </is>
      </c>
      <c r="Q726" t="inlineStr">
        <is>
          <t>GROSS</t>
        </is>
      </c>
    </row>
    <row r="727">
      <c r="A727" t="inlineStr">
        <is>
          <t>499062838623</t>
        </is>
      </c>
      <c r="B727" t="inlineStr">
        <is>
          <t>TCP</t>
        </is>
      </c>
      <c r="C727" t="inlineStr">
        <is>
          <t>BRBX</t>
        </is>
      </c>
      <c r="D727" s="6" t="n">
        <v>46252</v>
      </c>
      <c r="E727" t="inlineStr">
        <is>
          <t>DR</t>
        </is>
      </c>
      <c r="F727" t="inlineStr">
        <is>
          <t>USD</t>
        </is>
      </c>
      <c r="G727" s="7" t="n">
        <v>-937339.329</v>
      </c>
      <c r="H727" t="inlineStr">
        <is>
          <t>GBP</t>
        </is>
      </c>
      <c r="I727" s="7" t="n">
        <v>-734874.034</v>
      </c>
      <c r="J727" s="8" t="n">
        <v>46252.82671296296</v>
      </c>
      <c r="K727" t="inlineStr">
        <is>
          <t>CF260818 00721</t>
        </is>
      </c>
      <c r="L727" t="inlineStr">
        <is>
          <t>GL.NOSTRO.USD.BRBX.002</t>
        </is>
      </c>
      <c r="M727" t="inlineStr">
        <is>
          <t>Dunlin Trust</t>
        </is>
      </c>
      <c r="N727" t="inlineStr">
        <is>
          <t>BRBXCASH</t>
        </is>
      </c>
      <c r="O727" t="inlineStr">
        <is>
          <t>NEW</t>
        </is>
      </c>
      <c r="Q727" t="inlineStr">
        <is>
          <t>GROSS</t>
        </is>
      </c>
    </row>
    <row r="728">
      <c r="A728" t="inlineStr">
        <is>
          <t>265771593142</t>
        </is>
      </c>
      <c r="B728" t="inlineStr">
        <is>
          <t>TCQ</t>
        </is>
      </c>
      <c r="C728" t="inlineStr">
        <is>
          <t>BRYG</t>
        </is>
      </c>
      <c r="D728" s="6" t="n">
        <v>46252</v>
      </c>
      <c r="E728" t="inlineStr">
        <is>
          <t>CR</t>
        </is>
      </c>
      <c r="F728" t="inlineStr">
        <is>
          <t>EUR</t>
        </is>
      </c>
      <c r="G728" s="7" t="n">
        <v>405633329.61</v>
      </c>
      <c r="H728" t="inlineStr">
        <is>
          <t>GBP</t>
        </is>
      </c>
      <c r="I728" s="7" t="n">
        <v>348033396.805</v>
      </c>
      <c r="J728" s="8" t="n">
        <v>46252.6252662037</v>
      </c>
      <c r="K728" t="inlineStr">
        <is>
          <t>CF260818 00722</t>
        </is>
      </c>
      <c r="L728" t="inlineStr">
        <is>
          <t>GL.NOSTRO.EUR.BRYG.009</t>
        </is>
      </c>
      <c r="M728" t="inlineStr">
        <is>
          <t>Ironbark Trust</t>
        </is>
      </c>
      <c r="N728" t="inlineStr">
        <is>
          <t>BRYGTRSY</t>
        </is>
      </c>
      <c r="O728" t="inlineStr">
        <is>
          <t>NEW</t>
        </is>
      </c>
      <c r="Q728" t="inlineStr">
        <is>
          <t>GROSS</t>
        </is>
      </c>
    </row>
    <row r="729">
      <c r="A729" t="inlineStr">
        <is>
          <t>927538182434</t>
        </is>
      </c>
      <c r="B729" t="inlineStr">
        <is>
          <t>TCC</t>
        </is>
      </c>
      <c r="C729" t="inlineStr">
        <is>
          <t>BRNK</t>
        </is>
      </c>
      <c r="D729" s="6" t="n">
        <v>46252</v>
      </c>
      <c r="E729" t="inlineStr">
        <is>
          <t>DR</t>
        </is>
      </c>
      <c r="F729" t="inlineStr">
        <is>
          <t>CNY</t>
        </is>
      </c>
      <c r="G729" s="7" t="n">
        <v>-8.885</v>
      </c>
      <c r="H729" t="inlineStr">
        <is>
          <t>GBP</t>
        </is>
      </c>
      <c r="I729" s="7" t="n">
        <v>-0.968</v>
      </c>
      <c r="J729" s="8" t="n">
        <v>46252.29700231482</v>
      </c>
      <c r="K729" t="inlineStr">
        <is>
          <t>CF260818 00723</t>
        </is>
      </c>
      <c r="L729" t="inlineStr">
        <is>
          <t>GL.NOSTRO.CNY.BRNK.009</t>
        </is>
      </c>
      <c r="M729" t="inlineStr">
        <is>
          <t>Pinehurst Bank</t>
        </is>
      </c>
      <c r="N729" t="inlineStr">
        <is>
          <t>BRNKTRSY</t>
        </is>
      </c>
      <c r="O729" t="inlineStr">
        <is>
          <t>NEW</t>
        </is>
      </c>
      <c r="Q729" t="inlineStr">
        <is>
          <t>NETTER</t>
        </is>
      </c>
    </row>
    <row r="730">
      <c r="A730" t="inlineStr">
        <is>
          <t>284925023085</t>
        </is>
      </c>
      <c r="B730" t="inlineStr">
        <is>
          <t>TCG</t>
        </is>
      </c>
      <c r="C730" t="inlineStr">
        <is>
          <t>BRMD</t>
        </is>
      </c>
      <c r="D730" s="6" t="n">
        <v>46252</v>
      </c>
      <c r="E730" t="inlineStr">
        <is>
          <t>DR</t>
        </is>
      </c>
      <c r="F730" t="inlineStr">
        <is>
          <t>MXN</t>
        </is>
      </c>
      <c r="G730" s="7" t="n">
        <v>-165173160.558</v>
      </c>
      <c r="H730" t="inlineStr">
        <is>
          <t>GBP</t>
        </is>
      </c>
      <c r="I730" s="7" t="n">
        <v>-7069411.272</v>
      </c>
      <c r="J730" s="8" t="n">
        <v>46252.42274305555</v>
      </c>
      <c r="K730" t="inlineStr">
        <is>
          <t>CF260818 00724</t>
        </is>
      </c>
      <c r="L730" t="inlineStr">
        <is>
          <t>GL.NOSTRO.MXN.BRMD.009</t>
        </is>
      </c>
      <c r="M730" t="inlineStr">
        <is>
          <t>Thornbury Bank</t>
        </is>
      </c>
      <c r="N730" t="inlineStr">
        <is>
          <t>BRMDTRSY</t>
        </is>
      </c>
      <c r="O730" t="inlineStr">
        <is>
          <t>NEW</t>
        </is>
      </c>
      <c r="Q730" t="inlineStr">
        <is>
          <t>NETTER</t>
        </is>
      </c>
    </row>
    <row r="731">
      <c r="A731" t="inlineStr">
        <is>
          <t>621381112674</t>
        </is>
      </c>
      <c r="B731" t="inlineStr">
        <is>
          <t>TCP</t>
        </is>
      </c>
      <c r="C731" t="inlineStr">
        <is>
          <t>BRAA</t>
        </is>
      </c>
      <c r="D731" s="6" t="n">
        <v>46252</v>
      </c>
      <c r="E731" t="inlineStr">
        <is>
          <t>CR</t>
        </is>
      </c>
      <c r="F731" t="inlineStr">
        <is>
          <t>PLN</t>
        </is>
      </c>
      <c r="G731" s="7" t="n">
        <v>39727984.403</v>
      </c>
      <c r="H731" t="inlineStr">
        <is>
          <t>GBP</t>
        </is>
      </c>
      <c r="I731" s="7" t="n">
        <v>7866140.912</v>
      </c>
      <c r="J731" s="8" t="n">
        <v>46252.3125</v>
      </c>
      <c r="K731" t="inlineStr">
        <is>
          <t>CF260818 00725</t>
        </is>
      </c>
      <c r="L731" t="inlineStr">
        <is>
          <t>GL.NOSTRO.PLN.BRAA.001</t>
        </is>
      </c>
      <c r="M731" t="inlineStr">
        <is>
          <t>Mallow Trust</t>
        </is>
      </c>
      <c r="N731" t="inlineStr">
        <is>
          <t>BRAA</t>
        </is>
      </c>
      <c r="O731" t="inlineStr">
        <is>
          <t>NEW</t>
        </is>
      </c>
      <c r="P731" t="inlineStr">
        <is>
          <t>NT26081800307</t>
        </is>
      </c>
      <c r="Q731" t="inlineStr">
        <is>
          <t>NETTER</t>
        </is>
      </c>
    </row>
    <row r="732">
      <c r="A732" t="inlineStr">
        <is>
          <t>150316825069</t>
        </is>
      </c>
      <c r="B732" t="inlineStr">
        <is>
          <t>TCC</t>
        </is>
      </c>
      <c r="C732" t="inlineStr">
        <is>
          <t>BRGX</t>
        </is>
      </c>
      <c r="D732" s="6" t="n">
        <v>46252</v>
      </c>
      <c r="E732" t="inlineStr">
        <is>
          <t>DR</t>
        </is>
      </c>
      <c r="F732" t="inlineStr">
        <is>
          <t>GBP</t>
        </is>
      </c>
      <c r="G732" s="7" t="n">
        <v>-10880633.224</v>
      </c>
      <c r="H732" t="inlineStr">
        <is>
          <t>GBP</t>
        </is>
      </c>
      <c r="I732" s="7" t="n">
        <v>-10880633.224</v>
      </c>
      <c r="J732" s="8" t="n">
        <v>46252.59429398148</v>
      </c>
      <c r="K732" t="inlineStr">
        <is>
          <t>CF260818 00726</t>
        </is>
      </c>
      <c r="L732" t="inlineStr">
        <is>
          <t>GL.NOSTRO.GBP.BRGX.002</t>
        </is>
      </c>
      <c r="M732" t="inlineStr">
        <is>
          <t>Oriel Trust</t>
        </is>
      </c>
      <c r="N732" t="inlineStr">
        <is>
          <t>BRGXCASH</t>
        </is>
      </c>
      <c r="O732" t="inlineStr">
        <is>
          <t>NEW</t>
        </is>
      </c>
      <c r="P732" t="inlineStr">
        <is>
          <t>NT26081800288</t>
        </is>
      </c>
      <c r="Q732" t="inlineStr">
        <is>
          <t>GROSS</t>
        </is>
      </c>
    </row>
    <row r="733">
      <c r="A733" t="inlineStr">
        <is>
          <t>150316825069</t>
        </is>
      </c>
      <c r="B733" t="inlineStr">
        <is>
          <t>TCP</t>
        </is>
      </c>
      <c r="C733" t="inlineStr">
        <is>
          <t>BRGX</t>
        </is>
      </c>
      <c r="D733" s="6" t="n">
        <v>46252</v>
      </c>
      <c r="E733" t="inlineStr">
        <is>
          <t>CR</t>
        </is>
      </c>
      <c r="F733" t="inlineStr">
        <is>
          <t>GBP</t>
        </is>
      </c>
      <c r="G733" s="7" t="n">
        <v>10134720.742</v>
      </c>
      <c r="H733" t="inlineStr">
        <is>
          <t>GBP</t>
        </is>
      </c>
      <c r="I733" s="7" t="n">
        <v>10134720.742</v>
      </c>
      <c r="J733" s="8" t="n">
        <v>46252.32217592592</v>
      </c>
      <c r="K733" t="inlineStr">
        <is>
          <t>CF260818 00727</t>
        </is>
      </c>
      <c r="L733" t="inlineStr">
        <is>
          <t>GL.NOSTRO.GBP.BRGX.004</t>
        </is>
      </c>
      <c r="M733" t="inlineStr">
        <is>
          <t>Dunlin Clearing</t>
        </is>
      </c>
      <c r="N733" t="inlineStr">
        <is>
          <t>BRGXMM</t>
        </is>
      </c>
      <c r="O733" t="inlineStr">
        <is>
          <t>NEW</t>
        </is>
      </c>
      <c r="Q733" t="inlineStr">
        <is>
          <t>NETTER</t>
        </is>
      </c>
    </row>
    <row r="734">
      <c r="A734" t="inlineStr">
        <is>
          <t>150316825069</t>
        </is>
      </c>
      <c r="B734" t="inlineStr">
        <is>
          <t>TCX</t>
        </is>
      </c>
      <c r="C734" t="inlineStr">
        <is>
          <t>BRGX</t>
        </is>
      </c>
      <c r="D734" s="6" t="n">
        <v>46252</v>
      </c>
      <c r="E734" t="inlineStr">
        <is>
          <t>CR</t>
        </is>
      </c>
      <c r="F734" t="inlineStr">
        <is>
          <t>GBP</t>
        </is>
      </c>
      <c r="G734" s="7" t="n">
        <v>345093988.735</v>
      </c>
      <c r="H734" t="inlineStr">
        <is>
          <t>GBP</t>
        </is>
      </c>
      <c r="I734" s="7" t="n">
        <v>345093988.735</v>
      </c>
      <c r="J734" s="8" t="n">
        <v>46252.26892361111</v>
      </c>
      <c r="K734" t="inlineStr">
        <is>
          <t>CF260818 00728</t>
        </is>
      </c>
      <c r="L734" t="inlineStr">
        <is>
          <t>GL.NOSTRO.GBP.BRGX.005</t>
        </is>
      </c>
      <c r="M734" t="inlineStr">
        <is>
          <t>Larkspur Clearing</t>
        </is>
      </c>
      <c r="N734" t="inlineStr">
        <is>
          <t>BRGXMM</t>
        </is>
      </c>
      <c r="O734" t="inlineStr">
        <is>
          <t>NEW</t>
        </is>
      </c>
      <c r="Q734" t="inlineStr">
        <is>
          <t>GROSS</t>
        </is>
      </c>
    </row>
    <row r="735">
      <c r="A735" t="inlineStr">
        <is>
          <t>150316825069</t>
        </is>
      </c>
      <c r="B735" t="inlineStr">
        <is>
          <t>TCC</t>
        </is>
      </c>
      <c r="C735" t="inlineStr">
        <is>
          <t>BRGX</t>
        </is>
      </c>
      <c r="D735" s="6" t="n">
        <v>46252</v>
      </c>
      <c r="E735" t="inlineStr">
        <is>
          <t>DR</t>
        </is>
      </c>
      <c r="F735" t="inlineStr">
        <is>
          <t>GBP</t>
        </is>
      </c>
      <c r="G735" s="7" t="n">
        <v>-838606.137</v>
      </c>
      <c r="H735" t="inlineStr">
        <is>
          <t>GBP</t>
        </is>
      </c>
      <c r="I735" s="7" t="n">
        <v>-838606.137</v>
      </c>
      <c r="J735" s="8" t="n">
        <v>46252.47644675926</v>
      </c>
      <c r="K735" t="inlineStr">
        <is>
          <t>CF260818 00729</t>
        </is>
      </c>
      <c r="L735" t="inlineStr">
        <is>
          <t>GL.NOSTRO.GBP.BRGX.003</t>
        </is>
      </c>
      <c r="M735" t="inlineStr">
        <is>
          <t>Sablewood Commercial Bank</t>
        </is>
      </c>
      <c r="N735" t="inlineStr">
        <is>
          <t>BRGX</t>
        </is>
      </c>
      <c r="O735" t="inlineStr">
        <is>
          <t>NEW</t>
        </is>
      </c>
      <c r="Q735" t="inlineStr">
        <is>
          <t>NETTER</t>
        </is>
      </c>
    </row>
    <row r="736">
      <c r="A736" t="inlineStr">
        <is>
          <t>700726936098</t>
        </is>
      </c>
      <c r="B736" t="inlineStr">
        <is>
          <t>TCP</t>
        </is>
      </c>
      <c r="C736" t="inlineStr">
        <is>
          <t>BRMD</t>
        </is>
      </c>
      <c r="D736" s="6" t="n">
        <v>46252</v>
      </c>
      <c r="E736" t="inlineStr">
        <is>
          <t>DR</t>
        </is>
      </c>
      <c r="F736" t="inlineStr">
        <is>
          <t>SAR</t>
        </is>
      </c>
      <c r="G736" s="7" t="n">
        <v>-52321272.571</v>
      </c>
      <c r="H736" t="inlineStr">
        <is>
          <t>GBP</t>
        </is>
      </c>
      <c r="I736" s="7" t="n">
        <v>-10935145.967</v>
      </c>
      <c r="J736" s="8" t="n">
        <v>46252.39800925926</v>
      </c>
      <c r="K736" t="inlineStr">
        <is>
          <t>CF260818 00730</t>
        </is>
      </c>
      <c r="L736" t="inlineStr">
        <is>
          <t>GL.NOSTRO.SAR.BRMD.009</t>
        </is>
      </c>
      <c r="M736" t="inlineStr">
        <is>
          <t>Sablewood Settlement Bank</t>
        </is>
      </c>
      <c r="N736" t="inlineStr">
        <is>
          <t>BRMD</t>
        </is>
      </c>
      <c r="O736" t="inlineStr">
        <is>
          <t>NEW</t>
        </is>
      </c>
      <c r="P736" t="inlineStr">
        <is>
          <t>NT26081800302</t>
        </is>
      </c>
      <c r="Q736" t="inlineStr">
        <is>
          <t>NETTER</t>
        </is>
      </c>
    </row>
    <row r="737">
      <c r="A737" t="inlineStr">
        <is>
          <t>794226063698</t>
        </is>
      </c>
      <c r="B737" t="inlineStr">
        <is>
          <t>TCP</t>
        </is>
      </c>
      <c r="C737" t="inlineStr">
        <is>
          <t>BRMD</t>
        </is>
      </c>
      <c r="D737" s="6" t="n">
        <v>46252</v>
      </c>
      <c r="E737" t="inlineStr">
        <is>
          <t>CR</t>
        </is>
      </c>
      <c r="F737" t="inlineStr">
        <is>
          <t>AED</t>
        </is>
      </c>
      <c r="G737" s="7" t="n">
        <v>10238211.572</v>
      </c>
      <c r="H737" t="inlineStr">
        <is>
          <t>GBP</t>
        </is>
      </c>
      <c r="I737" s="7" t="n">
        <v>2180739.065</v>
      </c>
      <c r="J737" s="8" t="n">
        <v>46252.55515046296</v>
      </c>
      <c r="K737" t="inlineStr">
        <is>
          <t>CF260818 00731</t>
        </is>
      </c>
      <c r="L737" t="inlineStr">
        <is>
          <t>GL.NOSTRO.AED.BRMD.005</t>
        </is>
      </c>
      <c r="M737" t="inlineStr">
        <is>
          <t>Ironbark Commercial Bank</t>
        </is>
      </c>
      <c r="N737" t="inlineStr">
        <is>
          <t>BRMDCASH</t>
        </is>
      </c>
      <c r="O737" t="inlineStr">
        <is>
          <t>NEW</t>
        </is>
      </c>
      <c r="P737" t="inlineStr">
        <is>
          <t>NT26081800308</t>
        </is>
      </c>
      <c r="Q737" t="inlineStr">
        <is>
          <t>NETTER</t>
        </is>
      </c>
    </row>
    <row r="738">
      <c r="A738" t="inlineStr">
        <is>
          <t>468341071172</t>
        </is>
      </c>
      <c r="B738" t="inlineStr">
        <is>
          <t>TCC</t>
        </is>
      </c>
      <c r="C738" t="inlineStr">
        <is>
          <t>BRCC</t>
        </is>
      </c>
      <c r="D738" s="6" t="n">
        <v>46252</v>
      </c>
      <c r="E738" t="inlineStr">
        <is>
          <t>DR</t>
        </is>
      </c>
      <c r="F738" t="inlineStr">
        <is>
          <t>EUR</t>
        </is>
      </c>
      <c r="G738" s="7" t="n">
        <v>-145103166.948</v>
      </c>
      <c r="H738" t="inlineStr">
        <is>
          <t>GBP</t>
        </is>
      </c>
      <c r="I738" s="7" t="n">
        <v>-124498517.241</v>
      </c>
      <c r="J738" s="8" t="n">
        <v>46252.76837962963</v>
      </c>
      <c r="K738" t="inlineStr">
        <is>
          <t>CF260818 00732</t>
        </is>
      </c>
      <c r="L738" t="inlineStr">
        <is>
          <t>GL.NOSTRO.EUR.BRCC.001</t>
        </is>
      </c>
      <c r="M738" t="inlineStr">
        <is>
          <t>Sablewood Clearing</t>
        </is>
      </c>
      <c r="N738" t="inlineStr">
        <is>
          <t>BRCCCASH</t>
        </is>
      </c>
      <c r="O738" t="inlineStr">
        <is>
          <t>NEW</t>
        </is>
      </c>
      <c r="P738" t="inlineStr">
        <is>
          <t>NT26081800306</t>
        </is>
      </c>
      <c r="Q738" t="inlineStr">
        <is>
          <t>GROSS</t>
        </is>
      </c>
    </row>
    <row r="739">
      <c r="A739" t="inlineStr">
        <is>
          <t>898317028833</t>
        </is>
      </c>
      <c r="B739" t="inlineStr">
        <is>
          <t>TCG</t>
        </is>
      </c>
      <c r="C739" t="inlineStr">
        <is>
          <t>BRAA</t>
        </is>
      </c>
      <c r="D739" s="6" t="n">
        <v>46252</v>
      </c>
      <c r="E739" t="inlineStr">
        <is>
          <t>DR</t>
        </is>
      </c>
      <c r="F739" t="inlineStr">
        <is>
          <t>GBP</t>
        </is>
      </c>
      <c r="G739" s="7" t="n">
        <v>-243298.009</v>
      </c>
      <c r="H739" t="inlineStr">
        <is>
          <t>GBP</t>
        </is>
      </c>
      <c r="I739" s="7" t="n">
        <v>-243298.009</v>
      </c>
      <c r="J739" s="8" t="n">
        <v>46252.72785879629</v>
      </c>
      <c r="K739" t="inlineStr">
        <is>
          <t>CF260818 00733</t>
        </is>
      </c>
      <c r="L739" t="inlineStr">
        <is>
          <t>GL.NOSTRO.GBP.BRAA.008</t>
        </is>
      </c>
      <c r="M739" t="inlineStr">
        <is>
          <t>Pinehurst Clearing</t>
        </is>
      </c>
      <c r="N739" t="inlineStr">
        <is>
          <t>BRAACASH</t>
        </is>
      </c>
      <c r="O739" t="inlineStr">
        <is>
          <t>NEW</t>
        </is>
      </c>
      <c r="Q739" t="inlineStr">
        <is>
          <t>NETTER</t>
        </is>
      </c>
    </row>
    <row r="740">
      <c r="A740" t="inlineStr">
        <is>
          <t>726928343448</t>
        </is>
      </c>
      <c r="B740" t="inlineStr">
        <is>
          <t>TCC</t>
        </is>
      </c>
      <c r="C740" t="inlineStr">
        <is>
          <t>BRGX</t>
        </is>
      </c>
      <c r="D740" s="6" t="n">
        <v>46252</v>
      </c>
      <c r="E740" t="inlineStr">
        <is>
          <t>CR</t>
        </is>
      </c>
      <c r="F740" t="inlineStr">
        <is>
          <t>EUR</t>
        </is>
      </c>
      <c r="G740" s="7" t="n">
        <v>140412107.571</v>
      </c>
      <c r="H740" t="inlineStr">
        <is>
          <t>GBP</t>
        </is>
      </c>
      <c r="I740" s="7" t="n">
        <v>120473588.296</v>
      </c>
      <c r="J740" s="8" t="n">
        <v>46252.41392361111</v>
      </c>
      <c r="K740" t="inlineStr">
        <is>
          <t>CF260818 00734</t>
        </is>
      </c>
      <c r="L740" t="inlineStr">
        <is>
          <t>GL.NOSTRO.EUR.BRGX.006</t>
        </is>
      </c>
      <c r="M740" t="inlineStr">
        <is>
          <t>Zephyr Commercial Bank</t>
        </is>
      </c>
      <c r="N740" t="inlineStr">
        <is>
          <t>BRGX</t>
        </is>
      </c>
      <c r="O740" t="inlineStr">
        <is>
          <t>NEW</t>
        </is>
      </c>
      <c r="Q740" t="inlineStr">
        <is>
          <t>NETTER</t>
        </is>
      </c>
    </row>
    <row r="741">
      <c r="A741" t="inlineStr">
        <is>
          <t>910703979141</t>
        </is>
      </c>
      <c r="B741" t="inlineStr">
        <is>
          <t>TCG</t>
        </is>
      </c>
      <c r="C741" t="inlineStr">
        <is>
          <t>BRCC</t>
        </is>
      </c>
      <c r="D741" s="6" t="n">
        <v>46252</v>
      </c>
      <c r="E741" t="inlineStr">
        <is>
          <t>DR</t>
        </is>
      </c>
      <c r="F741" t="inlineStr">
        <is>
          <t>CHF</t>
        </is>
      </c>
      <c r="G741" s="7" t="n">
        <v>-16544824.387</v>
      </c>
      <c r="H741" t="inlineStr">
        <is>
          <t>GBP</t>
        </is>
      </c>
      <c r="I741" s="7" t="n">
        <v>-14840707.475</v>
      </c>
      <c r="J741" s="8" t="n">
        <v>46252.72054398148</v>
      </c>
      <c r="K741" t="inlineStr">
        <is>
          <t>CF260818 00735</t>
        </is>
      </c>
      <c r="L741" t="inlineStr">
        <is>
          <t>GL.NOSTRO.CHF.BRCC.009</t>
        </is>
      </c>
      <c r="M741" t="inlineStr">
        <is>
          <t>Alder Trust</t>
        </is>
      </c>
      <c r="N741" t="inlineStr">
        <is>
          <t>BRCCTRSY</t>
        </is>
      </c>
      <c r="O741" t="inlineStr">
        <is>
          <t>NEW</t>
        </is>
      </c>
      <c r="Q741" t="inlineStr">
        <is>
          <t>INTERNAL</t>
        </is>
      </c>
    </row>
    <row r="742">
      <c r="A742" t="inlineStr">
        <is>
          <t>150316825069</t>
        </is>
      </c>
      <c r="B742" t="inlineStr">
        <is>
          <t>TCC</t>
        </is>
      </c>
      <c r="C742" t="inlineStr">
        <is>
          <t>BRGX</t>
        </is>
      </c>
      <c r="D742" s="6" t="n">
        <v>46252</v>
      </c>
      <c r="E742" t="inlineStr">
        <is>
          <t>CR</t>
        </is>
      </c>
      <c r="F742" t="inlineStr">
        <is>
          <t>GBP</t>
        </is>
      </c>
      <c r="G742" s="7" t="n">
        <v>1020.27</v>
      </c>
      <c r="H742" t="inlineStr">
        <is>
          <t>GBP</t>
        </is>
      </c>
      <c r="I742" s="7" t="n">
        <v>1020.27</v>
      </c>
      <c r="J742" s="8" t="n">
        <v>46252.25302083333</v>
      </c>
      <c r="K742" t="inlineStr">
        <is>
          <t>CF260818 00736</t>
        </is>
      </c>
      <c r="L742" t="inlineStr">
        <is>
          <t>GL.NOSTRO.GBP.BRGX.005</t>
        </is>
      </c>
      <c r="M742" t="inlineStr">
        <is>
          <t>Wrenfield Commercial Bank</t>
        </is>
      </c>
      <c r="N742" t="inlineStr">
        <is>
          <t>BRGXMM</t>
        </is>
      </c>
      <c r="O742" t="inlineStr">
        <is>
          <t>NEW</t>
        </is>
      </c>
      <c r="Q742" t="inlineStr">
        <is>
          <t>GROSS</t>
        </is>
      </c>
    </row>
    <row r="743">
      <c r="A743" t="inlineStr">
        <is>
          <t>824840705580</t>
        </is>
      </c>
      <c r="B743" t="inlineStr">
        <is>
          <t>TCG</t>
        </is>
      </c>
      <c r="C743" t="inlineStr">
        <is>
          <t>BRGL</t>
        </is>
      </c>
      <c r="D743" s="6" t="n">
        <v>46252</v>
      </c>
      <c r="E743" t="inlineStr">
        <is>
          <t>CR</t>
        </is>
      </c>
      <c r="F743" t="inlineStr">
        <is>
          <t>EUR</t>
        </is>
      </c>
      <c r="G743" s="7" t="n">
        <v>71871485.042</v>
      </c>
      <c r="H743" t="inlineStr">
        <is>
          <t>GBP</t>
        </is>
      </c>
      <c r="I743" s="7" t="n">
        <v>61665734.166</v>
      </c>
      <c r="J743" s="8" t="n">
        <v>46252.714375</v>
      </c>
      <c r="K743" t="inlineStr">
        <is>
          <t>CF260818 00737</t>
        </is>
      </c>
      <c r="L743" t="inlineStr">
        <is>
          <t>GL.NOSTRO.EUR.BRGL.006</t>
        </is>
      </c>
      <c r="M743" t="inlineStr">
        <is>
          <t>Nightjar Trust</t>
        </is>
      </c>
      <c r="N743" t="inlineStr">
        <is>
          <t>BRGLTRSY</t>
        </is>
      </c>
      <c r="O743" t="inlineStr">
        <is>
          <t>NEW</t>
        </is>
      </c>
      <c r="Q743" t="inlineStr">
        <is>
          <t>INTERNAL</t>
        </is>
      </c>
    </row>
    <row r="744">
      <c r="A744" t="inlineStr">
        <is>
          <t>794226063698</t>
        </is>
      </c>
      <c r="B744" t="inlineStr">
        <is>
          <t>TCG</t>
        </is>
      </c>
      <c r="C744" t="inlineStr">
        <is>
          <t>BRMD</t>
        </is>
      </c>
      <c r="D744" s="6" t="n">
        <v>46252</v>
      </c>
      <c r="E744" t="inlineStr">
        <is>
          <t>DR</t>
        </is>
      </c>
      <c r="F744" t="inlineStr">
        <is>
          <t>AED</t>
        </is>
      </c>
      <c r="G744" s="7" t="n">
        <v>-1857910.879</v>
      </c>
      <c r="H744" t="inlineStr">
        <is>
          <t>GBP</t>
        </is>
      </c>
      <c r="I744" s="7" t="n">
        <v>-395735.017</v>
      </c>
      <c r="J744" s="8" t="n">
        <v>46252.41775462963</v>
      </c>
      <c r="K744" t="inlineStr">
        <is>
          <t>CF260818 00738</t>
        </is>
      </c>
      <c r="L744" t="inlineStr">
        <is>
          <t>GL.NOSTRO.AED.BRMD.009</t>
        </is>
      </c>
      <c r="M744" t="inlineStr">
        <is>
          <t>Umberton Commercial Bank</t>
        </is>
      </c>
      <c r="N744" t="inlineStr">
        <is>
          <t>BRMD</t>
        </is>
      </c>
      <c r="O744" t="inlineStr">
        <is>
          <t>NEW</t>
        </is>
      </c>
      <c r="Q744" t="inlineStr">
        <is>
          <t>INTERNAL</t>
        </is>
      </c>
    </row>
    <row r="745">
      <c r="A745" t="inlineStr">
        <is>
          <t>150316825069</t>
        </is>
      </c>
      <c r="B745" t="inlineStr">
        <is>
          <t>TCC</t>
        </is>
      </c>
      <c r="C745" t="inlineStr">
        <is>
          <t>BRGX</t>
        </is>
      </c>
      <c r="D745" s="6" t="n">
        <v>46252</v>
      </c>
      <c r="E745" t="inlineStr">
        <is>
          <t>CR</t>
        </is>
      </c>
      <c r="F745" t="inlineStr">
        <is>
          <t>GBP</t>
        </is>
      </c>
      <c r="G745" s="7" t="n">
        <v>8445.054</v>
      </c>
      <c r="H745" t="inlineStr">
        <is>
          <t>GBP</t>
        </is>
      </c>
      <c r="I745" s="7" t="n">
        <v>8445.054</v>
      </c>
      <c r="J745" s="8" t="n">
        <v>46252.74539351852</v>
      </c>
      <c r="K745" t="inlineStr">
        <is>
          <t>CF260818 00739</t>
        </is>
      </c>
      <c r="L745" t="inlineStr">
        <is>
          <t>GL.NOSTRO.GBP.BRGX.007</t>
        </is>
      </c>
      <c r="M745" t="inlineStr">
        <is>
          <t>Larkspur Clearing</t>
        </is>
      </c>
      <c r="N745" t="inlineStr">
        <is>
          <t>BRGXTRSY</t>
        </is>
      </c>
      <c r="O745" t="inlineStr">
        <is>
          <t>NEW</t>
        </is>
      </c>
      <c r="P745" t="inlineStr">
        <is>
          <t>NT26081800293</t>
        </is>
      </c>
      <c r="Q745" t="inlineStr">
        <is>
          <t>GROSS</t>
        </is>
      </c>
    </row>
    <row r="746">
      <c r="A746" t="inlineStr">
        <is>
          <t>499062838623</t>
        </is>
      </c>
      <c r="B746" t="inlineStr">
        <is>
          <t>TCX</t>
        </is>
      </c>
      <c r="C746" t="inlineStr">
        <is>
          <t>BRBX</t>
        </is>
      </c>
      <c r="D746" s="6" t="n">
        <v>46252</v>
      </c>
      <c r="E746" t="inlineStr">
        <is>
          <t>CR</t>
        </is>
      </c>
      <c r="F746" t="inlineStr">
        <is>
          <t>USD</t>
        </is>
      </c>
      <c r="G746" s="7" t="n">
        <v>88376509.44</v>
      </c>
      <c r="H746" t="inlineStr">
        <is>
          <t>GBP</t>
        </is>
      </c>
      <c r="I746" s="7" t="n">
        <v>69287183.40099999</v>
      </c>
      <c r="J746" s="8" t="n">
        <v>46252.29665509259</v>
      </c>
      <c r="K746" t="inlineStr">
        <is>
          <t>CF260818 00740</t>
        </is>
      </c>
      <c r="L746" t="inlineStr">
        <is>
          <t>GL.NOSTRO.USD.BRBX.006</t>
        </is>
      </c>
      <c r="M746" t="inlineStr">
        <is>
          <t>Sablewood Bank</t>
        </is>
      </c>
      <c r="N746" t="inlineStr">
        <is>
          <t>BRBXMM</t>
        </is>
      </c>
      <c r="O746" t="inlineStr">
        <is>
          <t>NEW</t>
        </is>
      </c>
      <c r="Q746" t="inlineStr">
        <is>
          <t>NETTER</t>
        </is>
      </c>
    </row>
    <row r="747">
      <c r="A747" t="inlineStr">
        <is>
          <t>621381112674</t>
        </is>
      </c>
      <c r="B747" t="inlineStr">
        <is>
          <t>TCP</t>
        </is>
      </c>
      <c r="C747" t="inlineStr">
        <is>
          <t>BRAA</t>
        </is>
      </c>
      <c r="D747" s="6" t="n">
        <v>46252</v>
      </c>
      <c r="E747" t="inlineStr">
        <is>
          <t>DR</t>
        </is>
      </c>
      <c r="F747" t="inlineStr">
        <is>
          <t>PLN</t>
        </is>
      </c>
      <c r="G747" s="7" t="n">
        <v>-673356657.545</v>
      </c>
      <c r="H747" t="inlineStr">
        <is>
          <t>GBP</t>
        </is>
      </c>
      <c r="I747" s="7" t="n">
        <v>-133324618.194</v>
      </c>
      <c r="J747" s="8" t="n">
        <v>46252.60634259259</v>
      </c>
      <c r="K747" t="inlineStr">
        <is>
          <t>CF260818 00741</t>
        </is>
      </c>
      <c r="L747" t="inlineStr">
        <is>
          <t>GL.NOSTRO.PLN.BRAA.006</t>
        </is>
      </c>
      <c r="M747" t="inlineStr">
        <is>
          <t>Umberton Clearing</t>
        </is>
      </c>
      <c r="N747" t="inlineStr">
        <is>
          <t>BRAACASH</t>
        </is>
      </c>
      <c r="O747" t="inlineStr">
        <is>
          <t>AMEND</t>
        </is>
      </c>
      <c r="Q747" t="inlineStr">
        <is>
          <t>NETTER</t>
        </is>
      </c>
    </row>
    <row r="748">
      <c r="A748" t="inlineStr">
        <is>
          <t>113829985108</t>
        </is>
      </c>
      <c r="B748" t="inlineStr">
        <is>
          <t>TCX</t>
        </is>
      </c>
      <c r="C748" t="inlineStr">
        <is>
          <t>BRGL</t>
        </is>
      </c>
      <c r="D748" s="6" t="n">
        <v>46252</v>
      </c>
      <c r="E748" t="inlineStr">
        <is>
          <t>CR</t>
        </is>
      </c>
      <c r="F748" t="inlineStr">
        <is>
          <t>EUR</t>
        </is>
      </c>
      <c r="G748" s="7" t="n">
        <v>172076864.636</v>
      </c>
      <c r="H748" t="inlineStr">
        <is>
          <t>GBP</t>
        </is>
      </c>
      <c r="I748" s="7" t="n">
        <v>147641949.858</v>
      </c>
      <c r="J748" s="8" t="n">
        <v>46252.3524537037</v>
      </c>
      <c r="K748" t="inlineStr">
        <is>
          <t>CF260818 00742</t>
        </is>
      </c>
      <c r="L748" t="inlineStr">
        <is>
          <t>GL.NOSTRO.EUR.BRGL.003</t>
        </is>
      </c>
      <c r="M748" t="inlineStr">
        <is>
          <t>Umberton Clearing</t>
        </is>
      </c>
      <c r="N748" t="inlineStr">
        <is>
          <t>BRGLCASH</t>
        </is>
      </c>
      <c r="O748" t="inlineStr">
        <is>
          <t>NEW</t>
        </is>
      </c>
      <c r="P748" t="inlineStr">
        <is>
          <t>NT26081800296</t>
        </is>
      </c>
      <c r="Q748" t="inlineStr">
        <is>
          <t>NETTER</t>
        </is>
      </c>
    </row>
    <row r="749">
      <c r="A749" t="inlineStr">
        <is>
          <t>284925023085</t>
        </is>
      </c>
      <c r="B749" t="inlineStr">
        <is>
          <t>TCP</t>
        </is>
      </c>
      <c r="C749" t="inlineStr">
        <is>
          <t>BRMD</t>
        </is>
      </c>
      <c r="D749" s="6" t="n">
        <v>46252</v>
      </c>
      <c r="E749" t="inlineStr">
        <is>
          <t>DR</t>
        </is>
      </c>
      <c r="F749" t="inlineStr">
        <is>
          <t>MXN</t>
        </is>
      </c>
      <c r="G749" s="7" t="n">
        <v>-104388302.912</v>
      </c>
      <c r="H749" t="inlineStr">
        <is>
          <t>GBP</t>
        </is>
      </c>
      <c r="I749" s="7" t="n">
        <v>-4467819.365</v>
      </c>
      <c r="J749" s="8" t="n">
        <v>46252.44601851852</v>
      </c>
      <c r="K749" t="inlineStr">
        <is>
          <t>CF260818 00743</t>
        </is>
      </c>
      <c r="L749" t="inlineStr">
        <is>
          <t>GL.NOSTRO.MXN.BRMD.001</t>
        </is>
      </c>
      <c r="M749" t="inlineStr">
        <is>
          <t>Elmwood Settlement Bank</t>
        </is>
      </c>
      <c r="N749" t="inlineStr">
        <is>
          <t>BRMDMM</t>
        </is>
      </c>
      <c r="O749" t="inlineStr">
        <is>
          <t>NEW</t>
        </is>
      </c>
      <c r="P749" t="inlineStr">
        <is>
          <t>NT26081800312</t>
        </is>
      </c>
      <c r="Q749" t="inlineStr">
        <is>
          <t>NETTER</t>
        </is>
      </c>
    </row>
    <row r="750">
      <c r="A750" t="inlineStr">
        <is>
          <t>359365220160</t>
        </is>
      </c>
      <c r="B750" t="inlineStr">
        <is>
          <t>TCP</t>
        </is>
      </c>
      <c r="C750" t="inlineStr">
        <is>
          <t>BRGX</t>
        </is>
      </c>
      <c r="D750" s="6" t="n">
        <v>46252</v>
      </c>
      <c r="E750" t="inlineStr">
        <is>
          <t>CR</t>
        </is>
      </c>
      <c r="F750" t="inlineStr">
        <is>
          <t>EUR</t>
        </is>
      </c>
      <c r="G750" s="7" t="n">
        <v>133847953.195</v>
      </c>
      <c r="H750" t="inlineStr">
        <is>
          <t>GBP</t>
        </is>
      </c>
      <c r="I750" s="7" t="n">
        <v>114841543.841</v>
      </c>
      <c r="J750" s="8" t="n">
        <v>46252.29673611111</v>
      </c>
      <c r="K750" t="inlineStr">
        <is>
          <t>CF260818 00744</t>
        </is>
      </c>
      <c r="L750" t="inlineStr">
        <is>
          <t>GL.NOSTRO.EUR.BRGX.002</t>
        </is>
      </c>
      <c r="M750" t="inlineStr">
        <is>
          <t>Sablewood Bank</t>
        </is>
      </c>
      <c r="N750" t="inlineStr">
        <is>
          <t>BRGXCASH</t>
        </is>
      </c>
      <c r="O750" t="inlineStr">
        <is>
          <t>NEW</t>
        </is>
      </c>
      <c r="Q750" t="inlineStr">
        <is>
          <t>NETTER</t>
        </is>
      </c>
    </row>
    <row r="751">
      <c r="A751" t="inlineStr">
        <is>
          <t>824840705580</t>
        </is>
      </c>
      <c r="B751" t="inlineStr">
        <is>
          <t>TCC</t>
        </is>
      </c>
      <c r="C751" t="inlineStr">
        <is>
          <t>BRGL</t>
        </is>
      </c>
      <c r="D751" s="6" t="n">
        <v>46253</v>
      </c>
      <c r="E751" t="inlineStr">
        <is>
          <t>DR</t>
        </is>
      </c>
      <c r="F751" t="inlineStr">
        <is>
          <t>EUR</t>
        </is>
      </c>
      <c r="G751" s="7" t="n">
        <v>-54432138.652</v>
      </c>
      <c r="H751" t="inlineStr">
        <is>
          <t>GBP</t>
        </is>
      </c>
      <c r="I751" s="7" t="n">
        <v>-46702774.963</v>
      </c>
      <c r="J751" s="8" t="n">
        <v>46253.70443287037</v>
      </c>
      <c r="K751" t="inlineStr">
        <is>
          <t>CF260819 00745</t>
        </is>
      </c>
      <c r="L751" t="inlineStr">
        <is>
          <t>GL.NOSTRO.EUR.BRGL.006</t>
        </is>
      </c>
      <c r="M751" t="inlineStr">
        <is>
          <t>Yarrow Commercial Bank</t>
        </is>
      </c>
      <c r="N751" t="inlineStr">
        <is>
          <t>BRGLMM</t>
        </is>
      </c>
      <c r="O751" t="inlineStr">
        <is>
          <t>NEW</t>
        </is>
      </c>
      <c r="Q751" t="inlineStr">
        <is>
          <t>NETTER</t>
        </is>
      </c>
    </row>
    <row r="752">
      <c r="A752" t="inlineStr">
        <is>
          <t>499062838623</t>
        </is>
      </c>
      <c r="B752" t="inlineStr">
        <is>
          <t>TCX</t>
        </is>
      </c>
      <c r="C752" t="inlineStr">
        <is>
          <t>BRBX</t>
        </is>
      </c>
      <c r="D752" s="6" t="n">
        <v>46253</v>
      </c>
      <c r="E752" t="inlineStr">
        <is>
          <t>CR</t>
        </is>
      </c>
      <c r="F752" t="inlineStr">
        <is>
          <t>USD</t>
        </is>
      </c>
      <c r="G752" s="7" t="n">
        <v>51614676.852</v>
      </c>
      <c r="H752" t="inlineStr">
        <is>
          <t>GBP</t>
        </is>
      </c>
      <c r="I752" s="7" t="n">
        <v>40465906.652</v>
      </c>
      <c r="J752" s="8" t="n">
        <v>46253.42483796296</v>
      </c>
      <c r="K752" t="inlineStr">
        <is>
          <t>CF260819 00746</t>
        </is>
      </c>
      <c r="L752" t="inlineStr">
        <is>
          <t>GL.NOSTRO.USD.BRBX.005</t>
        </is>
      </c>
      <c r="M752" t="inlineStr">
        <is>
          <t>Yarrow Clearing</t>
        </is>
      </c>
      <c r="N752" t="inlineStr">
        <is>
          <t>BRBXCASH</t>
        </is>
      </c>
      <c r="O752" t="inlineStr">
        <is>
          <t>NEW</t>
        </is>
      </c>
      <c r="P752" t="inlineStr">
        <is>
          <t>NT26081900664</t>
        </is>
      </c>
      <c r="Q752" t="inlineStr">
        <is>
          <t>NETTER</t>
        </is>
      </c>
    </row>
    <row r="753">
      <c r="A753" t="inlineStr">
        <is>
          <t>621381112674</t>
        </is>
      </c>
      <c r="B753" t="inlineStr">
        <is>
          <t>TCQ</t>
        </is>
      </c>
      <c r="C753" t="inlineStr">
        <is>
          <t>BRAA</t>
        </is>
      </c>
      <c r="D753" s="6" t="n">
        <v>46253</v>
      </c>
      <c r="E753" t="inlineStr">
        <is>
          <t>DR</t>
        </is>
      </c>
      <c r="F753" t="inlineStr">
        <is>
          <t>PLN</t>
        </is>
      </c>
      <c r="G753" s="7" t="n">
        <v>-19817229.317</v>
      </c>
      <c r="H753" t="inlineStr">
        <is>
          <t>GBP</t>
        </is>
      </c>
      <c r="I753" s="7" t="n">
        <v>-3923811.405</v>
      </c>
      <c r="J753" s="8" t="n">
        <v>46253.67576388889</v>
      </c>
      <c r="K753" t="inlineStr">
        <is>
          <t>CF260819 00747</t>
        </is>
      </c>
      <c r="L753" t="inlineStr">
        <is>
          <t>GL.NOSTRO.PLN.BRAA.006</t>
        </is>
      </c>
      <c r="M753" t="inlineStr">
        <is>
          <t>Umberton Clearing</t>
        </is>
      </c>
      <c r="N753" t="inlineStr">
        <is>
          <t>BRAATRSY</t>
        </is>
      </c>
      <c r="O753" t="inlineStr">
        <is>
          <t>AMEND</t>
        </is>
      </c>
      <c r="Q753" t="inlineStr">
        <is>
          <t>GROSS</t>
        </is>
      </c>
    </row>
    <row r="754">
      <c r="A754" t="inlineStr">
        <is>
          <t>171857983160</t>
        </is>
      </c>
      <c r="B754" t="inlineStr">
        <is>
          <t>TCQ</t>
        </is>
      </c>
      <c r="C754" t="inlineStr">
        <is>
          <t>BRBX</t>
        </is>
      </c>
      <c r="D754" s="6" t="n">
        <v>46253</v>
      </c>
      <c r="E754" t="inlineStr">
        <is>
          <t>CR</t>
        </is>
      </c>
      <c r="F754" t="inlineStr">
        <is>
          <t>AUD</t>
        </is>
      </c>
      <c r="G754" s="7" t="n">
        <v>267754914.747</v>
      </c>
      <c r="H754" t="inlineStr">
        <is>
          <t>GBP</t>
        </is>
      </c>
      <c r="I754" s="7" t="n">
        <v>137358271.265</v>
      </c>
      <c r="J754" s="8" t="n">
        <v>46253.41228009259</v>
      </c>
      <c r="K754" t="inlineStr">
        <is>
          <t>CF260819 00748</t>
        </is>
      </c>
      <c r="L754" t="inlineStr">
        <is>
          <t>GL.NOSTRO.AUD.BRBX.006</t>
        </is>
      </c>
      <c r="M754" t="inlineStr">
        <is>
          <t>Nightjar Bank</t>
        </is>
      </c>
      <c r="N754" t="inlineStr">
        <is>
          <t>BRBXMM</t>
        </is>
      </c>
      <c r="O754" t="inlineStr">
        <is>
          <t>NEW</t>
        </is>
      </c>
      <c r="Q754" t="inlineStr">
        <is>
          <t>GROSS</t>
        </is>
      </c>
    </row>
    <row r="755">
      <c r="A755" t="inlineStr">
        <is>
          <t>910703979141</t>
        </is>
      </c>
      <c r="B755" t="inlineStr">
        <is>
          <t>TCQ</t>
        </is>
      </c>
      <c r="C755" t="inlineStr">
        <is>
          <t>BRCC</t>
        </is>
      </c>
      <c r="D755" s="6" t="n">
        <v>46253</v>
      </c>
      <c r="E755" t="inlineStr">
        <is>
          <t>DR</t>
        </is>
      </c>
      <c r="F755" t="inlineStr">
        <is>
          <t>CHF</t>
        </is>
      </c>
      <c r="G755" s="7" t="n">
        <v>-101851107.785</v>
      </c>
      <c r="H755" t="inlineStr">
        <is>
          <t>GBP</t>
        </is>
      </c>
      <c r="I755" s="7" t="n">
        <v>-91360443.683</v>
      </c>
      <c r="J755" s="8" t="n">
        <v>46253.68606481481</v>
      </c>
      <c r="K755" t="inlineStr">
        <is>
          <t>CF260819 00749</t>
        </is>
      </c>
      <c r="L755" t="inlineStr">
        <is>
          <t>GL.NOSTRO.CHF.BRCC.007</t>
        </is>
      </c>
      <c r="M755" t="inlineStr">
        <is>
          <t>Juniper Settlement Bank</t>
        </is>
      </c>
      <c r="N755" t="inlineStr">
        <is>
          <t>BRCCMM</t>
        </is>
      </c>
      <c r="O755" t="inlineStr">
        <is>
          <t>NEW</t>
        </is>
      </c>
      <c r="Q755" t="inlineStr">
        <is>
          <t>NETTER</t>
        </is>
      </c>
    </row>
    <row r="756">
      <c r="A756" t="inlineStr">
        <is>
          <t>898317028833</t>
        </is>
      </c>
      <c r="B756" t="inlineStr">
        <is>
          <t>TCC</t>
        </is>
      </c>
      <c r="C756" t="inlineStr">
        <is>
          <t>BRAA</t>
        </is>
      </c>
      <c r="D756" s="6" t="n">
        <v>46253</v>
      </c>
      <c r="E756" t="inlineStr">
        <is>
          <t>CR</t>
        </is>
      </c>
      <c r="F756" t="inlineStr">
        <is>
          <t>GBP</t>
        </is>
      </c>
      <c r="G756" s="7" t="n">
        <v>148428390.497</v>
      </c>
      <c r="H756" t="inlineStr">
        <is>
          <t>GBP</t>
        </is>
      </c>
      <c r="I756" s="7" t="n">
        <v>148428390.497</v>
      </c>
      <c r="J756" s="8" t="n">
        <v>46253.58633101852</v>
      </c>
      <c r="K756" t="inlineStr">
        <is>
          <t>CF260819 00750</t>
        </is>
      </c>
      <c r="L756" t="inlineStr">
        <is>
          <t>GL.NOSTRO.GBP.BRAA.001</t>
        </is>
      </c>
      <c r="M756" t="inlineStr">
        <is>
          <t>Harrow Clearing</t>
        </is>
      </c>
      <c r="N756" t="inlineStr">
        <is>
          <t>BRAATRSY</t>
        </is>
      </c>
      <c r="O756" t="inlineStr">
        <is>
          <t>NEW</t>
        </is>
      </c>
      <c r="Q756" t="inlineStr">
        <is>
          <t>GROSS</t>
        </is>
      </c>
    </row>
    <row r="757">
      <c r="A757" t="inlineStr">
        <is>
          <t>120047354818</t>
        </is>
      </c>
      <c r="B757" t="inlineStr">
        <is>
          <t>TCC</t>
        </is>
      </c>
      <c r="C757" t="inlineStr">
        <is>
          <t>BRNK</t>
        </is>
      </c>
      <c r="D757" s="6" t="n">
        <v>46253</v>
      </c>
      <c r="E757" t="inlineStr">
        <is>
          <t>DR</t>
        </is>
      </c>
      <c r="F757" t="inlineStr">
        <is>
          <t>USD</t>
        </is>
      </c>
      <c r="G757" s="7" t="n">
        <v>-93477485.427</v>
      </c>
      <c r="H757" t="inlineStr">
        <is>
          <t>GBP</t>
        </is>
      </c>
      <c r="I757" s="7" t="n">
        <v>-73286348.575</v>
      </c>
      <c r="J757" s="8" t="n">
        <v>46253.66898148148</v>
      </c>
      <c r="K757" t="inlineStr">
        <is>
          <t>CF260819 00751</t>
        </is>
      </c>
      <c r="L757" t="inlineStr">
        <is>
          <t>GL.NOSTRO.USD.BRNK.005</t>
        </is>
      </c>
      <c r="M757" t="inlineStr">
        <is>
          <t>Elmwood Trust</t>
        </is>
      </c>
      <c r="N757" t="inlineStr">
        <is>
          <t>BRNKMM</t>
        </is>
      </c>
      <c r="O757" t="inlineStr">
        <is>
          <t>NEW</t>
        </is>
      </c>
      <c r="Q757" t="inlineStr">
        <is>
          <t>NETTER</t>
        </is>
      </c>
    </row>
    <row r="758">
      <c r="A758" t="inlineStr">
        <is>
          <t>898317028833</t>
        </is>
      </c>
      <c r="B758" t="inlineStr">
        <is>
          <t>TCP</t>
        </is>
      </c>
      <c r="C758" t="inlineStr">
        <is>
          <t>BRAA</t>
        </is>
      </c>
      <c r="D758" s="6" t="n">
        <v>46253</v>
      </c>
      <c r="E758" t="inlineStr">
        <is>
          <t>DR</t>
        </is>
      </c>
      <c r="F758" t="inlineStr">
        <is>
          <t>GBP</t>
        </is>
      </c>
      <c r="G758" s="7" t="n">
        <v>-775122.547</v>
      </c>
      <c r="H758" t="inlineStr">
        <is>
          <t>GBP</t>
        </is>
      </c>
      <c r="I758" s="7" t="n">
        <v>-775122.547</v>
      </c>
      <c r="J758" s="8" t="n">
        <v>46253.37456018518</v>
      </c>
      <c r="K758" t="inlineStr">
        <is>
          <t>CF260819 00752</t>
        </is>
      </c>
      <c r="L758" t="inlineStr">
        <is>
          <t>GL.NOSTRO.GBP.BRAA.009</t>
        </is>
      </c>
      <c r="M758" t="inlineStr">
        <is>
          <t>Elmwood Trust</t>
        </is>
      </c>
      <c r="N758" t="inlineStr">
        <is>
          <t>BRAAMM</t>
        </is>
      </c>
      <c r="O758" t="inlineStr">
        <is>
          <t>NEW</t>
        </is>
      </c>
      <c r="P758" t="inlineStr">
        <is>
          <t>NT26081900658</t>
        </is>
      </c>
      <c r="Q758" t="inlineStr">
        <is>
          <t>INTERNAL</t>
        </is>
      </c>
    </row>
    <row r="759">
      <c r="A759" t="inlineStr">
        <is>
          <t>120047354818</t>
        </is>
      </c>
      <c r="B759" t="inlineStr">
        <is>
          <t>TCP</t>
        </is>
      </c>
      <c r="C759" t="inlineStr">
        <is>
          <t>BRNK</t>
        </is>
      </c>
      <c r="D759" s="6" t="n">
        <v>46253</v>
      </c>
      <c r="E759" t="inlineStr">
        <is>
          <t>DR</t>
        </is>
      </c>
      <c r="F759" t="inlineStr">
        <is>
          <t>USD</t>
        </is>
      </c>
      <c r="G759" s="7" t="n">
        <v>-3475017.452</v>
      </c>
      <c r="H759" t="inlineStr">
        <is>
          <t>GBP</t>
        </is>
      </c>
      <c r="I759" s="7" t="n">
        <v>-2724413.682</v>
      </c>
      <c r="J759" s="8" t="n">
        <v>46253.38524305556</v>
      </c>
      <c r="K759" t="inlineStr">
        <is>
          <t>CF260819 00753</t>
        </is>
      </c>
      <c r="L759" t="inlineStr">
        <is>
          <t>GL.NOSTRO.USD.BRNK.002</t>
        </is>
      </c>
      <c r="M759" t="inlineStr">
        <is>
          <t>Nightjar Bank</t>
        </is>
      </c>
      <c r="N759" t="inlineStr">
        <is>
          <t>BRNKCASH</t>
        </is>
      </c>
      <c r="O759" t="inlineStr">
        <is>
          <t>NEW</t>
        </is>
      </c>
      <c r="P759" t="inlineStr">
        <is>
          <t>NT26081900676</t>
        </is>
      </c>
      <c r="Q759" t="inlineStr">
        <is>
          <t>GROSS</t>
        </is>
      </c>
    </row>
    <row r="760">
      <c r="A760" t="inlineStr">
        <is>
          <t>265771593142</t>
        </is>
      </c>
      <c r="B760" t="inlineStr">
        <is>
          <t>TCQ</t>
        </is>
      </c>
      <c r="C760" t="inlineStr">
        <is>
          <t>BRYG</t>
        </is>
      </c>
      <c r="D760" s="6" t="n">
        <v>46253</v>
      </c>
      <c r="E760" t="inlineStr">
        <is>
          <t>DR</t>
        </is>
      </c>
      <c r="F760" t="inlineStr">
        <is>
          <t>EUR</t>
        </is>
      </c>
      <c r="G760" s="7" t="n">
        <v>-10402229.358</v>
      </c>
      <c r="H760" t="inlineStr">
        <is>
          <t>GBP</t>
        </is>
      </c>
      <c r="I760" s="7" t="n">
        <v>-8925112.789000001</v>
      </c>
      <c r="J760" s="8" t="n">
        <v>46253.4577662037</v>
      </c>
      <c r="K760" t="inlineStr">
        <is>
          <t>CF260819 00754</t>
        </is>
      </c>
      <c r="L760" t="inlineStr">
        <is>
          <t>GL.NOSTRO.EUR.BRYG.004</t>
        </is>
      </c>
      <c r="M760" t="inlineStr">
        <is>
          <t>Dunlin Trust</t>
        </is>
      </c>
      <c r="N760" t="inlineStr">
        <is>
          <t>BRYGCASH</t>
        </is>
      </c>
      <c r="O760" t="inlineStr">
        <is>
          <t>NEW</t>
        </is>
      </c>
      <c r="P760" t="inlineStr">
        <is>
          <t>NT26081900661</t>
        </is>
      </c>
      <c r="Q760" t="inlineStr">
        <is>
          <t>INTERNAL</t>
        </is>
      </c>
    </row>
    <row r="761">
      <c r="A761" t="inlineStr">
        <is>
          <t>794226063698</t>
        </is>
      </c>
      <c r="B761" t="inlineStr">
        <is>
          <t>TCP</t>
        </is>
      </c>
      <c r="C761" t="inlineStr">
        <is>
          <t>BRMD</t>
        </is>
      </c>
      <c r="D761" s="6" t="n">
        <v>46253</v>
      </c>
      <c r="E761" t="inlineStr">
        <is>
          <t>DR</t>
        </is>
      </c>
      <c r="F761" t="inlineStr">
        <is>
          <t>AED</t>
        </is>
      </c>
      <c r="G761" s="7" t="n">
        <v>-10883051.843</v>
      </c>
      <c r="H761" t="inlineStr">
        <is>
          <t>GBP</t>
        </is>
      </c>
      <c r="I761" s="7" t="n">
        <v>-2318090.043</v>
      </c>
      <c r="J761" s="8" t="n">
        <v>46253.80622685186</v>
      </c>
      <c r="K761" t="inlineStr">
        <is>
          <t>CF260819 00755</t>
        </is>
      </c>
      <c r="L761" t="inlineStr">
        <is>
          <t>GL.NOSTRO.AED.BRMD.002</t>
        </is>
      </c>
      <c r="M761" t="inlineStr">
        <is>
          <t>Elmwood Clearing</t>
        </is>
      </c>
      <c r="N761" t="inlineStr">
        <is>
          <t>BRMDTRSY</t>
        </is>
      </c>
      <c r="O761" t="inlineStr">
        <is>
          <t>NEW</t>
        </is>
      </c>
      <c r="P761" t="inlineStr">
        <is>
          <t>NT26081900678</t>
        </is>
      </c>
      <c r="Q761" t="inlineStr">
        <is>
          <t>GROSS</t>
        </is>
      </c>
    </row>
    <row r="762">
      <c r="A762" t="inlineStr">
        <is>
          <t>468341071172</t>
        </is>
      </c>
      <c r="B762" t="inlineStr">
        <is>
          <t>TCP</t>
        </is>
      </c>
      <c r="C762" t="inlineStr">
        <is>
          <t>BRCC</t>
        </is>
      </c>
      <c r="D762" s="6" t="n">
        <v>46253</v>
      </c>
      <c r="E762" t="inlineStr">
        <is>
          <t>DR</t>
        </is>
      </c>
      <c r="F762" t="inlineStr">
        <is>
          <t>EUR</t>
        </is>
      </c>
      <c r="G762" s="7" t="n">
        <v>-4402.18</v>
      </c>
      <c r="H762" t="inlineStr">
        <is>
          <t>GBP</t>
        </is>
      </c>
      <c r="I762" s="7" t="n">
        <v>-3777.07</v>
      </c>
      <c r="J762" s="8" t="n">
        <v>46253.29778935185</v>
      </c>
      <c r="K762" t="inlineStr">
        <is>
          <t>CF260819 00756</t>
        </is>
      </c>
      <c r="L762" t="inlineStr">
        <is>
          <t>GL.NOSTRO.EUR.BRCC.006</t>
        </is>
      </c>
      <c r="M762" t="inlineStr">
        <is>
          <t>Nightjar Bank</t>
        </is>
      </c>
      <c r="N762" t="inlineStr">
        <is>
          <t>BRCCMM</t>
        </is>
      </c>
      <c r="O762" t="inlineStr">
        <is>
          <t>NEW</t>
        </is>
      </c>
      <c r="Q762" t="inlineStr">
        <is>
          <t>NETTER</t>
        </is>
      </c>
    </row>
    <row r="763">
      <c r="A763" t="inlineStr">
        <is>
          <t>468341071172</t>
        </is>
      </c>
      <c r="B763" t="inlineStr">
        <is>
          <t>TCC</t>
        </is>
      </c>
      <c r="C763" t="inlineStr">
        <is>
          <t>BRCC</t>
        </is>
      </c>
      <c r="D763" s="6" t="n">
        <v>46253</v>
      </c>
      <c r="E763" t="inlineStr">
        <is>
          <t>CR</t>
        </is>
      </c>
      <c r="F763" t="inlineStr">
        <is>
          <t>EUR</t>
        </is>
      </c>
      <c r="G763" s="7" t="n">
        <v>26334649326.976</v>
      </c>
      <c r="H763" t="inlineStr">
        <is>
          <t>GBP</t>
        </is>
      </c>
      <c r="I763" s="7" t="n">
        <v>22595129122.545</v>
      </c>
      <c r="J763" s="8" t="n">
        <v>46253.65873842593</v>
      </c>
      <c r="K763" t="inlineStr">
        <is>
          <t>CF260819 00757</t>
        </is>
      </c>
      <c r="L763" t="inlineStr">
        <is>
          <t>GL.NOSTRO.EUR.BRCC.003</t>
        </is>
      </c>
      <c r="M763" t="inlineStr">
        <is>
          <t>Nightjar Trust</t>
        </is>
      </c>
      <c r="N763" t="inlineStr">
        <is>
          <t>BRCCTRSY</t>
        </is>
      </c>
      <c r="O763" t="inlineStr">
        <is>
          <t>NEW</t>
        </is>
      </c>
      <c r="P763" t="inlineStr">
        <is>
          <t>NT26081900684</t>
        </is>
      </c>
      <c r="Q763" t="inlineStr">
        <is>
          <t>NETTER</t>
        </is>
      </c>
    </row>
    <row r="764">
      <c r="A764" t="inlineStr">
        <is>
          <t>968942362772</t>
        </is>
      </c>
      <c r="B764" t="inlineStr">
        <is>
          <t>TCC</t>
        </is>
      </c>
      <c r="C764" t="inlineStr">
        <is>
          <t>BRYG</t>
        </is>
      </c>
      <c r="D764" s="6" t="n">
        <v>46253</v>
      </c>
      <c r="E764" t="inlineStr">
        <is>
          <t>CR</t>
        </is>
      </c>
      <c r="F764" t="inlineStr">
        <is>
          <t>EUR</t>
        </is>
      </c>
      <c r="G764" s="7" t="n">
        <v>37007209972.598</v>
      </c>
      <c r="H764" t="inlineStr">
        <is>
          <t>GBP</t>
        </is>
      </c>
      <c r="I764" s="7" t="n">
        <v>31752186156.489</v>
      </c>
      <c r="J764" s="8" t="n">
        <v>46253.57412037037</v>
      </c>
      <c r="K764" t="inlineStr">
        <is>
          <t>CF260819 00758</t>
        </is>
      </c>
      <c r="L764" t="inlineStr">
        <is>
          <t>GL.NOSTRO.EUR.BRYG.003</t>
        </is>
      </c>
      <c r="M764" t="inlineStr">
        <is>
          <t>Wrenfield Settlement Bank</t>
        </is>
      </c>
      <c r="N764" t="inlineStr">
        <is>
          <t>BRYGTRSY</t>
        </is>
      </c>
      <c r="O764" t="inlineStr">
        <is>
          <t>AMEND</t>
        </is>
      </c>
      <c r="P764" t="inlineStr">
        <is>
          <t>NT26081900661</t>
        </is>
      </c>
      <c r="Q764" t="inlineStr">
        <is>
          <t>GROSS</t>
        </is>
      </c>
    </row>
    <row r="765">
      <c r="A765" t="inlineStr">
        <is>
          <t>499062838623</t>
        </is>
      </c>
      <c r="B765" t="inlineStr">
        <is>
          <t>TCC</t>
        </is>
      </c>
      <c r="C765" t="inlineStr">
        <is>
          <t>BRBX</t>
        </is>
      </c>
      <c r="D765" s="6" t="n">
        <v>46253</v>
      </c>
      <c r="E765" t="inlineStr">
        <is>
          <t>DR</t>
        </is>
      </c>
      <c r="F765" t="inlineStr">
        <is>
          <t>USD</t>
        </is>
      </c>
      <c r="G765" s="7" t="n">
        <v>-10403.993</v>
      </c>
      <c r="H765" t="inlineStr">
        <is>
          <t>GBP</t>
        </is>
      </c>
      <c r="I765" s="7" t="n">
        <v>-8156.731</v>
      </c>
      <c r="J765" s="8" t="n">
        <v>46253.6459375</v>
      </c>
      <c r="K765" t="inlineStr">
        <is>
          <t>CF260819 00759</t>
        </is>
      </c>
      <c r="L765" t="inlineStr">
        <is>
          <t>GL.NOSTRO.USD.BRBX.003</t>
        </is>
      </c>
      <c r="M765" t="inlineStr">
        <is>
          <t>Fernway Settlement Bank</t>
        </is>
      </c>
      <c r="N765" t="inlineStr">
        <is>
          <t>BRBXCASH</t>
        </is>
      </c>
      <c r="O765" t="inlineStr">
        <is>
          <t>NEW</t>
        </is>
      </c>
      <c r="Q765" t="inlineStr">
        <is>
          <t>NETTER</t>
        </is>
      </c>
    </row>
    <row r="766">
      <c r="A766" t="inlineStr">
        <is>
          <t>953625291146</t>
        </is>
      </c>
      <c r="B766" t="inlineStr">
        <is>
          <t>TCG</t>
        </is>
      </c>
      <c r="C766" t="inlineStr">
        <is>
          <t>BRGL</t>
        </is>
      </c>
      <c r="D766" s="6" t="n">
        <v>46253</v>
      </c>
      <c r="E766" t="inlineStr">
        <is>
          <t>CR</t>
        </is>
      </c>
      <c r="F766" t="inlineStr">
        <is>
          <t>USD</t>
        </is>
      </c>
      <c r="G766" s="7" t="n">
        <v>306087239.861</v>
      </c>
      <c r="H766" t="inlineStr">
        <is>
          <t>GBP</t>
        </is>
      </c>
      <c r="I766" s="7" t="n">
        <v>239972396.051</v>
      </c>
      <c r="J766" s="8" t="n">
        <v>46253.83803240741</v>
      </c>
      <c r="K766" t="inlineStr">
        <is>
          <t>CF260819 00760</t>
        </is>
      </c>
      <c r="L766" t="inlineStr">
        <is>
          <t>GL.NOSTRO.USD.BRGL.005</t>
        </is>
      </c>
      <c r="M766" t="inlineStr">
        <is>
          <t>Juniper Bank</t>
        </is>
      </c>
      <c r="N766" t="inlineStr">
        <is>
          <t>BRGLCASH</t>
        </is>
      </c>
      <c r="O766" t="inlineStr">
        <is>
          <t>NEW</t>
        </is>
      </c>
      <c r="P766" t="inlineStr">
        <is>
          <t>NT26081900679</t>
        </is>
      </c>
      <c r="Q766" t="inlineStr">
        <is>
          <t>NETTER</t>
        </is>
      </c>
    </row>
    <row r="767">
      <c r="A767" t="inlineStr">
        <is>
          <t>150316825069</t>
        </is>
      </c>
      <c r="B767" t="inlineStr">
        <is>
          <t>TCX</t>
        </is>
      </c>
      <c r="C767" t="inlineStr">
        <is>
          <t>BRGX</t>
        </is>
      </c>
      <c r="D767" s="6" t="n">
        <v>46253</v>
      </c>
      <c r="E767" t="inlineStr">
        <is>
          <t>CR</t>
        </is>
      </c>
      <c r="F767" t="inlineStr">
        <is>
          <t>GBP</t>
        </is>
      </c>
      <c r="G767" s="7" t="n">
        <v>155959903.339</v>
      </c>
      <c r="H767" t="inlineStr">
        <is>
          <t>GBP</t>
        </is>
      </c>
      <c r="I767" s="7" t="n">
        <v>155959903.339</v>
      </c>
      <c r="J767" s="8" t="n">
        <v>46253.59082175926</v>
      </c>
      <c r="K767" t="inlineStr">
        <is>
          <t>CF260819 00761</t>
        </is>
      </c>
      <c r="L767" t="inlineStr">
        <is>
          <t>GL.NOSTRO.GBP.BRGX.005</t>
        </is>
      </c>
      <c r="M767" t="inlineStr">
        <is>
          <t>Yarrow Clearing</t>
        </is>
      </c>
      <c r="N767" t="inlineStr">
        <is>
          <t>BRGXTRSY</t>
        </is>
      </c>
      <c r="O767" t="inlineStr">
        <is>
          <t>NEW</t>
        </is>
      </c>
      <c r="P767" t="inlineStr">
        <is>
          <t>NT26081900667</t>
        </is>
      </c>
      <c r="Q767" t="inlineStr">
        <is>
          <t>NETTER</t>
        </is>
      </c>
    </row>
    <row r="768">
      <c r="A768" t="inlineStr">
        <is>
          <t>499062838623</t>
        </is>
      </c>
      <c r="B768" t="inlineStr">
        <is>
          <t>TCQ</t>
        </is>
      </c>
      <c r="C768" t="inlineStr">
        <is>
          <t>BRBX</t>
        </is>
      </c>
      <c r="D768" s="6" t="n">
        <v>46253</v>
      </c>
      <c r="E768" t="inlineStr">
        <is>
          <t>CR</t>
        </is>
      </c>
      <c r="F768" t="inlineStr">
        <is>
          <t>USD</t>
        </is>
      </c>
      <c r="G768" s="7" t="n">
        <v>24009349.755</v>
      </c>
      <c r="H768" t="inlineStr">
        <is>
          <t>GBP</t>
        </is>
      </c>
      <c r="I768" s="7" t="n">
        <v>18823330.208</v>
      </c>
      <c r="J768" s="8" t="n">
        <v>46253.6953587963</v>
      </c>
      <c r="K768" t="inlineStr">
        <is>
          <t>CF260819 00762</t>
        </is>
      </c>
      <c r="L768" t="inlineStr">
        <is>
          <t>GL.NOSTRO.USD.BRBX.004</t>
        </is>
      </c>
      <c r="M768" t="inlineStr">
        <is>
          <t>Mallow Trust</t>
        </is>
      </c>
      <c r="N768" t="inlineStr">
        <is>
          <t>BRBX</t>
        </is>
      </c>
      <c r="O768" t="inlineStr">
        <is>
          <t>NEW</t>
        </is>
      </c>
      <c r="Q768" t="inlineStr">
        <is>
          <t>GROSS</t>
        </is>
      </c>
    </row>
    <row r="769">
      <c r="A769" t="inlineStr">
        <is>
          <t>468341071172</t>
        </is>
      </c>
      <c r="B769" t="inlineStr">
        <is>
          <t>TCC</t>
        </is>
      </c>
      <c r="C769" t="inlineStr">
        <is>
          <t>BRCC</t>
        </is>
      </c>
      <c r="D769" s="6" t="n">
        <v>46253</v>
      </c>
      <c r="E769" t="inlineStr">
        <is>
          <t>CR</t>
        </is>
      </c>
      <c r="F769" t="inlineStr">
        <is>
          <t>EUR</t>
        </is>
      </c>
      <c r="G769" s="7" t="n">
        <v>22808399.089</v>
      </c>
      <c r="H769" t="inlineStr">
        <is>
          <t>GBP</t>
        </is>
      </c>
      <c r="I769" s="7" t="n">
        <v>19569606.418</v>
      </c>
      <c r="J769" s="8" t="n">
        <v>46253.56262731482</v>
      </c>
      <c r="K769" t="inlineStr">
        <is>
          <t>CF260819 00763</t>
        </is>
      </c>
      <c r="L769" t="inlineStr">
        <is>
          <t>GL.NOSTRO.EUR.BRCC.008</t>
        </is>
      </c>
      <c r="M769" t="inlineStr">
        <is>
          <t>Elmwood Bank</t>
        </is>
      </c>
      <c r="N769" t="inlineStr">
        <is>
          <t>BRCCMM</t>
        </is>
      </c>
      <c r="O769" t="inlineStr">
        <is>
          <t>NEW</t>
        </is>
      </c>
      <c r="Q769" t="inlineStr">
        <is>
          <t>GROSS</t>
        </is>
      </c>
    </row>
    <row r="770">
      <c r="A770" t="inlineStr">
        <is>
          <t>150316825069</t>
        </is>
      </c>
      <c r="B770" t="inlineStr">
        <is>
          <t>TCP</t>
        </is>
      </c>
      <c r="C770" t="inlineStr">
        <is>
          <t>BRGX</t>
        </is>
      </c>
      <c r="D770" s="6" t="n">
        <v>46253</v>
      </c>
      <c r="E770" t="inlineStr">
        <is>
          <t>CR</t>
        </is>
      </c>
      <c r="F770" t="inlineStr">
        <is>
          <t>GBP</t>
        </is>
      </c>
      <c r="G770" s="7" t="n">
        <v>111218938.79</v>
      </c>
      <c r="H770" t="inlineStr">
        <is>
          <t>GBP</t>
        </is>
      </c>
      <c r="I770" s="7" t="n">
        <v>111218938.79</v>
      </c>
      <c r="J770" s="8" t="n">
        <v>46253.72049768519</v>
      </c>
      <c r="K770" t="inlineStr">
        <is>
          <t>CF260819 00764</t>
        </is>
      </c>
      <c r="L770" t="inlineStr">
        <is>
          <t>GL.NOSTRO.GBP.BRGX.008</t>
        </is>
      </c>
      <c r="M770" t="inlineStr">
        <is>
          <t>Pinehurst Settlement Bank</t>
        </is>
      </c>
      <c r="N770" t="inlineStr">
        <is>
          <t>BRGXCASH</t>
        </is>
      </c>
      <c r="O770" t="inlineStr">
        <is>
          <t>NEW</t>
        </is>
      </c>
      <c r="Q770" t="inlineStr">
        <is>
          <t>GROSS</t>
        </is>
      </c>
    </row>
    <row r="771">
      <c r="A771" t="inlineStr">
        <is>
          <t>284925023085</t>
        </is>
      </c>
      <c r="B771" t="inlineStr">
        <is>
          <t>TCG</t>
        </is>
      </c>
      <c r="C771" t="inlineStr">
        <is>
          <t>BRMD</t>
        </is>
      </c>
      <c r="D771" s="6" t="n">
        <v>46253</v>
      </c>
      <c r="E771" t="inlineStr">
        <is>
          <t>CR</t>
        </is>
      </c>
      <c r="F771" t="inlineStr">
        <is>
          <t>MXN</t>
        </is>
      </c>
      <c r="G771" s="7" t="n">
        <v>1134656.002</v>
      </c>
      <c r="H771" t="inlineStr">
        <is>
          <t>GBP</t>
        </is>
      </c>
      <c r="I771" s="7" t="n">
        <v>48563.277</v>
      </c>
      <c r="J771" s="8" t="n">
        <v>46253.29715277778</v>
      </c>
      <c r="K771" t="inlineStr">
        <is>
          <t>CF260819 00765</t>
        </is>
      </c>
      <c r="L771" t="inlineStr">
        <is>
          <t>GL.NOSTRO.MXN.BRMD.001</t>
        </is>
      </c>
      <c r="M771" t="inlineStr">
        <is>
          <t>Cedar Commercial Bank</t>
        </is>
      </c>
      <c r="N771" t="inlineStr">
        <is>
          <t>BRMDCASH</t>
        </is>
      </c>
      <c r="O771" t="inlineStr">
        <is>
          <t>NEW</t>
        </is>
      </c>
      <c r="P771" t="inlineStr">
        <is>
          <t>NT26081900672</t>
        </is>
      </c>
      <c r="Q771" t="inlineStr">
        <is>
          <t>GROSS</t>
        </is>
      </c>
    </row>
    <row r="772">
      <c r="A772" t="inlineStr">
        <is>
          <t>132544340094</t>
        </is>
      </c>
      <c r="B772" t="inlineStr">
        <is>
          <t>TCQ</t>
        </is>
      </c>
      <c r="C772" t="inlineStr">
        <is>
          <t>BRYG</t>
        </is>
      </c>
      <c r="D772" s="6" t="n">
        <v>46253</v>
      </c>
      <c r="E772" t="inlineStr">
        <is>
          <t>DR</t>
        </is>
      </c>
      <c r="F772" t="inlineStr">
        <is>
          <t>CZK</t>
        </is>
      </c>
      <c r="G772" s="7" t="n">
        <v>-20154353.399</v>
      </c>
      <c r="H772" t="inlineStr">
        <is>
          <t>GBP</t>
        </is>
      </c>
      <c r="I772" s="7" t="n">
        <v>-683232.58</v>
      </c>
      <c r="J772" s="8" t="n">
        <v>46253.52247685185</v>
      </c>
      <c r="K772" t="inlineStr">
        <is>
          <t>CF260819 00766</t>
        </is>
      </c>
      <c r="L772" t="inlineStr">
        <is>
          <t>GL.NOSTRO.CZK.BRYG.004</t>
        </is>
      </c>
      <c r="M772" t="inlineStr">
        <is>
          <t>Yarrow Bank</t>
        </is>
      </c>
      <c r="N772" t="inlineStr">
        <is>
          <t>BRYGMM</t>
        </is>
      </c>
      <c r="O772" t="inlineStr">
        <is>
          <t>NEW</t>
        </is>
      </c>
      <c r="P772" t="inlineStr">
        <is>
          <t>NT26081900668</t>
        </is>
      </c>
      <c r="Q772" t="inlineStr">
        <is>
          <t>NETTER</t>
        </is>
      </c>
    </row>
    <row r="773">
      <c r="A773" t="inlineStr">
        <is>
          <t>953625291146</t>
        </is>
      </c>
      <c r="B773" t="inlineStr">
        <is>
          <t>TCX</t>
        </is>
      </c>
      <c r="C773" t="inlineStr">
        <is>
          <t>BRGL</t>
        </is>
      </c>
      <c r="D773" s="6" t="n">
        <v>46253</v>
      </c>
      <c r="E773" t="inlineStr">
        <is>
          <t>DR</t>
        </is>
      </c>
      <c r="F773" t="inlineStr">
        <is>
          <t>USD</t>
        </is>
      </c>
      <c r="G773" s="7" t="n">
        <v>-29164663.97</v>
      </c>
      <c r="H773" t="inlineStr">
        <is>
          <t>GBP</t>
        </is>
      </c>
      <c r="I773" s="7" t="n">
        <v>-22865096.552</v>
      </c>
      <c r="J773" s="8" t="n">
        <v>46253.36378472222</v>
      </c>
      <c r="K773" t="inlineStr">
        <is>
          <t>CF260819 00767</t>
        </is>
      </c>
      <c r="L773" t="inlineStr">
        <is>
          <t>GL.NOSTRO.USD.BRGL.004</t>
        </is>
      </c>
      <c r="M773" t="inlineStr">
        <is>
          <t>Vetchling Settlement Bank</t>
        </is>
      </c>
      <c r="N773" t="inlineStr">
        <is>
          <t>BRGL</t>
        </is>
      </c>
      <c r="O773" t="inlineStr">
        <is>
          <t>NEW</t>
        </is>
      </c>
      <c r="P773" t="inlineStr">
        <is>
          <t>NT26081900672</t>
        </is>
      </c>
      <c r="Q773" t="inlineStr">
        <is>
          <t>NETTER</t>
        </is>
      </c>
    </row>
    <row r="774">
      <c r="A774" t="inlineStr">
        <is>
          <t>150316825069</t>
        </is>
      </c>
      <c r="B774" t="inlineStr">
        <is>
          <t>TCQ</t>
        </is>
      </c>
      <c r="C774" t="inlineStr">
        <is>
          <t>BRGX</t>
        </is>
      </c>
      <c r="D774" s="6" t="n">
        <v>46253</v>
      </c>
      <c r="E774" t="inlineStr">
        <is>
          <t>CR</t>
        </is>
      </c>
      <c r="F774" t="inlineStr">
        <is>
          <t>GBP</t>
        </is>
      </c>
      <c r="G774" s="7" t="n">
        <v>1156518.783</v>
      </c>
      <c r="H774" t="inlineStr">
        <is>
          <t>GBP</t>
        </is>
      </c>
      <c r="I774" s="7" t="n">
        <v>1156518.783</v>
      </c>
      <c r="J774" s="8" t="n">
        <v>46253.59579861111</v>
      </c>
      <c r="K774" t="inlineStr">
        <is>
          <t>CF260819 00768</t>
        </is>
      </c>
      <c r="L774" t="inlineStr">
        <is>
          <t>GL.NOSTRO.GBP.BRGX.004</t>
        </is>
      </c>
      <c r="M774" t="inlineStr">
        <is>
          <t>Sablewood Settlement Bank</t>
        </is>
      </c>
      <c r="N774" t="inlineStr">
        <is>
          <t>BRGXCASH</t>
        </is>
      </c>
      <c r="O774" t="inlineStr">
        <is>
          <t>NEW</t>
        </is>
      </c>
      <c r="Q774" t="inlineStr">
        <is>
          <t>NETTER</t>
        </is>
      </c>
    </row>
    <row r="775">
      <c r="A775" t="inlineStr">
        <is>
          <t>171857983160</t>
        </is>
      </c>
      <c r="B775" t="inlineStr">
        <is>
          <t>TCP</t>
        </is>
      </c>
      <c r="C775" t="inlineStr">
        <is>
          <t>BRBX</t>
        </is>
      </c>
      <c r="D775" s="6" t="n">
        <v>46253</v>
      </c>
      <c r="E775" t="inlineStr">
        <is>
          <t>CR</t>
        </is>
      </c>
      <c r="F775" t="inlineStr">
        <is>
          <t>AUD</t>
        </is>
      </c>
      <c r="G775" s="7" t="n">
        <v>3732841050.115</v>
      </c>
      <c r="H775" t="inlineStr">
        <is>
          <t>GBP</t>
        </is>
      </c>
      <c r="I775" s="7" t="n">
        <v>1914947458.709</v>
      </c>
      <c r="J775" s="8" t="n">
        <v>46253.66681712963</v>
      </c>
      <c r="K775" t="inlineStr">
        <is>
          <t>CF260819 00769</t>
        </is>
      </c>
      <c r="L775" t="inlineStr">
        <is>
          <t>GL.NOSTRO.AUD.BRBX.005</t>
        </is>
      </c>
      <c r="M775" t="inlineStr">
        <is>
          <t>Larkspur Clearing</t>
        </is>
      </c>
      <c r="N775" t="inlineStr">
        <is>
          <t>BRBX</t>
        </is>
      </c>
      <c r="O775" t="inlineStr">
        <is>
          <t>NEW</t>
        </is>
      </c>
      <c r="P775" t="inlineStr">
        <is>
          <t>NT26081900683</t>
        </is>
      </c>
      <c r="Q775" t="inlineStr">
        <is>
          <t>NETTER</t>
        </is>
      </c>
    </row>
    <row r="776">
      <c r="A776" t="inlineStr">
        <is>
          <t>150316825069</t>
        </is>
      </c>
      <c r="B776" t="inlineStr">
        <is>
          <t>TCX</t>
        </is>
      </c>
      <c r="C776" t="inlineStr">
        <is>
          <t>BRGX</t>
        </is>
      </c>
      <c r="D776" s="6" t="n">
        <v>46253</v>
      </c>
      <c r="E776" t="inlineStr">
        <is>
          <t>DR</t>
        </is>
      </c>
      <c r="F776" t="inlineStr">
        <is>
          <t>GBP</t>
        </is>
      </c>
      <c r="G776" s="7" t="n">
        <v>-3743.047</v>
      </c>
      <c r="H776" t="inlineStr">
        <is>
          <t>GBP</t>
        </is>
      </c>
      <c r="I776" s="7" t="n">
        <v>-3743.047</v>
      </c>
      <c r="J776" s="8" t="n">
        <v>46253.4203587963</v>
      </c>
      <c r="K776" t="inlineStr">
        <is>
          <t>CF260819 00770</t>
        </is>
      </c>
      <c r="L776" t="inlineStr">
        <is>
          <t>GL.NOSTRO.GBP.BRGX.001</t>
        </is>
      </c>
      <c r="M776" t="inlineStr">
        <is>
          <t>Cedar Commercial Bank</t>
        </is>
      </c>
      <c r="N776" t="inlineStr">
        <is>
          <t>BRGX</t>
        </is>
      </c>
      <c r="O776" t="inlineStr">
        <is>
          <t>NEW</t>
        </is>
      </c>
      <c r="P776" t="inlineStr">
        <is>
          <t>NT26081900688</t>
        </is>
      </c>
      <c r="Q776" t="inlineStr">
        <is>
          <t>GROSS</t>
        </is>
      </c>
    </row>
    <row r="777">
      <c r="A777" t="inlineStr">
        <is>
          <t>468341071172</t>
        </is>
      </c>
      <c r="B777" t="inlineStr">
        <is>
          <t>TCP</t>
        </is>
      </c>
      <c r="C777" t="inlineStr">
        <is>
          <t>BRCC</t>
        </is>
      </c>
      <c r="D777" s="6" t="n">
        <v>46253</v>
      </c>
      <c r="E777" t="inlineStr">
        <is>
          <t>DR</t>
        </is>
      </c>
      <c r="F777" t="inlineStr">
        <is>
          <t>EUR</t>
        </is>
      </c>
      <c r="G777" s="7" t="n">
        <v>-377767.291</v>
      </c>
      <c r="H777" t="inlineStr">
        <is>
          <t>GBP</t>
        </is>
      </c>
      <c r="I777" s="7" t="n">
        <v>-324124.336</v>
      </c>
      <c r="J777" s="8" t="n">
        <v>46253.80409722222</v>
      </c>
      <c r="K777" t="inlineStr">
        <is>
          <t>CF260819 00771</t>
        </is>
      </c>
      <c r="L777" t="inlineStr">
        <is>
          <t>GL.NOSTRO.EUR.BRCC.002</t>
        </is>
      </c>
      <c r="M777" t="inlineStr">
        <is>
          <t>Sablewood Settlement Bank</t>
        </is>
      </c>
      <c r="N777" t="inlineStr">
        <is>
          <t>BRCC</t>
        </is>
      </c>
      <c r="O777" t="inlineStr">
        <is>
          <t>AMEND</t>
        </is>
      </c>
      <c r="Q777" t="inlineStr">
        <is>
          <t>NETTER</t>
        </is>
      </c>
    </row>
    <row r="778">
      <c r="A778" t="inlineStr">
        <is>
          <t>824840705580</t>
        </is>
      </c>
      <c r="B778" t="inlineStr">
        <is>
          <t>TCP</t>
        </is>
      </c>
      <c r="C778" t="inlineStr">
        <is>
          <t>BRGL</t>
        </is>
      </c>
      <c r="D778" s="6" t="n">
        <v>46253</v>
      </c>
      <c r="E778" t="inlineStr">
        <is>
          <t>DR</t>
        </is>
      </c>
      <c r="F778" t="inlineStr">
        <is>
          <t>EUR</t>
        </is>
      </c>
      <c r="G778" s="7" t="n">
        <v>-707348959.725</v>
      </c>
      <c r="H778" t="inlineStr">
        <is>
          <t>GBP</t>
        </is>
      </c>
      <c r="I778" s="7" t="n">
        <v>-606905407.444</v>
      </c>
      <c r="J778" s="8" t="n">
        <v>46253.41579861111</v>
      </c>
      <c r="K778" t="inlineStr">
        <is>
          <t>CF260819 00772</t>
        </is>
      </c>
      <c r="L778" t="inlineStr">
        <is>
          <t>GL.NOSTRO.EUR.BRGL.001</t>
        </is>
      </c>
      <c r="M778" t="inlineStr">
        <is>
          <t>Ironbark Trust</t>
        </is>
      </c>
      <c r="N778" t="inlineStr">
        <is>
          <t>BRGLTRSY</t>
        </is>
      </c>
      <c r="O778" t="inlineStr">
        <is>
          <t>NEW</t>
        </is>
      </c>
      <c r="Q778" t="inlineStr">
        <is>
          <t>NETTER</t>
        </is>
      </c>
    </row>
    <row r="779">
      <c r="A779" t="inlineStr">
        <is>
          <t>468341071172</t>
        </is>
      </c>
      <c r="B779" t="inlineStr">
        <is>
          <t>TCG</t>
        </is>
      </c>
      <c r="C779" t="inlineStr">
        <is>
          <t>BRCC</t>
        </is>
      </c>
      <c r="D779" s="6" t="n">
        <v>46253</v>
      </c>
      <c r="E779" t="inlineStr">
        <is>
          <t>CR</t>
        </is>
      </c>
      <c r="F779" t="inlineStr">
        <is>
          <t>EUR</t>
        </is>
      </c>
      <c r="G779" s="7" t="n">
        <v>38997162.294</v>
      </c>
      <c r="H779" t="inlineStr">
        <is>
          <t>GBP</t>
        </is>
      </c>
      <c r="I779" s="7" t="n">
        <v>33459565.248</v>
      </c>
      <c r="J779" s="8" t="n">
        <v>46253.64449074074</v>
      </c>
      <c r="K779" t="inlineStr">
        <is>
          <t>CF260819 00773</t>
        </is>
      </c>
      <c r="L779" t="inlineStr">
        <is>
          <t>GL.NOSTRO.EUR.BRCC.006</t>
        </is>
      </c>
      <c r="M779" t="inlineStr">
        <is>
          <t>Larkspur Clearing</t>
        </is>
      </c>
      <c r="N779" t="inlineStr">
        <is>
          <t>BRCCMM</t>
        </is>
      </c>
      <c r="O779" t="inlineStr">
        <is>
          <t>NEW</t>
        </is>
      </c>
      <c r="Q779" t="inlineStr">
        <is>
          <t>NETTER</t>
        </is>
      </c>
    </row>
    <row r="780">
      <c r="A780" t="inlineStr">
        <is>
          <t>898317028833</t>
        </is>
      </c>
      <c r="B780" t="inlineStr">
        <is>
          <t>TCX</t>
        </is>
      </c>
      <c r="C780" t="inlineStr">
        <is>
          <t>BRAA</t>
        </is>
      </c>
      <c r="D780" s="6" t="n">
        <v>46253</v>
      </c>
      <c r="E780" t="inlineStr">
        <is>
          <t>CR</t>
        </is>
      </c>
      <c r="F780" t="inlineStr">
        <is>
          <t>GBP</t>
        </is>
      </c>
      <c r="G780" s="7" t="n">
        <v>3514886192.8</v>
      </c>
      <c r="H780" t="inlineStr">
        <is>
          <t>GBP</t>
        </is>
      </c>
      <c r="I780" s="7" t="n">
        <v>3514886192.8</v>
      </c>
      <c r="J780" s="8" t="n">
        <v>46253.73565972222</v>
      </c>
      <c r="K780" t="inlineStr">
        <is>
          <t>CF260819 00774</t>
        </is>
      </c>
      <c r="L780" t="inlineStr">
        <is>
          <t>GL.NOSTRO.GBP.BRAA.005</t>
        </is>
      </c>
      <c r="M780" t="inlineStr">
        <is>
          <t>Yarrow Commercial Bank</t>
        </is>
      </c>
      <c r="N780" t="inlineStr">
        <is>
          <t>BRAAMM</t>
        </is>
      </c>
      <c r="O780" t="inlineStr">
        <is>
          <t>NEW</t>
        </is>
      </c>
      <c r="P780" t="inlineStr">
        <is>
          <t>NT26081900684</t>
        </is>
      </c>
      <c r="Q780" t="inlineStr">
        <is>
          <t>GROSS</t>
        </is>
      </c>
    </row>
    <row r="781">
      <c r="A781" t="inlineStr">
        <is>
          <t>824840705580</t>
        </is>
      </c>
      <c r="B781" t="inlineStr">
        <is>
          <t>TCX</t>
        </is>
      </c>
      <c r="C781" t="inlineStr">
        <is>
          <t>BRGL</t>
        </is>
      </c>
      <c r="D781" s="6" t="n">
        <v>46253</v>
      </c>
      <c r="E781" t="inlineStr">
        <is>
          <t>CR</t>
        </is>
      </c>
      <c r="F781" t="inlineStr">
        <is>
          <t>EUR</t>
        </is>
      </c>
      <c r="G781" s="7" t="n">
        <v>580212885.649</v>
      </c>
      <c r="H781" t="inlineStr">
        <is>
          <t>GBP</t>
        </is>
      </c>
      <c r="I781" s="7" t="n">
        <v>497822655.887</v>
      </c>
      <c r="J781" s="8" t="n">
        <v>46253.42305555556</v>
      </c>
      <c r="K781" t="inlineStr">
        <is>
          <t>CF260819 00775</t>
        </is>
      </c>
      <c r="L781" t="inlineStr">
        <is>
          <t>GL.NOSTRO.EUR.BRGL.006</t>
        </is>
      </c>
      <c r="M781" t="inlineStr">
        <is>
          <t>Sablewood Bank</t>
        </is>
      </c>
      <c r="N781" t="inlineStr">
        <is>
          <t>BRGLMM</t>
        </is>
      </c>
      <c r="O781" t="inlineStr">
        <is>
          <t>NEW</t>
        </is>
      </c>
      <c r="Q781" t="inlineStr">
        <is>
          <t>NETTER</t>
        </is>
      </c>
    </row>
    <row r="782">
      <c r="A782" t="inlineStr">
        <is>
          <t>968942362772</t>
        </is>
      </c>
      <c r="B782" t="inlineStr">
        <is>
          <t>TCX</t>
        </is>
      </c>
      <c r="C782" t="inlineStr">
        <is>
          <t>BRYG</t>
        </is>
      </c>
      <c r="D782" s="6" t="n">
        <v>46253</v>
      </c>
      <c r="E782" t="inlineStr">
        <is>
          <t>CR</t>
        </is>
      </c>
      <c r="F782" t="inlineStr">
        <is>
          <t>EUR</t>
        </is>
      </c>
      <c r="G782" s="7" t="n">
        <v>172697243.426</v>
      </c>
      <c r="H782" t="inlineStr">
        <is>
          <t>GBP</t>
        </is>
      </c>
      <c r="I782" s="7" t="n">
        <v>148174234.86</v>
      </c>
      <c r="J782" s="8" t="n">
        <v>46253.4558912037</v>
      </c>
      <c r="K782" t="inlineStr">
        <is>
          <t>CF260819 00776</t>
        </is>
      </c>
      <c r="L782" t="inlineStr">
        <is>
          <t>GL.NOSTRO.EUR.BRYG.008</t>
        </is>
      </c>
      <c r="M782" t="inlineStr">
        <is>
          <t>Oriel Trust</t>
        </is>
      </c>
      <c r="N782" t="inlineStr">
        <is>
          <t>BRYGMM</t>
        </is>
      </c>
      <c r="O782" t="inlineStr">
        <is>
          <t>NEW</t>
        </is>
      </c>
      <c r="P782" t="inlineStr">
        <is>
          <t>NT26081900673</t>
        </is>
      </c>
      <c r="Q782" t="inlineStr">
        <is>
          <t>NETTER</t>
        </is>
      </c>
    </row>
    <row r="783">
      <c r="A783" t="inlineStr">
        <is>
          <t>171857983160</t>
        </is>
      </c>
      <c r="B783" t="inlineStr">
        <is>
          <t>TCQ</t>
        </is>
      </c>
      <c r="C783" t="inlineStr">
        <is>
          <t>BRBX</t>
        </is>
      </c>
      <c r="D783" s="6" t="n">
        <v>46253</v>
      </c>
      <c r="E783" t="inlineStr">
        <is>
          <t>DR</t>
        </is>
      </c>
      <c r="F783" t="inlineStr">
        <is>
          <t>AUD</t>
        </is>
      </c>
      <c r="G783" s="7" t="n">
        <v>-2068546.429</v>
      </c>
      <c r="H783" t="inlineStr">
        <is>
          <t>GBP</t>
        </is>
      </c>
      <c r="I783" s="7" t="n">
        <v>-1061164.318</v>
      </c>
      <c r="J783" s="8" t="n">
        <v>46253.66428240741</v>
      </c>
      <c r="K783" t="inlineStr">
        <is>
          <t>CF260819 00777</t>
        </is>
      </c>
      <c r="L783" t="inlineStr">
        <is>
          <t>GL.NOSTRO.AUD.BRBX.003</t>
        </is>
      </c>
      <c r="M783" t="inlineStr">
        <is>
          <t>Juniper Bank</t>
        </is>
      </c>
      <c r="N783" t="inlineStr">
        <is>
          <t>BRBXTRSY</t>
        </is>
      </c>
      <c r="O783" t="inlineStr">
        <is>
          <t>NEW</t>
        </is>
      </c>
      <c r="P783" t="inlineStr">
        <is>
          <t>NT26081900675</t>
        </is>
      </c>
      <c r="Q783" t="inlineStr">
        <is>
          <t>GROSS</t>
        </is>
      </c>
    </row>
    <row r="784">
      <c r="A784" t="inlineStr">
        <is>
          <t>150316825069</t>
        </is>
      </c>
      <c r="B784" t="inlineStr">
        <is>
          <t>TCC</t>
        </is>
      </c>
      <c r="C784" t="inlineStr">
        <is>
          <t>BRGX</t>
        </is>
      </c>
      <c r="D784" s="6" t="n">
        <v>46253</v>
      </c>
      <c r="E784" t="inlineStr">
        <is>
          <t>CR</t>
        </is>
      </c>
      <c r="F784" t="inlineStr">
        <is>
          <t>GBP</t>
        </is>
      </c>
      <c r="G784" s="7" t="n">
        <v>74013931.32700001</v>
      </c>
      <c r="H784" t="inlineStr">
        <is>
          <t>GBP</t>
        </is>
      </c>
      <c r="I784" s="7" t="n">
        <v>74013931.32700001</v>
      </c>
      <c r="J784" s="8" t="n">
        <v>46253.60949074074</v>
      </c>
      <c r="K784" t="inlineStr">
        <is>
          <t>CF260819 00778</t>
        </is>
      </c>
      <c r="L784" t="inlineStr">
        <is>
          <t>GL.NOSTRO.GBP.BRGX.002</t>
        </is>
      </c>
      <c r="M784" t="inlineStr">
        <is>
          <t>Fernway Settlement Bank</t>
        </is>
      </c>
      <c r="N784" t="inlineStr">
        <is>
          <t>BRGX</t>
        </is>
      </c>
      <c r="O784" t="inlineStr">
        <is>
          <t>NEW</t>
        </is>
      </c>
      <c r="Q784" t="inlineStr">
        <is>
          <t>NETTER</t>
        </is>
      </c>
    </row>
    <row r="785">
      <c r="A785" t="inlineStr">
        <is>
          <t>794226063698</t>
        </is>
      </c>
      <c r="B785" t="inlineStr">
        <is>
          <t>TCQ</t>
        </is>
      </c>
      <c r="C785" t="inlineStr">
        <is>
          <t>BRMD</t>
        </is>
      </c>
      <c r="D785" s="6" t="n">
        <v>46253</v>
      </c>
      <c r="E785" t="inlineStr">
        <is>
          <t>CR</t>
        </is>
      </c>
      <c r="F785" t="inlineStr">
        <is>
          <t>AED</t>
        </is>
      </c>
      <c r="G785" s="7" t="n">
        <v>7643720.348</v>
      </c>
      <c r="H785" t="inlineStr">
        <is>
          <t>GBP</t>
        </is>
      </c>
      <c r="I785" s="7" t="n">
        <v>1628112.434</v>
      </c>
      <c r="J785" s="8" t="n">
        <v>46253.49878472222</v>
      </c>
      <c r="K785" t="inlineStr">
        <is>
          <t>CF260819 00779</t>
        </is>
      </c>
      <c r="L785" t="inlineStr">
        <is>
          <t>GL.NOSTRO.AED.BRMD.008</t>
        </is>
      </c>
      <c r="M785" t="inlineStr">
        <is>
          <t>Mallow Commercial Bank</t>
        </is>
      </c>
      <c r="N785" t="inlineStr">
        <is>
          <t>BRMDCASH</t>
        </is>
      </c>
      <c r="O785" t="inlineStr">
        <is>
          <t>NEW</t>
        </is>
      </c>
      <c r="P785" t="inlineStr">
        <is>
          <t>NT26081900671</t>
        </is>
      </c>
      <c r="Q785" t="inlineStr">
        <is>
          <t>NETTER</t>
        </is>
      </c>
    </row>
    <row r="786">
      <c r="A786" t="inlineStr">
        <is>
          <t>468341071172</t>
        </is>
      </c>
      <c r="B786" t="inlineStr">
        <is>
          <t>TCG</t>
        </is>
      </c>
      <c r="C786" t="inlineStr">
        <is>
          <t>BRCC</t>
        </is>
      </c>
      <c r="D786" s="6" t="n">
        <v>46253</v>
      </c>
      <c r="E786" t="inlineStr">
        <is>
          <t>DR</t>
        </is>
      </c>
      <c r="F786" t="inlineStr">
        <is>
          <t>EUR</t>
        </is>
      </c>
      <c r="G786" s="7" t="n">
        <v>-41173827.304</v>
      </c>
      <c r="H786" t="inlineStr">
        <is>
          <t>GBP</t>
        </is>
      </c>
      <c r="I786" s="7" t="n">
        <v>-35327143.827</v>
      </c>
      <c r="J786" s="8" t="n">
        <v>46253.69194444444</v>
      </c>
      <c r="K786" t="inlineStr">
        <is>
          <t>CF260819 00780</t>
        </is>
      </c>
      <c r="L786" t="inlineStr">
        <is>
          <t>GL.NOSTRO.EUR.BRCC.008</t>
        </is>
      </c>
      <c r="M786" t="inlineStr">
        <is>
          <t>Elmwood Trust</t>
        </is>
      </c>
      <c r="N786" t="inlineStr">
        <is>
          <t>BRCCCASH</t>
        </is>
      </c>
      <c r="O786" t="inlineStr">
        <is>
          <t>NEW</t>
        </is>
      </c>
      <c r="Q786" t="inlineStr">
        <is>
          <t>NETTER</t>
        </is>
      </c>
    </row>
    <row r="787">
      <c r="A787" t="inlineStr">
        <is>
          <t>898317028833</t>
        </is>
      </c>
      <c r="B787" t="inlineStr">
        <is>
          <t>TCX</t>
        </is>
      </c>
      <c r="C787" t="inlineStr">
        <is>
          <t>BRAA</t>
        </is>
      </c>
      <c r="D787" s="6" t="n">
        <v>46253</v>
      </c>
      <c r="E787" t="inlineStr">
        <is>
          <t>DR</t>
        </is>
      </c>
      <c r="F787" t="inlineStr">
        <is>
          <t>GBP</t>
        </is>
      </c>
      <c r="G787" s="7" t="n">
        <v>-8718.986000000001</v>
      </c>
      <c r="H787" t="inlineStr">
        <is>
          <t>GBP</t>
        </is>
      </c>
      <c r="I787" s="7" t="n">
        <v>-8718.986000000001</v>
      </c>
      <c r="J787" s="8" t="n">
        <v>46253.62177083334</v>
      </c>
      <c r="K787" t="inlineStr">
        <is>
          <t>CF260819 00781</t>
        </is>
      </c>
      <c r="L787" t="inlineStr">
        <is>
          <t>GL.NOSTRO.GBP.BRAA.005</t>
        </is>
      </c>
      <c r="M787" t="inlineStr">
        <is>
          <t>Yarrow Commercial Bank</t>
        </is>
      </c>
      <c r="N787" t="inlineStr">
        <is>
          <t>BRAACASH</t>
        </is>
      </c>
      <c r="O787" t="inlineStr">
        <is>
          <t>NEW</t>
        </is>
      </c>
      <c r="Q787" t="inlineStr">
        <is>
          <t>INTERNAL</t>
        </is>
      </c>
    </row>
    <row r="788">
      <c r="A788" t="inlineStr">
        <is>
          <t>794226063698</t>
        </is>
      </c>
      <c r="B788" t="inlineStr">
        <is>
          <t>TCQ</t>
        </is>
      </c>
      <c r="C788" t="inlineStr">
        <is>
          <t>BRMD</t>
        </is>
      </c>
      <c r="D788" s="6" t="n">
        <v>46253</v>
      </c>
      <c r="E788" t="inlineStr">
        <is>
          <t>CR</t>
        </is>
      </c>
      <c r="F788" t="inlineStr">
        <is>
          <t>AED</t>
        </is>
      </c>
      <c r="G788" s="7" t="n">
        <v>38035311.562</v>
      </c>
      <c r="H788" t="inlineStr">
        <is>
          <t>GBP</t>
        </is>
      </c>
      <c r="I788" s="7" t="n">
        <v>8101521.363</v>
      </c>
      <c r="J788" s="8" t="n">
        <v>46253.24862268518</v>
      </c>
      <c r="K788" t="inlineStr">
        <is>
          <t>CF260819 00782</t>
        </is>
      </c>
      <c r="L788" t="inlineStr">
        <is>
          <t>GL.NOSTRO.AED.BRMD.004</t>
        </is>
      </c>
      <c r="M788" t="inlineStr">
        <is>
          <t>Yarrow Commercial Bank</t>
        </is>
      </c>
      <c r="N788" t="inlineStr">
        <is>
          <t>BRMD</t>
        </is>
      </c>
      <c r="O788" t="inlineStr">
        <is>
          <t>NEW</t>
        </is>
      </c>
      <c r="Q788" t="inlineStr">
        <is>
          <t>NETTER</t>
        </is>
      </c>
    </row>
    <row r="789">
      <c r="A789" t="inlineStr">
        <is>
          <t>910703979141</t>
        </is>
      </c>
      <c r="B789" t="inlineStr">
        <is>
          <t>TCP</t>
        </is>
      </c>
      <c r="C789" t="inlineStr">
        <is>
          <t>BRCC</t>
        </is>
      </c>
      <c r="D789" s="6" t="n">
        <v>46253</v>
      </c>
      <c r="E789" t="inlineStr">
        <is>
          <t>CR</t>
        </is>
      </c>
      <c r="F789" t="inlineStr">
        <is>
          <t>CHF</t>
        </is>
      </c>
      <c r="G789" s="7" t="n">
        <v>922340.456</v>
      </c>
      <c r="H789" t="inlineStr">
        <is>
          <t>GBP</t>
        </is>
      </c>
      <c r="I789" s="7" t="n">
        <v>827339.389</v>
      </c>
      <c r="J789" s="8" t="n">
        <v>46253.61112268519</v>
      </c>
      <c r="K789" t="inlineStr">
        <is>
          <t>CF260819 00783</t>
        </is>
      </c>
      <c r="L789" t="inlineStr">
        <is>
          <t>GL.NOSTRO.CHF.BRCC.007</t>
        </is>
      </c>
      <c r="M789" t="inlineStr">
        <is>
          <t>Yarrow Bank</t>
        </is>
      </c>
      <c r="N789" t="inlineStr">
        <is>
          <t>BRCCTRSY</t>
        </is>
      </c>
      <c r="O789" t="inlineStr">
        <is>
          <t>NEW</t>
        </is>
      </c>
      <c r="P789" t="inlineStr">
        <is>
          <t>NT26081900671</t>
        </is>
      </c>
      <c r="Q789" t="inlineStr">
        <is>
          <t>NETTER</t>
        </is>
      </c>
    </row>
    <row r="790">
      <c r="A790" t="inlineStr">
        <is>
          <t>468341071172</t>
        </is>
      </c>
      <c r="B790" t="inlineStr">
        <is>
          <t>TCP</t>
        </is>
      </c>
      <c r="C790" t="inlineStr">
        <is>
          <t>BRCC</t>
        </is>
      </c>
      <c r="D790" s="6" t="n">
        <v>46253</v>
      </c>
      <c r="E790" t="inlineStr">
        <is>
          <t>DR</t>
        </is>
      </c>
      <c r="F790" t="inlineStr">
        <is>
          <t>EUR</t>
        </is>
      </c>
      <c r="G790" s="7" t="n">
        <v>-127879.191</v>
      </c>
      <c r="H790" t="inlineStr">
        <is>
          <t>GBP</t>
        </is>
      </c>
      <c r="I790" s="7" t="n">
        <v>-109720.346</v>
      </c>
      <c r="J790" s="8" t="n">
        <v>46253.29574074074</v>
      </c>
      <c r="K790" t="inlineStr">
        <is>
          <t>CF260819 00784</t>
        </is>
      </c>
      <c r="L790" t="inlineStr">
        <is>
          <t>GL.NOSTRO.EUR.BRCC.009</t>
        </is>
      </c>
      <c r="M790" t="inlineStr">
        <is>
          <t>Zephyr Commercial Bank</t>
        </is>
      </c>
      <c r="N790" t="inlineStr">
        <is>
          <t>BRCC</t>
        </is>
      </c>
      <c r="O790" t="inlineStr">
        <is>
          <t>NEW</t>
        </is>
      </c>
      <c r="Q790" t="inlineStr">
        <is>
          <t>NETTER</t>
        </is>
      </c>
    </row>
    <row r="791">
      <c r="A791" t="inlineStr">
        <is>
          <t>468341071172</t>
        </is>
      </c>
      <c r="B791" t="inlineStr">
        <is>
          <t>TCC</t>
        </is>
      </c>
      <c r="C791" t="inlineStr">
        <is>
          <t>BRCC</t>
        </is>
      </c>
      <c r="D791" s="6" t="n">
        <v>46253</v>
      </c>
      <c r="E791" t="inlineStr">
        <is>
          <t>DR</t>
        </is>
      </c>
      <c r="F791" t="inlineStr">
        <is>
          <t>EUR</t>
        </is>
      </c>
      <c r="G791" s="7" t="n">
        <v>-7538.578</v>
      </c>
      <c r="H791" t="inlineStr">
        <is>
          <t>GBP</t>
        </is>
      </c>
      <c r="I791" s="7" t="n">
        <v>-6468.1</v>
      </c>
      <c r="J791" s="8" t="n">
        <v>46253.38133101852</v>
      </c>
      <c r="K791" t="inlineStr">
        <is>
          <t>CF260819 00785</t>
        </is>
      </c>
      <c r="L791" t="inlineStr">
        <is>
          <t>GL.NOSTRO.EUR.BRCC.004</t>
        </is>
      </c>
      <c r="M791" t="inlineStr">
        <is>
          <t>Alder Clearing</t>
        </is>
      </c>
      <c r="N791" t="inlineStr">
        <is>
          <t>BRCCMM</t>
        </is>
      </c>
      <c r="O791" t="inlineStr">
        <is>
          <t>NEW</t>
        </is>
      </c>
      <c r="Q791" t="inlineStr">
        <is>
          <t>NETTER</t>
        </is>
      </c>
    </row>
    <row r="792">
      <c r="A792" t="inlineStr">
        <is>
          <t>150316825069</t>
        </is>
      </c>
      <c r="B792" t="inlineStr">
        <is>
          <t>TCC</t>
        </is>
      </c>
      <c r="C792" t="inlineStr">
        <is>
          <t>BRGX</t>
        </is>
      </c>
      <c r="D792" s="6" t="n">
        <v>46253</v>
      </c>
      <c r="E792" t="inlineStr">
        <is>
          <t>DR</t>
        </is>
      </c>
      <c r="F792" t="inlineStr">
        <is>
          <t>GBP</t>
        </is>
      </c>
      <c r="G792" s="7" t="n">
        <v>-14477097.847</v>
      </c>
      <c r="H792" t="inlineStr">
        <is>
          <t>GBP</t>
        </is>
      </c>
      <c r="I792" s="7" t="n">
        <v>-14477097.847</v>
      </c>
      <c r="J792" s="8" t="n">
        <v>46253.66003472222</v>
      </c>
      <c r="K792" t="inlineStr">
        <is>
          <t>CF260819 00786</t>
        </is>
      </c>
      <c r="L792" t="inlineStr">
        <is>
          <t>GL.NOSTRO.GBP.BRGX.007</t>
        </is>
      </c>
      <c r="M792" t="inlineStr">
        <is>
          <t>Mallow Clearing</t>
        </is>
      </c>
      <c r="N792" t="inlineStr">
        <is>
          <t>BRGXTRSY</t>
        </is>
      </c>
      <c r="O792" t="inlineStr">
        <is>
          <t>NEW</t>
        </is>
      </c>
      <c r="P792" t="inlineStr">
        <is>
          <t>NT26081900672</t>
        </is>
      </c>
      <c r="Q792" t="inlineStr">
        <is>
          <t>NETTER</t>
        </is>
      </c>
    </row>
    <row r="793">
      <c r="A793" t="inlineStr">
        <is>
          <t>910703979141</t>
        </is>
      </c>
      <c r="B793" t="inlineStr">
        <is>
          <t>TCP</t>
        </is>
      </c>
      <c r="C793" t="inlineStr">
        <is>
          <t>BRCC</t>
        </is>
      </c>
      <c r="D793" s="6" t="n">
        <v>46253</v>
      </c>
      <c r="E793" t="inlineStr">
        <is>
          <t>CR</t>
        </is>
      </c>
      <c r="F793" t="inlineStr">
        <is>
          <t>CHF</t>
        </is>
      </c>
      <c r="G793" s="7" t="n">
        <v>108410192.772</v>
      </c>
      <c r="H793" t="inlineStr">
        <is>
          <t>GBP</t>
        </is>
      </c>
      <c r="I793" s="7" t="n">
        <v>97243942.91599999</v>
      </c>
      <c r="J793" s="8" t="n">
        <v>46253.41959490741</v>
      </c>
      <c r="K793" t="inlineStr">
        <is>
          <t>CF260819 00787</t>
        </is>
      </c>
      <c r="L793" t="inlineStr">
        <is>
          <t>GL.NOSTRO.CHF.BRCC.006</t>
        </is>
      </c>
      <c r="M793" t="inlineStr">
        <is>
          <t>Zephyr Commercial Bank</t>
        </is>
      </c>
      <c r="N793" t="inlineStr">
        <is>
          <t>BRCCMM</t>
        </is>
      </c>
      <c r="O793" t="inlineStr">
        <is>
          <t>AMEND</t>
        </is>
      </c>
      <c r="Q793" t="inlineStr">
        <is>
          <t>GROSS</t>
        </is>
      </c>
    </row>
    <row r="794">
      <c r="A794" t="inlineStr">
        <is>
          <t>265771593142</t>
        </is>
      </c>
      <c r="B794" t="inlineStr">
        <is>
          <t>TCX</t>
        </is>
      </c>
      <c r="C794" t="inlineStr">
        <is>
          <t>BRYG</t>
        </is>
      </c>
      <c r="D794" s="6" t="n">
        <v>46253</v>
      </c>
      <c r="E794" t="inlineStr">
        <is>
          <t>DR</t>
        </is>
      </c>
      <c r="F794" t="inlineStr">
        <is>
          <t>EUR</t>
        </is>
      </c>
      <c r="G794" s="7" t="n">
        <v>-64533885.853</v>
      </c>
      <c r="H794" t="inlineStr">
        <is>
          <t>GBP</t>
        </is>
      </c>
      <c r="I794" s="7" t="n">
        <v>-55370074.062</v>
      </c>
      <c r="J794" s="8" t="n">
        <v>46253.54613425926</v>
      </c>
      <c r="K794" t="inlineStr">
        <is>
          <t>CF260819 00788</t>
        </is>
      </c>
      <c r="L794" t="inlineStr">
        <is>
          <t>GL.NOSTRO.EUR.BRYG.004</t>
        </is>
      </c>
      <c r="M794" t="inlineStr">
        <is>
          <t>Pinehurst Clearing</t>
        </is>
      </c>
      <c r="N794" t="inlineStr">
        <is>
          <t>BRYG</t>
        </is>
      </c>
      <c r="O794" t="inlineStr">
        <is>
          <t>NEW</t>
        </is>
      </c>
      <c r="P794" t="inlineStr">
        <is>
          <t>NT26081900663</t>
        </is>
      </c>
      <c r="Q794" t="inlineStr">
        <is>
          <t>NETTER</t>
        </is>
      </c>
    </row>
    <row r="795">
      <c r="A795" t="inlineStr">
        <is>
          <t>150316825069</t>
        </is>
      </c>
      <c r="B795" t="inlineStr">
        <is>
          <t>TCX</t>
        </is>
      </c>
      <c r="C795" t="inlineStr">
        <is>
          <t>BRGX</t>
        </is>
      </c>
      <c r="D795" s="6" t="n">
        <v>46253</v>
      </c>
      <c r="E795" t="inlineStr">
        <is>
          <t>CR</t>
        </is>
      </c>
      <c r="F795" t="inlineStr">
        <is>
          <t>GBP</t>
        </is>
      </c>
      <c r="G795" s="7" t="n">
        <v>382972370.909</v>
      </c>
      <c r="H795" t="inlineStr">
        <is>
          <t>GBP</t>
        </is>
      </c>
      <c r="I795" s="7" t="n">
        <v>382972370.909</v>
      </c>
      <c r="J795" s="8" t="n">
        <v>46253.35024305555</v>
      </c>
      <c r="K795" t="inlineStr">
        <is>
          <t>CF260819 00789</t>
        </is>
      </c>
      <c r="L795" t="inlineStr">
        <is>
          <t>GL.NOSTRO.GBP.BRGX.009</t>
        </is>
      </c>
      <c r="M795" t="inlineStr">
        <is>
          <t>Vetchling Commercial Bank</t>
        </is>
      </c>
      <c r="N795" t="inlineStr">
        <is>
          <t>BRGXCASH</t>
        </is>
      </c>
      <c r="O795" t="inlineStr">
        <is>
          <t>NEW</t>
        </is>
      </c>
      <c r="P795" t="inlineStr">
        <is>
          <t>NT26081900661</t>
        </is>
      </c>
      <c r="Q795" t="inlineStr">
        <is>
          <t>GROSS</t>
        </is>
      </c>
    </row>
    <row r="796">
      <c r="A796" t="inlineStr">
        <is>
          <t>150316825069</t>
        </is>
      </c>
      <c r="B796" t="inlineStr">
        <is>
          <t>TCP</t>
        </is>
      </c>
      <c r="C796" t="inlineStr">
        <is>
          <t>BRGX</t>
        </is>
      </c>
      <c r="D796" s="6" t="n">
        <v>46253</v>
      </c>
      <c r="E796" t="inlineStr">
        <is>
          <t>CR</t>
        </is>
      </c>
      <c r="F796" t="inlineStr">
        <is>
          <t>GBP</t>
        </is>
      </c>
      <c r="G796" s="7" t="n">
        <v>1698459.872</v>
      </c>
      <c r="H796" t="inlineStr">
        <is>
          <t>GBP</t>
        </is>
      </c>
      <c r="I796" s="7" t="n">
        <v>1698459.872</v>
      </c>
      <c r="J796" s="8" t="n">
        <v>46253.35515046296</v>
      </c>
      <c r="K796" t="inlineStr">
        <is>
          <t>CF260819 00790</t>
        </is>
      </c>
      <c r="L796" t="inlineStr">
        <is>
          <t>GL.NOSTRO.GBP.BRGX.008</t>
        </is>
      </c>
      <c r="M796" t="inlineStr">
        <is>
          <t>Cedar Commercial Bank</t>
        </is>
      </c>
      <c r="N796" t="inlineStr">
        <is>
          <t>BRGXTRSY</t>
        </is>
      </c>
      <c r="O796" t="inlineStr">
        <is>
          <t>NEW</t>
        </is>
      </c>
      <c r="P796" t="inlineStr">
        <is>
          <t>NT26081900695</t>
        </is>
      </c>
      <c r="Q796" t="inlineStr">
        <is>
          <t>GROSS</t>
        </is>
      </c>
    </row>
    <row r="797">
      <c r="A797" t="inlineStr">
        <is>
          <t>468341071172</t>
        </is>
      </c>
      <c r="B797" t="inlineStr">
        <is>
          <t>TCP</t>
        </is>
      </c>
      <c r="C797" t="inlineStr">
        <is>
          <t>BRCC</t>
        </is>
      </c>
      <c r="D797" s="6" t="n">
        <v>46253</v>
      </c>
      <c r="E797" t="inlineStr">
        <is>
          <t>CR</t>
        </is>
      </c>
      <c r="F797" t="inlineStr">
        <is>
          <t>EUR</t>
        </is>
      </c>
      <c r="G797" s="7" t="n">
        <v>279734702.227</v>
      </c>
      <c r="H797" t="inlineStr">
        <is>
          <t>GBP</t>
        </is>
      </c>
      <c r="I797" s="7" t="n">
        <v>240012374.511</v>
      </c>
      <c r="J797" s="8" t="n">
        <v>46253.50358796296</v>
      </c>
      <c r="K797" t="inlineStr">
        <is>
          <t>CF260819 00791</t>
        </is>
      </c>
      <c r="L797" t="inlineStr">
        <is>
          <t>GL.NOSTRO.EUR.BRCC.009</t>
        </is>
      </c>
      <c r="M797" t="inlineStr">
        <is>
          <t>Mallow Clearing</t>
        </is>
      </c>
      <c r="N797" t="inlineStr">
        <is>
          <t>BRCC</t>
        </is>
      </c>
      <c r="O797" t="inlineStr">
        <is>
          <t>AMEND</t>
        </is>
      </c>
      <c r="P797" t="inlineStr">
        <is>
          <t>NT26081900679</t>
        </is>
      </c>
      <c r="Q797" t="inlineStr">
        <is>
          <t>INTERNAL</t>
        </is>
      </c>
    </row>
    <row r="798">
      <c r="A798" t="inlineStr">
        <is>
          <t>968942362772</t>
        </is>
      </c>
      <c r="B798" t="inlineStr">
        <is>
          <t>TCG</t>
        </is>
      </c>
      <c r="C798" t="inlineStr">
        <is>
          <t>BRYG</t>
        </is>
      </c>
      <c r="D798" s="6" t="n">
        <v>46253</v>
      </c>
      <c r="E798" t="inlineStr">
        <is>
          <t>CR</t>
        </is>
      </c>
      <c r="F798" t="inlineStr">
        <is>
          <t>EUR</t>
        </is>
      </c>
      <c r="G798" s="7" t="n">
        <v>458339090.205</v>
      </c>
      <c r="H798" t="inlineStr">
        <is>
          <t>GBP</t>
        </is>
      </c>
      <c r="I798" s="7" t="n">
        <v>393254939.396</v>
      </c>
      <c r="J798" s="8" t="n">
        <v>46253.61938657407</v>
      </c>
      <c r="K798" t="inlineStr">
        <is>
          <t>CF260819 00792</t>
        </is>
      </c>
      <c r="L798" t="inlineStr">
        <is>
          <t>GL.NOSTRO.EUR.BRYG.007</t>
        </is>
      </c>
      <c r="M798" t="inlineStr">
        <is>
          <t>Bramble Bank</t>
        </is>
      </c>
      <c r="N798" t="inlineStr">
        <is>
          <t>BRYGMM</t>
        </is>
      </c>
      <c r="O798" t="inlineStr">
        <is>
          <t>NEW</t>
        </is>
      </c>
      <c r="P798" t="inlineStr">
        <is>
          <t>NT26081900674</t>
        </is>
      </c>
      <c r="Q798" t="inlineStr">
        <is>
          <t>GROSS</t>
        </is>
      </c>
    </row>
    <row r="799">
      <c r="A799" t="inlineStr">
        <is>
          <t>499062838623</t>
        </is>
      </c>
      <c r="B799" t="inlineStr">
        <is>
          <t>TCC</t>
        </is>
      </c>
      <c r="C799" t="inlineStr">
        <is>
          <t>BRBX</t>
        </is>
      </c>
      <c r="D799" s="6" t="n">
        <v>46253</v>
      </c>
      <c r="E799" t="inlineStr">
        <is>
          <t>CR</t>
        </is>
      </c>
      <c r="F799" t="inlineStr">
        <is>
          <t>USD</t>
        </is>
      </c>
      <c r="G799" s="7" t="n">
        <v>81281542.37899999</v>
      </c>
      <c r="H799" t="inlineStr">
        <is>
          <t>GBP</t>
        </is>
      </c>
      <c r="I799" s="7" t="n">
        <v>63724729.225</v>
      </c>
      <c r="J799" s="8" t="n">
        <v>46253.52640046296</v>
      </c>
      <c r="K799" t="inlineStr">
        <is>
          <t>CF260819 00793</t>
        </is>
      </c>
      <c r="L799" t="inlineStr">
        <is>
          <t>GL.NOSTRO.USD.BRBX.007</t>
        </is>
      </c>
      <c r="M799" t="inlineStr">
        <is>
          <t>Elmwood Clearing</t>
        </is>
      </c>
      <c r="N799" t="inlineStr">
        <is>
          <t>BRBXMM</t>
        </is>
      </c>
      <c r="O799" t="inlineStr">
        <is>
          <t>NEW</t>
        </is>
      </c>
      <c r="Q799" t="inlineStr">
        <is>
          <t>NETTER</t>
        </is>
      </c>
    </row>
    <row r="800">
      <c r="A800" t="inlineStr">
        <is>
          <t>700726936098</t>
        </is>
      </c>
      <c r="B800" t="inlineStr">
        <is>
          <t>TCP</t>
        </is>
      </c>
      <c r="C800" t="inlineStr">
        <is>
          <t>BRMD</t>
        </is>
      </c>
      <c r="D800" s="6" t="n">
        <v>46253</v>
      </c>
      <c r="E800" t="inlineStr">
        <is>
          <t>DR</t>
        </is>
      </c>
      <c r="F800" t="inlineStr">
        <is>
          <t>SAR</t>
        </is>
      </c>
      <c r="G800" s="7" t="n">
        <v>-69225188.242</v>
      </c>
      <c r="H800" t="inlineStr">
        <is>
          <t>GBP</t>
        </is>
      </c>
      <c r="I800" s="7" t="n">
        <v>-14468064.343</v>
      </c>
      <c r="J800" s="8" t="n">
        <v>46253.49474537037</v>
      </c>
      <c r="K800" t="inlineStr">
        <is>
          <t>CF260819 00794</t>
        </is>
      </c>
      <c r="L800" t="inlineStr">
        <is>
          <t>GL.NOSTRO.SAR.BRMD.003</t>
        </is>
      </c>
      <c r="M800" t="inlineStr">
        <is>
          <t>Cedar Commercial Bank</t>
        </is>
      </c>
      <c r="N800" t="inlineStr">
        <is>
          <t>BRMDTRSY</t>
        </is>
      </c>
      <c r="O800" t="inlineStr">
        <is>
          <t>NEW</t>
        </is>
      </c>
      <c r="P800" t="inlineStr">
        <is>
          <t>NT26081900667</t>
        </is>
      </c>
      <c r="Q800" t="inlineStr">
        <is>
          <t>GROSS</t>
        </is>
      </c>
    </row>
    <row r="801">
      <c r="A801" t="inlineStr">
        <is>
          <t>468341071172</t>
        </is>
      </c>
      <c r="B801" t="inlineStr">
        <is>
          <t>TCX</t>
        </is>
      </c>
      <c r="C801" t="inlineStr">
        <is>
          <t>BRCC</t>
        </is>
      </c>
      <c r="D801" s="6" t="n">
        <v>46253</v>
      </c>
      <c r="E801" t="inlineStr">
        <is>
          <t>DR</t>
        </is>
      </c>
      <c r="F801" t="inlineStr">
        <is>
          <t>EUR</t>
        </is>
      </c>
      <c r="G801" s="7" t="n">
        <v>-104656149.069</v>
      </c>
      <c r="H801" t="inlineStr">
        <is>
          <t>GBP</t>
        </is>
      </c>
      <c r="I801" s="7" t="n">
        <v>-89794975.90099999</v>
      </c>
      <c r="J801" s="8" t="n">
        <v>46253.40302083334</v>
      </c>
      <c r="K801" t="inlineStr">
        <is>
          <t>CF260819 00795</t>
        </is>
      </c>
      <c r="L801" t="inlineStr">
        <is>
          <t>GL.NOSTRO.EUR.BRCC.005</t>
        </is>
      </c>
      <c r="M801" t="inlineStr">
        <is>
          <t>Pinehurst Settlement Bank</t>
        </is>
      </c>
      <c r="N801" t="inlineStr">
        <is>
          <t>BRCCTRSY</t>
        </is>
      </c>
      <c r="O801" t="inlineStr">
        <is>
          <t>NEW</t>
        </is>
      </c>
      <c r="P801" t="inlineStr">
        <is>
          <t>NT26081900688</t>
        </is>
      </c>
      <c r="Q801" t="inlineStr">
        <is>
          <t>INTERNAL</t>
        </is>
      </c>
    </row>
    <row r="802">
      <c r="A802" t="inlineStr">
        <is>
          <t>150316825069</t>
        </is>
      </c>
      <c r="B802" t="inlineStr">
        <is>
          <t>TCG</t>
        </is>
      </c>
      <c r="C802" t="inlineStr">
        <is>
          <t>BRGX</t>
        </is>
      </c>
      <c r="D802" s="6" t="n">
        <v>46253</v>
      </c>
      <c r="E802" t="inlineStr">
        <is>
          <t>CR</t>
        </is>
      </c>
      <c r="F802" t="inlineStr">
        <is>
          <t>GBP</t>
        </is>
      </c>
      <c r="G802" s="7" t="n">
        <v>1094480.49</v>
      </c>
      <c r="H802" t="inlineStr">
        <is>
          <t>GBP</t>
        </is>
      </c>
      <c r="I802" s="7" t="n">
        <v>1094480.49</v>
      </c>
      <c r="J802" s="8" t="n">
        <v>46253.6400462963</v>
      </c>
      <c r="K802" t="inlineStr">
        <is>
          <t>CF260819 00796</t>
        </is>
      </c>
      <c r="L802" t="inlineStr">
        <is>
          <t>GL.NOSTRO.GBP.BRGX.005</t>
        </is>
      </c>
      <c r="M802" t="inlineStr">
        <is>
          <t>Wrenfield Settlement Bank</t>
        </is>
      </c>
      <c r="N802" t="inlineStr">
        <is>
          <t>BRGXCASH</t>
        </is>
      </c>
      <c r="O802" t="inlineStr">
        <is>
          <t>NEW</t>
        </is>
      </c>
      <c r="Q802" t="inlineStr">
        <is>
          <t>GROSS</t>
        </is>
      </c>
    </row>
    <row r="803">
      <c r="A803" t="inlineStr">
        <is>
          <t>910703979141</t>
        </is>
      </c>
      <c r="B803" t="inlineStr">
        <is>
          <t>TCQ</t>
        </is>
      </c>
      <c r="C803" t="inlineStr">
        <is>
          <t>BRCC</t>
        </is>
      </c>
      <c r="D803" s="6" t="n">
        <v>46253</v>
      </c>
      <c r="E803" t="inlineStr">
        <is>
          <t>DR</t>
        </is>
      </c>
      <c r="F803" t="inlineStr">
        <is>
          <t>CHF</t>
        </is>
      </c>
      <c r="G803" s="7" t="n">
        <v>-17418.353</v>
      </c>
      <c r="H803" t="inlineStr">
        <is>
          <t>GBP</t>
        </is>
      </c>
      <c r="I803" s="7" t="n">
        <v>-15624.263</v>
      </c>
      <c r="J803" s="8" t="n">
        <v>46253.39285879629</v>
      </c>
      <c r="K803" t="inlineStr">
        <is>
          <t>CF260819 00797</t>
        </is>
      </c>
      <c r="L803" t="inlineStr">
        <is>
          <t>GL.NOSTRO.CHF.BRCC.005</t>
        </is>
      </c>
      <c r="M803" t="inlineStr">
        <is>
          <t>Redstart Commercial Bank</t>
        </is>
      </c>
      <c r="N803" t="inlineStr">
        <is>
          <t>BRCC</t>
        </is>
      </c>
      <c r="O803" t="inlineStr">
        <is>
          <t>NEW</t>
        </is>
      </c>
      <c r="Q803" t="inlineStr">
        <is>
          <t>NETTER</t>
        </is>
      </c>
    </row>
    <row r="804">
      <c r="A804" t="inlineStr">
        <is>
          <t>910703979141</t>
        </is>
      </c>
      <c r="B804" t="inlineStr">
        <is>
          <t>TCX</t>
        </is>
      </c>
      <c r="C804" t="inlineStr">
        <is>
          <t>BRCC</t>
        </is>
      </c>
      <c r="D804" s="6" t="n">
        <v>46253</v>
      </c>
      <c r="E804" t="inlineStr">
        <is>
          <t>DR</t>
        </is>
      </c>
      <c r="F804" t="inlineStr">
        <is>
          <t>CHF</t>
        </is>
      </c>
      <c r="G804" s="7" t="n">
        <v>-319738.337</v>
      </c>
      <c r="H804" t="inlineStr">
        <is>
          <t>GBP</t>
        </is>
      </c>
      <c r="I804" s="7" t="n">
        <v>-286805.288</v>
      </c>
      <c r="J804" s="8" t="n">
        <v>46253.25099537037</v>
      </c>
      <c r="K804" t="inlineStr">
        <is>
          <t>CF260819 00798</t>
        </is>
      </c>
      <c r="L804" t="inlineStr">
        <is>
          <t>GL.NOSTRO.CHF.BRCC.003</t>
        </is>
      </c>
      <c r="M804" t="inlineStr">
        <is>
          <t>Elmwood Clearing</t>
        </is>
      </c>
      <c r="N804" t="inlineStr">
        <is>
          <t>BRCCTRSY</t>
        </is>
      </c>
      <c r="O804" t="inlineStr">
        <is>
          <t>NEW</t>
        </is>
      </c>
      <c r="Q804" t="inlineStr">
        <is>
          <t>INTERNAL</t>
        </is>
      </c>
    </row>
    <row r="805">
      <c r="A805" t="inlineStr">
        <is>
          <t>794226063698</t>
        </is>
      </c>
      <c r="B805" t="inlineStr">
        <is>
          <t>TCX</t>
        </is>
      </c>
      <c r="C805" t="inlineStr">
        <is>
          <t>BRMD</t>
        </is>
      </c>
      <c r="D805" s="6" t="n">
        <v>46253</v>
      </c>
      <c r="E805" t="inlineStr">
        <is>
          <t>CR</t>
        </is>
      </c>
      <c r="F805" t="inlineStr">
        <is>
          <t>AED</t>
        </is>
      </c>
      <c r="G805" s="7" t="n">
        <v>162724716.911</v>
      </c>
      <c r="H805" t="inlineStr">
        <is>
          <t>GBP</t>
        </is>
      </c>
      <c r="I805" s="7" t="n">
        <v>34660364.702</v>
      </c>
      <c r="J805" s="8" t="n">
        <v>46253.96005787037</v>
      </c>
      <c r="K805" t="inlineStr">
        <is>
          <t>CF260819 00799</t>
        </is>
      </c>
      <c r="L805" t="inlineStr">
        <is>
          <t>GL.NOSTRO.AED.BRMD.001</t>
        </is>
      </c>
      <c r="M805" t="inlineStr">
        <is>
          <t>Oriel Trust</t>
        </is>
      </c>
      <c r="N805" t="inlineStr">
        <is>
          <t>BRMD</t>
        </is>
      </c>
      <c r="O805" t="inlineStr">
        <is>
          <t>NEW</t>
        </is>
      </c>
      <c r="P805" t="inlineStr">
        <is>
          <t>NT26081900672</t>
        </is>
      </c>
      <c r="Q805" t="inlineStr">
        <is>
          <t>NETTER</t>
        </is>
      </c>
    </row>
    <row r="806">
      <c r="A806" t="inlineStr">
        <is>
          <t>150316825069</t>
        </is>
      </c>
      <c r="B806" t="inlineStr">
        <is>
          <t>TCG</t>
        </is>
      </c>
      <c r="C806" t="inlineStr">
        <is>
          <t>BRGX</t>
        </is>
      </c>
      <c r="D806" s="6" t="n">
        <v>46253</v>
      </c>
      <c r="E806" t="inlineStr">
        <is>
          <t>CR</t>
        </is>
      </c>
      <c r="F806" t="inlineStr">
        <is>
          <t>GBP</t>
        </is>
      </c>
      <c r="G806" s="7" t="n">
        <v>72178195.664</v>
      </c>
      <c r="H806" t="inlineStr">
        <is>
          <t>GBP</t>
        </is>
      </c>
      <c r="I806" s="7" t="n">
        <v>72178195.664</v>
      </c>
      <c r="J806" s="8" t="n">
        <v>46253.26384259259</v>
      </c>
      <c r="K806" t="inlineStr">
        <is>
          <t>CF260819 00800</t>
        </is>
      </c>
      <c r="L806" t="inlineStr">
        <is>
          <t>GL.NOSTRO.GBP.BRGX.005</t>
        </is>
      </c>
      <c r="M806" t="inlineStr">
        <is>
          <t>Nightjar Trust</t>
        </is>
      </c>
      <c r="N806" t="inlineStr">
        <is>
          <t>BRGXCASH</t>
        </is>
      </c>
      <c r="O806" t="inlineStr">
        <is>
          <t>NEW</t>
        </is>
      </c>
      <c r="Q806" t="inlineStr">
        <is>
          <t>GROSS</t>
        </is>
      </c>
    </row>
    <row r="807">
      <c r="A807" t="inlineStr">
        <is>
          <t>284925023085</t>
        </is>
      </c>
      <c r="B807" t="inlineStr">
        <is>
          <t>TCQ</t>
        </is>
      </c>
      <c r="C807" t="inlineStr">
        <is>
          <t>BRMD</t>
        </is>
      </c>
      <c r="D807" s="6" t="n">
        <v>46253</v>
      </c>
      <c r="E807" t="inlineStr">
        <is>
          <t>CR</t>
        </is>
      </c>
      <c r="F807" t="inlineStr">
        <is>
          <t>MXN</t>
        </is>
      </c>
      <c r="G807" s="7" t="n">
        <v>1546213.276</v>
      </c>
      <c r="H807" t="inlineStr">
        <is>
          <t>GBP</t>
        </is>
      </c>
      <c r="I807" s="7" t="n">
        <v>66177.928</v>
      </c>
      <c r="J807" s="8" t="n">
        <v>46253.59667824074</v>
      </c>
      <c r="K807" t="inlineStr">
        <is>
          <t>CF260819 00801</t>
        </is>
      </c>
      <c r="L807" t="inlineStr">
        <is>
          <t>GL.NOSTRO.MXN.BRMD.007</t>
        </is>
      </c>
      <c r="M807" t="inlineStr">
        <is>
          <t>Vetchling Bank</t>
        </is>
      </c>
      <c r="N807" t="inlineStr">
        <is>
          <t>BRMDTRSY</t>
        </is>
      </c>
      <c r="O807" t="inlineStr">
        <is>
          <t>NEW</t>
        </is>
      </c>
      <c r="Q807" t="inlineStr">
        <is>
          <t>NETTER</t>
        </is>
      </c>
    </row>
    <row r="808">
      <c r="A808" t="inlineStr">
        <is>
          <t>726928343448</t>
        </is>
      </c>
      <c r="B808" t="inlineStr">
        <is>
          <t>TCX</t>
        </is>
      </c>
      <c r="C808" t="inlineStr">
        <is>
          <t>BRGX</t>
        </is>
      </c>
      <c r="D808" s="6" t="n">
        <v>46253</v>
      </c>
      <c r="E808" t="inlineStr">
        <is>
          <t>CR</t>
        </is>
      </c>
      <c r="F808" t="inlineStr">
        <is>
          <t>EUR</t>
        </is>
      </c>
      <c r="G808" s="7" t="n">
        <v>595262610.8049999</v>
      </c>
      <c r="H808" t="inlineStr">
        <is>
          <t>GBP</t>
        </is>
      </c>
      <c r="I808" s="7" t="n">
        <v>510735320.071</v>
      </c>
      <c r="J808" s="8" t="n">
        <v>46253.39895833333</v>
      </c>
      <c r="K808" t="inlineStr">
        <is>
          <t>CF260819 00802</t>
        </is>
      </c>
      <c r="L808" t="inlineStr">
        <is>
          <t>GL.NOSTRO.EUR.BRGX.008</t>
        </is>
      </c>
      <c r="M808" t="inlineStr">
        <is>
          <t>Sablewood Clearing</t>
        </is>
      </c>
      <c r="N808" t="inlineStr">
        <is>
          <t>BRGXMM</t>
        </is>
      </c>
      <c r="O808" t="inlineStr">
        <is>
          <t>NEW</t>
        </is>
      </c>
      <c r="Q808" t="inlineStr">
        <is>
          <t>NETTER</t>
        </is>
      </c>
    </row>
    <row r="809">
      <c r="A809" t="inlineStr">
        <is>
          <t>794226063698</t>
        </is>
      </c>
      <c r="B809" t="inlineStr">
        <is>
          <t>TCC</t>
        </is>
      </c>
      <c r="C809" t="inlineStr">
        <is>
          <t>BRMD</t>
        </is>
      </c>
      <c r="D809" s="6" t="n">
        <v>46253</v>
      </c>
      <c r="E809" t="inlineStr">
        <is>
          <t>DR</t>
        </is>
      </c>
      <c r="F809" t="inlineStr">
        <is>
          <t>AED</t>
        </is>
      </c>
      <c r="G809" s="7" t="n">
        <v>-1118837.937</v>
      </c>
      <c r="H809" t="inlineStr">
        <is>
          <t>GBP</t>
        </is>
      </c>
      <c r="I809" s="7" t="n">
        <v>-238312.481</v>
      </c>
      <c r="J809" s="8" t="n">
        <v>46253.42819444444</v>
      </c>
      <c r="K809" t="inlineStr">
        <is>
          <t>CF260819 00803</t>
        </is>
      </c>
      <c r="L809" t="inlineStr">
        <is>
          <t>GL.NOSTRO.AED.BRMD.002</t>
        </is>
      </c>
      <c r="M809" t="inlineStr">
        <is>
          <t>Vetchling Settlement Bank</t>
        </is>
      </c>
      <c r="N809" t="inlineStr">
        <is>
          <t>BRMDMM</t>
        </is>
      </c>
      <c r="O809" t="inlineStr">
        <is>
          <t>NEW</t>
        </is>
      </c>
      <c r="P809" t="inlineStr">
        <is>
          <t>NT26081900690</t>
        </is>
      </c>
      <c r="Q809" t="inlineStr">
        <is>
          <t>NETTER</t>
        </is>
      </c>
    </row>
    <row r="810">
      <c r="A810" t="inlineStr">
        <is>
          <t>468341071172</t>
        </is>
      </c>
      <c r="B810" t="inlineStr">
        <is>
          <t>TCP</t>
        </is>
      </c>
      <c r="C810" t="inlineStr">
        <is>
          <t>BRCC</t>
        </is>
      </c>
      <c r="D810" s="6" t="n">
        <v>46253</v>
      </c>
      <c r="E810" t="inlineStr">
        <is>
          <t>DR</t>
        </is>
      </c>
      <c r="F810" t="inlineStr">
        <is>
          <t>EUR</t>
        </is>
      </c>
      <c r="G810" s="7" t="n">
        <v>-60740216.559</v>
      </c>
      <c r="H810" t="inlineStr">
        <is>
          <t>GBP</t>
        </is>
      </c>
      <c r="I810" s="7" t="n">
        <v>-52115105.808</v>
      </c>
      <c r="J810" s="8" t="n">
        <v>46253.47766203704</v>
      </c>
      <c r="K810" t="inlineStr">
        <is>
          <t>CF260819 00804</t>
        </is>
      </c>
      <c r="L810" t="inlineStr">
        <is>
          <t>GL.NOSTRO.EUR.BRCC.002</t>
        </is>
      </c>
      <c r="M810" t="inlineStr">
        <is>
          <t>Granite Clearing</t>
        </is>
      </c>
      <c r="N810" t="inlineStr">
        <is>
          <t>BRCCMM</t>
        </is>
      </c>
      <c r="O810" t="inlineStr">
        <is>
          <t>AMEND</t>
        </is>
      </c>
      <c r="Q810" t="inlineStr">
        <is>
          <t>NETTER</t>
        </is>
      </c>
    </row>
    <row r="811">
      <c r="A811" t="inlineStr">
        <is>
          <t>499062838623</t>
        </is>
      </c>
      <c r="B811" t="inlineStr">
        <is>
          <t>TCP</t>
        </is>
      </c>
      <c r="C811" t="inlineStr">
        <is>
          <t>BRBX</t>
        </is>
      </c>
      <c r="D811" s="6" t="n">
        <v>46253</v>
      </c>
      <c r="E811" t="inlineStr">
        <is>
          <t>DR</t>
        </is>
      </c>
      <c r="F811" t="inlineStr">
        <is>
          <t>USD</t>
        </is>
      </c>
      <c r="G811" s="7" t="n">
        <v>-414541614.115</v>
      </c>
      <c r="H811" t="inlineStr">
        <is>
          <t>GBP</t>
        </is>
      </c>
      <c r="I811" s="7" t="n">
        <v>-325000625.466</v>
      </c>
      <c r="J811" s="8" t="n">
        <v>46253.56613425926</v>
      </c>
      <c r="K811" t="inlineStr">
        <is>
          <t>CF260819 00805</t>
        </is>
      </c>
      <c r="L811" t="inlineStr">
        <is>
          <t>GL.NOSTRO.USD.BRBX.008</t>
        </is>
      </c>
      <c r="M811" t="inlineStr">
        <is>
          <t>Ironbark Trust</t>
        </is>
      </c>
      <c r="N811" t="inlineStr">
        <is>
          <t>BRBXMM</t>
        </is>
      </c>
      <c r="O811" t="inlineStr">
        <is>
          <t>CANCEL</t>
        </is>
      </c>
      <c r="Q811" t="inlineStr">
        <is>
          <t>NETTER</t>
        </is>
      </c>
    </row>
    <row r="812">
      <c r="A812" t="inlineStr">
        <is>
          <t>700726936098</t>
        </is>
      </c>
      <c r="B812" t="inlineStr">
        <is>
          <t>TCG</t>
        </is>
      </c>
      <c r="C812" t="inlineStr">
        <is>
          <t>BRMD</t>
        </is>
      </c>
      <c r="D812" s="6" t="n">
        <v>46253</v>
      </c>
      <c r="E812" t="inlineStr">
        <is>
          <t>CR</t>
        </is>
      </c>
      <c r="F812" t="inlineStr">
        <is>
          <t>SAR</t>
        </is>
      </c>
      <c r="G812" s="7" t="n">
        <v>1124943.776</v>
      </c>
      <c r="H812" t="inlineStr">
        <is>
          <t>GBP</t>
        </is>
      </c>
      <c r="I812" s="7" t="n">
        <v>235113.249</v>
      </c>
      <c r="J812" s="8" t="n">
        <v>46253.79914351852</v>
      </c>
      <c r="K812" t="inlineStr">
        <is>
          <t>CF260819 00806</t>
        </is>
      </c>
      <c r="L812" t="inlineStr">
        <is>
          <t>GL.NOSTRO.SAR.BRMD.002</t>
        </is>
      </c>
      <c r="M812" t="inlineStr">
        <is>
          <t>Mallow Clearing</t>
        </is>
      </c>
      <c r="N812" t="inlineStr">
        <is>
          <t>BRMDMM</t>
        </is>
      </c>
      <c r="O812" t="inlineStr">
        <is>
          <t>NEW</t>
        </is>
      </c>
      <c r="P812" t="inlineStr">
        <is>
          <t>NT26081900692</t>
        </is>
      </c>
      <c r="Q812" t="inlineStr">
        <is>
          <t>INTERNAL</t>
        </is>
      </c>
    </row>
    <row r="813">
      <c r="A813" t="inlineStr">
        <is>
          <t>927538182434</t>
        </is>
      </c>
      <c r="B813" t="inlineStr">
        <is>
          <t>TCQ</t>
        </is>
      </c>
      <c r="C813" t="inlineStr">
        <is>
          <t>BRNK</t>
        </is>
      </c>
      <c r="D813" s="6" t="n">
        <v>46253</v>
      </c>
      <c r="E813" t="inlineStr">
        <is>
          <t>CR</t>
        </is>
      </c>
      <c r="F813" t="inlineStr">
        <is>
          <t>CNY</t>
        </is>
      </c>
      <c r="G813" s="7" t="n">
        <v>214384718.412</v>
      </c>
      <c r="H813" t="inlineStr">
        <is>
          <t>GBP</t>
        </is>
      </c>
      <c r="I813" s="7" t="n">
        <v>23367934.307</v>
      </c>
      <c r="J813" s="8" t="n">
        <v>46253.3665625</v>
      </c>
      <c r="K813" t="inlineStr">
        <is>
          <t>CF260819 00807</t>
        </is>
      </c>
      <c r="L813" t="inlineStr">
        <is>
          <t>GL.NOSTRO.CNY.BRNK.002</t>
        </is>
      </c>
      <c r="M813" t="inlineStr">
        <is>
          <t>Thornbury Bank</t>
        </is>
      </c>
      <c r="N813" t="inlineStr">
        <is>
          <t>BRNK</t>
        </is>
      </c>
      <c r="O813" t="inlineStr">
        <is>
          <t>NEW</t>
        </is>
      </c>
      <c r="Q813" t="inlineStr">
        <is>
          <t>NETTER</t>
        </is>
      </c>
    </row>
    <row r="814">
      <c r="A814" t="inlineStr">
        <is>
          <t>132544340094</t>
        </is>
      </c>
      <c r="B814" t="inlineStr">
        <is>
          <t>TCG</t>
        </is>
      </c>
      <c r="C814" t="inlineStr">
        <is>
          <t>BRYG</t>
        </is>
      </c>
      <c r="D814" s="6" t="n">
        <v>46253</v>
      </c>
      <c r="E814" t="inlineStr">
        <is>
          <t>CR</t>
        </is>
      </c>
      <c r="F814" t="inlineStr">
        <is>
          <t>CZK</t>
        </is>
      </c>
      <c r="G814" s="7" t="n">
        <v>1938992.237</v>
      </c>
      <c r="H814" t="inlineStr">
        <is>
          <t>GBP</t>
        </is>
      </c>
      <c r="I814" s="7" t="n">
        <v>65731.837</v>
      </c>
      <c r="J814" s="8" t="n">
        <v>46253.62403935185</v>
      </c>
      <c r="K814" t="inlineStr">
        <is>
          <t>CF260819 00808</t>
        </is>
      </c>
      <c r="L814" t="inlineStr">
        <is>
          <t>GL.NOSTRO.CZK.BRYG.005</t>
        </is>
      </c>
      <c r="M814" t="inlineStr">
        <is>
          <t>Sablewood Commercial Bank</t>
        </is>
      </c>
      <c r="N814" t="inlineStr">
        <is>
          <t>BRYGCASH</t>
        </is>
      </c>
      <c r="O814" t="inlineStr">
        <is>
          <t>NEW</t>
        </is>
      </c>
      <c r="Q814" t="inlineStr">
        <is>
          <t>INTERNAL</t>
        </is>
      </c>
    </row>
    <row r="815">
      <c r="A815" t="inlineStr">
        <is>
          <t>700726936098</t>
        </is>
      </c>
      <c r="B815" t="inlineStr">
        <is>
          <t>TCG</t>
        </is>
      </c>
      <c r="C815" t="inlineStr">
        <is>
          <t>BRMD</t>
        </is>
      </c>
      <c r="D815" s="6" t="n">
        <v>46253</v>
      </c>
      <c r="E815" t="inlineStr">
        <is>
          <t>CR</t>
        </is>
      </c>
      <c r="F815" t="inlineStr">
        <is>
          <t>SAR</t>
        </is>
      </c>
      <c r="G815" s="7" t="n">
        <v>5234003.193</v>
      </c>
      <c r="H815" t="inlineStr">
        <is>
          <t>GBP</t>
        </is>
      </c>
      <c r="I815" s="7" t="n">
        <v>1093906.667</v>
      </c>
      <c r="J815" s="8" t="n">
        <v>46253.41034722222</v>
      </c>
      <c r="K815" t="inlineStr">
        <is>
          <t>CF260819 00809</t>
        </is>
      </c>
      <c r="L815" t="inlineStr">
        <is>
          <t>GL.NOSTRO.SAR.BRMD.006</t>
        </is>
      </c>
      <c r="M815" t="inlineStr">
        <is>
          <t>Zephyr Bank</t>
        </is>
      </c>
      <c r="N815" t="inlineStr">
        <is>
          <t>BRMD</t>
        </is>
      </c>
      <c r="O815" t="inlineStr">
        <is>
          <t>NEW</t>
        </is>
      </c>
      <c r="Q815" t="inlineStr">
        <is>
          <t>NETTER</t>
        </is>
      </c>
    </row>
    <row r="816">
      <c r="A816" t="inlineStr">
        <is>
          <t>150316825069</t>
        </is>
      </c>
      <c r="B816" t="inlineStr">
        <is>
          <t>TCC</t>
        </is>
      </c>
      <c r="C816" t="inlineStr">
        <is>
          <t>BRGX</t>
        </is>
      </c>
      <c r="D816" s="6" t="n">
        <v>46253</v>
      </c>
      <c r="E816" t="inlineStr">
        <is>
          <t>DR</t>
        </is>
      </c>
      <c r="F816" t="inlineStr">
        <is>
          <t>GBP</t>
        </is>
      </c>
      <c r="G816" s="7" t="n">
        <v>-410489.442</v>
      </c>
      <c r="H816" t="inlineStr">
        <is>
          <t>GBP</t>
        </is>
      </c>
      <c r="I816" s="7" t="n">
        <v>-410489.442</v>
      </c>
      <c r="J816" s="8" t="n">
        <v>46253.66092592593</v>
      </c>
      <c r="K816" t="inlineStr">
        <is>
          <t>CF260819 00810</t>
        </is>
      </c>
      <c r="L816" t="inlineStr">
        <is>
          <t>GL.NOSTRO.GBP.BRGX.004</t>
        </is>
      </c>
      <c r="M816" t="inlineStr">
        <is>
          <t>Elmwood Bank</t>
        </is>
      </c>
      <c r="N816" t="inlineStr">
        <is>
          <t>BRGXMM</t>
        </is>
      </c>
      <c r="O816" t="inlineStr">
        <is>
          <t>NEW</t>
        </is>
      </c>
      <c r="Q816" t="inlineStr">
        <is>
          <t>GROSS</t>
        </is>
      </c>
    </row>
    <row r="817">
      <c r="A817" t="inlineStr">
        <is>
          <t>132544340094</t>
        </is>
      </c>
      <c r="B817" t="inlineStr">
        <is>
          <t>TCP</t>
        </is>
      </c>
      <c r="C817" t="inlineStr">
        <is>
          <t>BRYG</t>
        </is>
      </c>
      <c r="D817" s="6" t="n">
        <v>46253</v>
      </c>
      <c r="E817" t="inlineStr">
        <is>
          <t>CR</t>
        </is>
      </c>
      <c r="F817" t="inlineStr">
        <is>
          <t>CZK</t>
        </is>
      </c>
      <c r="G817" s="7" t="n">
        <v>17378838.063</v>
      </c>
      <c r="H817" t="inlineStr">
        <is>
          <t>GBP</t>
        </is>
      </c>
      <c r="I817" s="7" t="n">
        <v>589142.61</v>
      </c>
      <c r="J817" s="8" t="n">
        <v>46253.61055555556</v>
      </c>
      <c r="K817" t="inlineStr">
        <is>
          <t>CF260819 00811</t>
        </is>
      </c>
      <c r="L817" t="inlineStr">
        <is>
          <t>GL.NOSTRO.CZK.BRYG.002</t>
        </is>
      </c>
      <c r="M817" t="inlineStr">
        <is>
          <t>Nightjar Trust</t>
        </is>
      </c>
      <c r="N817" t="inlineStr">
        <is>
          <t>BRYGCASH</t>
        </is>
      </c>
      <c r="O817" t="inlineStr">
        <is>
          <t>NEW</t>
        </is>
      </c>
      <c r="Q817" t="inlineStr">
        <is>
          <t>NETTER</t>
        </is>
      </c>
    </row>
    <row r="818">
      <c r="A818" t="inlineStr">
        <is>
          <t>621381112674</t>
        </is>
      </c>
      <c r="B818" t="inlineStr">
        <is>
          <t>TCX</t>
        </is>
      </c>
      <c r="C818" t="inlineStr">
        <is>
          <t>BRAA</t>
        </is>
      </c>
      <c r="D818" s="6" t="n">
        <v>46253</v>
      </c>
      <c r="E818" t="inlineStr">
        <is>
          <t>CR</t>
        </is>
      </c>
      <c r="F818" t="inlineStr">
        <is>
          <t>PLN</t>
        </is>
      </c>
      <c r="G818" s="7" t="n">
        <v>5795610.155</v>
      </c>
      <c r="H818" t="inlineStr">
        <is>
          <t>GBP</t>
        </is>
      </c>
      <c r="I818" s="7" t="n">
        <v>1147530.811</v>
      </c>
      <c r="J818" s="8" t="n">
        <v>46253.30149305556</v>
      </c>
      <c r="K818" t="inlineStr">
        <is>
          <t>CF260819 00812</t>
        </is>
      </c>
      <c r="L818" t="inlineStr">
        <is>
          <t>GL.NOSTRO.PLN.BRAA.008</t>
        </is>
      </c>
      <c r="M818" t="inlineStr">
        <is>
          <t>Sablewood Commercial Bank</t>
        </is>
      </c>
      <c r="N818" t="inlineStr">
        <is>
          <t>BRAA</t>
        </is>
      </c>
      <c r="O818" t="inlineStr">
        <is>
          <t>NEW</t>
        </is>
      </c>
      <c r="P818" t="inlineStr">
        <is>
          <t>NT26081900691</t>
        </is>
      </c>
      <c r="Q818" t="inlineStr">
        <is>
          <t>NETTER</t>
        </is>
      </c>
    </row>
    <row r="819">
      <c r="A819" t="inlineStr">
        <is>
          <t>499062838623</t>
        </is>
      </c>
      <c r="B819" t="inlineStr">
        <is>
          <t>TCQ</t>
        </is>
      </c>
      <c r="C819" t="inlineStr">
        <is>
          <t>BRBX</t>
        </is>
      </c>
      <c r="D819" s="6" t="n">
        <v>46253</v>
      </c>
      <c r="E819" t="inlineStr">
        <is>
          <t>CR</t>
        </is>
      </c>
      <c r="F819" t="inlineStr">
        <is>
          <t>USD</t>
        </is>
      </c>
      <c r="G819" s="7" t="n">
        <v>62546883.169</v>
      </c>
      <c r="H819" t="inlineStr">
        <is>
          <t>GBP</t>
        </is>
      </c>
      <c r="I819" s="7" t="n">
        <v>49036756.404</v>
      </c>
      <c r="J819" s="8" t="n">
        <v>46253.32063657408</v>
      </c>
      <c r="K819" t="inlineStr">
        <is>
          <t>CF260819 00813</t>
        </is>
      </c>
      <c r="L819" t="inlineStr">
        <is>
          <t>GL.NOSTRO.USD.BRBX.004</t>
        </is>
      </c>
      <c r="M819" t="inlineStr">
        <is>
          <t>Mallow Clearing</t>
        </is>
      </c>
      <c r="N819" t="inlineStr">
        <is>
          <t>BRBXTRSY</t>
        </is>
      </c>
      <c r="O819" t="inlineStr">
        <is>
          <t>NEW</t>
        </is>
      </c>
      <c r="Q819" t="inlineStr">
        <is>
          <t>NETTER</t>
        </is>
      </c>
    </row>
    <row r="820">
      <c r="A820" t="inlineStr">
        <is>
          <t>794226063698</t>
        </is>
      </c>
      <c r="B820" t="inlineStr">
        <is>
          <t>TCQ</t>
        </is>
      </c>
      <c r="C820" t="inlineStr">
        <is>
          <t>BRMD</t>
        </is>
      </c>
      <c r="D820" s="6" t="n">
        <v>46253</v>
      </c>
      <c r="E820" t="inlineStr">
        <is>
          <t>DR</t>
        </is>
      </c>
      <c r="F820" t="inlineStr">
        <is>
          <t>AED</t>
        </is>
      </c>
      <c r="G820" s="7" t="n">
        <v>-54709.983</v>
      </c>
      <c r="H820" t="inlineStr">
        <is>
          <t>GBP</t>
        </is>
      </c>
      <c r="I820" s="7" t="n">
        <v>-11653.226</v>
      </c>
      <c r="J820" s="8" t="n">
        <v>46253.33267361111</v>
      </c>
      <c r="K820" t="inlineStr">
        <is>
          <t>CF260819 00814</t>
        </is>
      </c>
      <c r="L820" t="inlineStr">
        <is>
          <t>GL.NOSTRO.AED.BRMD.009</t>
        </is>
      </c>
      <c r="M820" t="inlineStr">
        <is>
          <t>Sablewood Settlement Bank</t>
        </is>
      </c>
      <c r="N820" t="inlineStr">
        <is>
          <t>BRMDCASH</t>
        </is>
      </c>
      <c r="O820" t="inlineStr">
        <is>
          <t>NEW</t>
        </is>
      </c>
      <c r="Q820" t="inlineStr">
        <is>
          <t>NETTER</t>
        </is>
      </c>
    </row>
    <row r="821">
      <c r="A821" t="inlineStr">
        <is>
          <t>898317028833</t>
        </is>
      </c>
      <c r="B821" t="inlineStr">
        <is>
          <t>TCP</t>
        </is>
      </c>
      <c r="C821" t="inlineStr">
        <is>
          <t>BRAA</t>
        </is>
      </c>
      <c r="D821" s="6" t="n">
        <v>46253</v>
      </c>
      <c r="E821" t="inlineStr">
        <is>
          <t>CR</t>
        </is>
      </c>
      <c r="F821" t="inlineStr">
        <is>
          <t>GBP</t>
        </is>
      </c>
      <c r="G821" s="7" t="n">
        <v>249169551.675</v>
      </c>
      <c r="H821" t="inlineStr">
        <is>
          <t>GBP</t>
        </is>
      </c>
      <c r="I821" s="7" t="n">
        <v>249169551.675</v>
      </c>
      <c r="J821" s="8" t="n">
        <v>46253.62958333334</v>
      </c>
      <c r="K821" t="inlineStr">
        <is>
          <t>CF260819 00815</t>
        </is>
      </c>
      <c r="L821" t="inlineStr">
        <is>
          <t>GL.NOSTRO.GBP.BRAA.004</t>
        </is>
      </c>
      <c r="M821" t="inlineStr">
        <is>
          <t>Zephyr Bank</t>
        </is>
      </c>
      <c r="N821" t="inlineStr">
        <is>
          <t>BRAA</t>
        </is>
      </c>
      <c r="O821" t="inlineStr">
        <is>
          <t>NEW</t>
        </is>
      </c>
      <c r="Q821" t="inlineStr">
        <is>
          <t>NETTER</t>
        </is>
      </c>
    </row>
    <row r="822">
      <c r="A822" t="inlineStr">
        <is>
          <t>794226063698</t>
        </is>
      </c>
      <c r="B822" t="inlineStr">
        <is>
          <t>TCX</t>
        </is>
      </c>
      <c r="C822" t="inlineStr">
        <is>
          <t>BRMD</t>
        </is>
      </c>
      <c r="D822" s="6" t="n">
        <v>46253</v>
      </c>
      <c r="E822" t="inlineStr">
        <is>
          <t>DR</t>
        </is>
      </c>
      <c r="F822" t="inlineStr">
        <is>
          <t>AED</t>
        </is>
      </c>
      <c r="G822" s="7" t="n">
        <v>-519130964.713</v>
      </c>
      <c r="H822" t="inlineStr">
        <is>
          <t>GBP</t>
        </is>
      </c>
      <c r="I822" s="7" t="n">
        <v>-110574895.484</v>
      </c>
      <c r="J822" s="8" t="n">
        <v>46253.42641203704</v>
      </c>
      <c r="K822" t="inlineStr">
        <is>
          <t>CF260819 00816</t>
        </is>
      </c>
      <c r="L822" t="inlineStr">
        <is>
          <t>GL.NOSTRO.AED.BRMD.005</t>
        </is>
      </c>
      <c r="M822" t="inlineStr">
        <is>
          <t>Sablewood Bank</t>
        </is>
      </c>
      <c r="N822" t="inlineStr">
        <is>
          <t>BRMD</t>
        </is>
      </c>
      <c r="O822" t="inlineStr">
        <is>
          <t>NEW</t>
        </is>
      </c>
      <c r="Q822" t="inlineStr">
        <is>
          <t>INTERNAL</t>
        </is>
      </c>
    </row>
    <row r="823">
      <c r="A823" t="inlineStr">
        <is>
          <t>910703979141</t>
        </is>
      </c>
      <c r="B823" t="inlineStr">
        <is>
          <t>TCC</t>
        </is>
      </c>
      <c r="C823" t="inlineStr">
        <is>
          <t>BRCC</t>
        </is>
      </c>
      <c r="D823" s="6" t="n">
        <v>46253</v>
      </c>
      <c r="E823" t="inlineStr">
        <is>
          <t>CR</t>
        </is>
      </c>
      <c r="F823" t="inlineStr">
        <is>
          <t>CHF</t>
        </is>
      </c>
      <c r="G823" s="7" t="n">
        <v>13262189.194</v>
      </c>
      <c r="H823" t="inlineStr">
        <is>
          <t>GBP</t>
        </is>
      </c>
      <c r="I823" s="7" t="n">
        <v>11896183.707</v>
      </c>
      <c r="J823" s="8" t="n">
        <v>46253.42459490741</v>
      </c>
      <c r="K823" t="inlineStr">
        <is>
          <t>CF260819 00817</t>
        </is>
      </c>
      <c r="L823" t="inlineStr">
        <is>
          <t>GL.NOSTRO.CHF.BRCC.008</t>
        </is>
      </c>
      <c r="M823" t="inlineStr">
        <is>
          <t>Mallow Trust</t>
        </is>
      </c>
      <c r="N823" t="inlineStr">
        <is>
          <t>BRCCTRSY</t>
        </is>
      </c>
      <c r="O823" t="inlineStr">
        <is>
          <t>NEW</t>
        </is>
      </c>
      <c r="Q823" t="inlineStr">
        <is>
          <t>GROSS</t>
        </is>
      </c>
    </row>
    <row r="824">
      <c r="A824" t="inlineStr">
        <is>
          <t>150316825069</t>
        </is>
      </c>
      <c r="B824" t="inlineStr">
        <is>
          <t>TCQ</t>
        </is>
      </c>
      <c r="C824" t="inlineStr">
        <is>
          <t>BRGX</t>
        </is>
      </c>
      <c r="D824" s="6" t="n">
        <v>46253</v>
      </c>
      <c r="E824" t="inlineStr">
        <is>
          <t>DR</t>
        </is>
      </c>
      <c r="F824" t="inlineStr">
        <is>
          <t>GBP</t>
        </is>
      </c>
      <c r="G824" s="7" t="n">
        <v>-216728.926</v>
      </c>
      <c r="H824" t="inlineStr">
        <is>
          <t>GBP</t>
        </is>
      </c>
      <c r="I824" s="7" t="n">
        <v>-216728.926</v>
      </c>
      <c r="J824" s="8" t="n">
        <v>46253.67283564815</v>
      </c>
      <c r="K824" t="inlineStr">
        <is>
          <t>CF260819 00818</t>
        </is>
      </c>
      <c r="L824" t="inlineStr">
        <is>
          <t>GL.NOSTRO.GBP.BRGX.008</t>
        </is>
      </c>
      <c r="M824" t="inlineStr">
        <is>
          <t>Yarrow Bank</t>
        </is>
      </c>
      <c r="N824" t="inlineStr">
        <is>
          <t>BRGXMM</t>
        </is>
      </c>
      <c r="O824" t="inlineStr">
        <is>
          <t>NEW</t>
        </is>
      </c>
      <c r="P824" t="inlineStr">
        <is>
          <t>NT26081900687</t>
        </is>
      </c>
      <c r="Q824" t="inlineStr">
        <is>
          <t>GROSS</t>
        </is>
      </c>
    </row>
    <row r="825">
      <c r="A825" t="inlineStr">
        <is>
          <t>359365220160</t>
        </is>
      </c>
      <c r="B825" t="inlineStr">
        <is>
          <t>TCP</t>
        </is>
      </c>
      <c r="C825" t="inlineStr">
        <is>
          <t>BRGX</t>
        </is>
      </c>
      <c r="D825" s="6" t="n">
        <v>46253</v>
      </c>
      <c r="E825" t="inlineStr">
        <is>
          <t>DR</t>
        </is>
      </c>
      <c r="F825" t="inlineStr">
        <is>
          <t>EUR</t>
        </is>
      </c>
      <c r="G825" s="7" t="n">
        <v>-26054367.246</v>
      </c>
      <c r="H825" t="inlineStr">
        <is>
          <t>GBP</t>
        </is>
      </c>
      <c r="I825" s="7" t="n">
        <v>-22354647.097</v>
      </c>
      <c r="J825" s="8" t="n">
        <v>46253.38150462963</v>
      </c>
      <c r="K825" t="inlineStr">
        <is>
          <t>CF260819 00819</t>
        </is>
      </c>
      <c r="L825" t="inlineStr">
        <is>
          <t>GL.NOSTRO.EUR.BRGX.002</t>
        </is>
      </c>
      <c r="M825" t="inlineStr">
        <is>
          <t>Vetchling Settlement Bank</t>
        </is>
      </c>
      <c r="N825" t="inlineStr">
        <is>
          <t>BRGX</t>
        </is>
      </c>
      <c r="O825" t="inlineStr">
        <is>
          <t>NEW</t>
        </is>
      </c>
      <c r="Q825" t="inlineStr">
        <is>
          <t>NETTER</t>
        </is>
      </c>
    </row>
    <row r="826">
      <c r="A826" t="inlineStr">
        <is>
          <t>621381112674</t>
        </is>
      </c>
      <c r="B826" t="inlineStr">
        <is>
          <t>TCX</t>
        </is>
      </c>
      <c r="C826" t="inlineStr">
        <is>
          <t>BRAA</t>
        </is>
      </c>
      <c r="D826" s="6" t="n">
        <v>46253</v>
      </c>
      <c r="E826" t="inlineStr">
        <is>
          <t>DR</t>
        </is>
      </c>
      <c r="F826" t="inlineStr">
        <is>
          <t>PLN</t>
        </is>
      </c>
      <c r="G826" s="7" t="n">
        <v>-2610338.051</v>
      </c>
      <c r="H826" t="inlineStr">
        <is>
          <t>GBP</t>
        </is>
      </c>
      <c r="I826" s="7" t="n">
        <v>-516846.934</v>
      </c>
      <c r="J826" s="8" t="n">
        <v>46253.58391203704</v>
      </c>
      <c r="K826" t="inlineStr">
        <is>
          <t>CF260819 00820</t>
        </is>
      </c>
      <c r="L826" t="inlineStr">
        <is>
          <t>GL.NOSTRO.PLN.BRAA.005</t>
        </is>
      </c>
      <c r="M826" t="inlineStr">
        <is>
          <t>Larkspur Clearing</t>
        </is>
      </c>
      <c r="N826" t="inlineStr">
        <is>
          <t>BRAA</t>
        </is>
      </c>
      <c r="O826" t="inlineStr">
        <is>
          <t>NEW</t>
        </is>
      </c>
      <c r="P826" t="inlineStr">
        <is>
          <t>NT26081900660</t>
        </is>
      </c>
      <c r="Q826" t="inlineStr">
        <is>
          <t>GROSS</t>
        </is>
      </c>
    </row>
    <row r="827">
      <c r="A827" t="inlineStr">
        <is>
          <t>468341071172</t>
        </is>
      </c>
      <c r="B827" t="inlineStr">
        <is>
          <t>TCG</t>
        </is>
      </c>
      <c r="C827" t="inlineStr">
        <is>
          <t>BRCC</t>
        </is>
      </c>
      <c r="D827" s="6" t="n">
        <v>46253</v>
      </c>
      <c r="E827" t="inlineStr">
        <is>
          <t>CR</t>
        </is>
      </c>
      <c r="F827" t="inlineStr">
        <is>
          <t>EUR</t>
        </is>
      </c>
      <c r="G827" s="7" t="n">
        <v>229201873.724</v>
      </c>
      <c r="H827" t="inlineStr">
        <is>
          <t>GBP</t>
        </is>
      </c>
      <c r="I827" s="7" t="n">
        <v>196655207.655</v>
      </c>
      <c r="J827" s="8" t="n">
        <v>46253.51447916667</v>
      </c>
      <c r="K827" t="inlineStr">
        <is>
          <t>CF260819 00821</t>
        </is>
      </c>
      <c r="L827" t="inlineStr">
        <is>
          <t>GL.NOSTRO.EUR.BRCC.005</t>
        </is>
      </c>
      <c r="M827" t="inlineStr">
        <is>
          <t>Oriel Trust</t>
        </is>
      </c>
      <c r="N827" t="inlineStr">
        <is>
          <t>BRCC</t>
        </is>
      </c>
      <c r="O827" t="inlineStr">
        <is>
          <t>NEW</t>
        </is>
      </c>
      <c r="P827" t="inlineStr">
        <is>
          <t>NT26081900659</t>
        </is>
      </c>
      <c r="Q827" t="inlineStr">
        <is>
          <t>GROSS</t>
        </is>
      </c>
    </row>
    <row r="828">
      <c r="A828" t="inlineStr">
        <is>
          <t>968942362772</t>
        </is>
      </c>
      <c r="B828" t="inlineStr">
        <is>
          <t>TCG</t>
        </is>
      </c>
      <c r="C828" t="inlineStr">
        <is>
          <t>BRYG</t>
        </is>
      </c>
      <c r="D828" s="6" t="n">
        <v>46253</v>
      </c>
      <c r="E828" t="inlineStr">
        <is>
          <t>DR</t>
        </is>
      </c>
      <c r="F828" t="inlineStr">
        <is>
          <t>EUR</t>
        </is>
      </c>
      <c r="G828" s="7" t="n">
        <v>-1234647.947</v>
      </c>
      <c r="H828" t="inlineStr">
        <is>
          <t>GBP</t>
        </is>
      </c>
      <c r="I828" s="7" t="n">
        <v>-1059327.939</v>
      </c>
      <c r="J828" s="8" t="n">
        <v>46253.64958333333</v>
      </c>
      <c r="K828" t="inlineStr">
        <is>
          <t>CF260819 00822</t>
        </is>
      </c>
      <c r="L828" t="inlineStr">
        <is>
          <t>GL.NOSTRO.EUR.BRYG.002</t>
        </is>
      </c>
      <c r="M828" t="inlineStr">
        <is>
          <t>Nightjar Trust</t>
        </is>
      </c>
      <c r="N828" t="inlineStr">
        <is>
          <t>BRYGMM</t>
        </is>
      </c>
      <c r="O828" t="inlineStr">
        <is>
          <t>NEW</t>
        </is>
      </c>
      <c r="Q828" t="inlineStr">
        <is>
          <t>GROSS</t>
        </is>
      </c>
    </row>
    <row r="829">
      <c r="A829" t="inlineStr">
        <is>
          <t>265771593142</t>
        </is>
      </c>
      <c r="B829" t="inlineStr">
        <is>
          <t>TCX</t>
        </is>
      </c>
      <c r="C829" t="inlineStr">
        <is>
          <t>BRYG</t>
        </is>
      </c>
      <c r="D829" s="6" t="n">
        <v>46253</v>
      </c>
      <c r="E829" t="inlineStr">
        <is>
          <t>DR</t>
        </is>
      </c>
      <c r="F829" t="inlineStr">
        <is>
          <t>EUR</t>
        </is>
      </c>
      <c r="G829" s="7" t="n">
        <v>-231908040.706</v>
      </c>
      <c r="H829" t="inlineStr">
        <is>
          <t>GBP</t>
        </is>
      </c>
      <c r="I829" s="7" t="n">
        <v>-198977098.926</v>
      </c>
      <c r="J829" s="8" t="n">
        <v>46253.64188657407</v>
      </c>
      <c r="K829" t="inlineStr">
        <is>
          <t>CF260819 00823</t>
        </is>
      </c>
      <c r="L829" t="inlineStr">
        <is>
          <t>GL.NOSTRO.EUR.BRYG.005</t>
        </is>
      </c>
      <c r="M829" t="inlineStr">
        <is>
          <t>Nightjar Bank</t>
        </is>
      </c>
      <c r="N829" t="inlineStr">
        <is>
          <t>BRYGCASH</t>
        </is>
      </c>
      <c r="O829" t="inlineStr">
        <is>
          <t>NEW</t>
        </is>
      </c>
      <c r="P829" t="inlineStr">
        <is>
          <t>NT26081900673</t>
        </is>
      </c>
      <c r="Q829" t="inlineStr">
        <is>
          <t>NETTER</t>
        </is>
      </c>
    </row>
    <row r="830">
      <c r="A830" t="inlineStr">
        <is>
          <t>898317028833</t>
        </is>
      </c>
      <c r="B830" t="inlineStr">
        <is>
          <t>TCQ</t>
        </is>
      </c>
      <c r="C830" t="inlineStr">
        <is>
          <t>BRAA</t>
        </is>
      </c>
      <c r="D830" s="6" t="n">
        <v>46253</v>
      </c>
      <c r="E830" t="inlineStr">
        <is>
          <t>CR</t>
        </is>
      </c>
      <c r="F830" t="inlineStr">
        <is>
          <t>GBP</t>
        </is>
      </c>
      <c r="G830" s="7" t="n">
        <v>5379084032.045</v>
      </c>
      <c r="H830" t="inlineStr">
        <is>
          <t>GBP</t>
        </is>
      </c>
      <c r="I830" s="7" t="n">
        <v>5379084032.045</v>
      </c>
      <c r="J830" s="8" t="n">
        <v>46253.42886574074</v>
      </c>
      <c r="K830" t="inlineStr">
        <is>
          <t>CF260819 00824</t>
        </is>
      </c>
      <c r="L830" t="inlineStr">
        <is>
          <t>GL.NOSTRO.GBP.BRAA.003</t>
        </is>
      </c>
      <c r="M830" t="inlineStr">
        <is>
          <t>Vetchling Commercial Bank</t>
        </is>
      </c>
      <c r="N830" t="inlineStr">
        <is>
          <t>BRAAMM</t>
        </is>
      </c>
      <c r="O830" t="inlineStr">
        <is>
          <t>NEW</t>
        </is>
      </c>
      <c r="Q830" t="inlineStr">
        <is>
          <t>INTERNAL</t>
        </is>
      </c>
    </row>
    <row r="831">
      <c r="A831" t="inlineStr">
        <is>
          <t>700726936098</t>
        </is>
      </c>
      <c r="B831" t="inlineStr">
        <is>
          <t>TCX</t>
        </is>
      </c>
      <c r="C831" t="inlineStr">
        <is>
          <t>BRMD</t>
        </is>
      </c>
      <c r="D831" s="6" t="n">
        <v>46253</v>
      </c>
      <c r="E831" t="inlineStr">
        <is>
          <t>CR</t>
        </is>
      </c>
      <c r="F831" t="inlineStr">
        <is>
          <t>SAR</t>
        </is>
      </c>
      <c r="G831" s="7" t="n">
        <v>979528790.518</v>
      </c>
      <c r="H831" t="inlineStr">
        <is>
          <t>GBP</t>
        </is>
      </c>
      <c r="I831" s="7" t="n">
        <v>204721517.218</v>
      </c>
      <c r="J831" s="8" t="n">
        <v>46253.40981481481</v>
      </c>
      <c r="K831" t="inlineStr">
        <is>
          <t>CF260819 00825</t>
        </is>
      </c>
      <c r="L831" t="inlineStr">
        <is>
          <t>GL.NOSTRO.SAR.BRMD.001</t>
        </is>
      </c>
      <c r="M831" t="inlineStr">
        <is>
          <t>Mallow Clearing</t>
        </is>
      </c>
      <c r="N831" t="inlineStr">
        <is>
          <t>BRMD</t>
        </is>
      </c>
      <c r="O831" t="inlineStr">
        <is>
          <t>AMEND</t>
        </is>
      </c>
      <c r="Q831" t="inlineStr">
        <is>
          <t>GROSS</t>
        </is>
      </c>
    </row>
    <row r="832">
      <c r="A832" t="inlineStr">
        <is>
          <t>468341071172</t>
        </is>
      </c>
      <c r="B832" t="inlineStr">
        <is>
          <t>TCQ</t>
        </is>
      </c>
      <c r="C832" t="inlineStr">
        <is>
          <t>BRCC</t>
        </is>
      </c>
      <c r="D832" s="6" t="n">
        <v>46253</v>
      </c>
      <c r="E832" t="inlineStr">
        <is>
          <t>DR</t>
        </is>
      </c>
      <c r="F832" t="inlineStr">
        <is>
          <t>EUR</t>
        </is>
      </c>
      <c r="G832" s="7" t="n">
        <v>-570272.671</v>
      </c>
      <c r="H832" t="inlineStr">
        <is>
          <t>GBP</t>
        </is>
      </c>
      <c r="I832" s="7" t="n">
        <v>-489293.952</v>
      </c>
      <c r="J832" s="8" t="n">
        <v>46253.66083333334</v>
      </c>
      <c r="K832" t="inlineStr">
        <is>
          <t>CF260819 00826</t>
        </is>
      </c>
      <c r="L832" t="inlineStr">
        <is>
          <t>GL.NOSTRO.EUR.BRCC.001</t>
        </is>
      </c>
      <c r="M832" t="inlineStr">
        <is>
          <t>Yarrow Bank</t>
        </is>
      </c>
      <c r="N832" t="inlineStr">
        <is>
          <t>BRCC</t>
        </is>
      </c>
      <c r="O832" t="inlineStr">
        <is>
          <t>NEW</t>
        </is>
      </c>
      <c r="P832" t="inlineStr">
        <is>
          <t>NT26081900663</t>
        </is>
      </c>
      <c r="Q832" t="inlineStr">
        <is>
          <t>GROSS</t>
        </is>
      </c>
    </row>
    <row r="833">
      <c r="A833" t="inlineStr">
        <is>
          <t>359365220160</t>
        </is>
      </c>
      <c r="B833" t="inlineStr">
        <is>
          <t>TCC</t>
        </is>
      </c>
      <c r="C833" t="inlineStr">
        <is>
          <t>BRGX</t>
        </is>
      </c>
      <c r="D833" s="6" t="n">
        <v>46253</v>
      </c>
      <c r="E833" t="inlineStr">
        <is>
          <t>DR</t>
        </is>
      </c>
      <c r="F833" t="inlineStr">
        <is>
          <t>EUR</t>
        </is>
      </c>
      <c r="G833" s="7" t="n">
        <v>-38186535.369</v>
      </c>
      <c r="H833" t="inlineStr">
        <is>
          <t>GBP</t>
        </is>
      </c>
      <c r="I833" s="7" t="n">
        <v>-32764047.347</v>
      </c>
      <c r="J833" s="8" t="n">
        <v>46253.42069444444</v>
      </c>
      <c r="K833" t="inlineStr">
        <is>
          <t>CF260819 00827</t>
        </is>
      </c>
      <c r="L833" t="inlineStr">
        <is>
          <t>GL.NOSTRO.EUR.BRGX.007</t>
        </is>
      </c>
      <c r="M833" t="inlineStr">
        <is>
          <t>Bramble Bank</t>
        </is>
      </c>
      <c r="N833" t="inlineStr">
        <is>
          <t>BRGXMM</t>
        </is>
      </c>
      <c r="O833" t="inlineStr">
        <is>
          <t>NEW</t>
        </is>
      </c>
      <c r="Q833" t="inlineStr">
        <is>
          <t>INTERNAL</t>
        </is>
      </c>
    </row>
    <row r="834">
      <c r="A834" t="inlineStr">
        <is>
          <t>968942362772</t>
        </is>
      </c>
      <c r="B834" t="inlineStr">
        <is>
          <t>TCC</t>
        </is>
      </c>
      <c r="C834" t="inlineStr">
        <is>
          <t>BRYG</t>
        </is>
      </c>
      <c r="D834" s="6" t="n">
        <v>46253</v>
      </c>
      <c r="E834" t="inlineStr">
        <is>
          <t>DR</t>
        </is>
      </c>
      <c r="F834" t="inlineStr">
        <is>
          <t>EUR</t>
        </is>
      </c>
      <c r="G834" s="7" t="n">
        <v>-4265038.328</v>
      </c>
      <c r="H834" t="inlineStr">
        <is>
          <t>GBP</t>
        </is>
      </c>
      <c r="I834" s="7" t="n">
        <v>-3659402.885</v>
      </c>
      <c r="J834" s="8" t="n">
        <v>46253.54836805556</v>
      </c>
      <c r="K834" t="inlineStr">
        <is>
          <t>CF260819 00828</t>
        </is>
      </c>
      <c r="L834" t="inlineStr">
        <is>
          <t>GL.NOSTRO.EUR.BRYG.005</t>
        </is>
      </c>
      <c r="M834" t="inlineStr">
        <is>
          <t>Granite Clearing</t>
        </is>
      </c>
      <c r="N834" t="inlineStr">
        <is>
          <t>BRYGCASH</t>
        </is>
      </c>
      <c r="O834" t="inlineStr">
        <is>
          <t>NEW</t>
        </is>
      </c>
      <c r="Q834" t="inlineStr">
        <is>
          <t>GROSS</t>
        </is>
      </c>
    </row>
    <row r="835">
      <c r="A835" t="inlineStr">
        <is>
          <t>700726936098</t>
        </is>
      </c>
      <c r="B835" t="inlineStr">
        <is>
          <t>TCX</t>
        </is>
      </c>
      <c r="C835" t="inlineStr">
        <is>
          <t>BRMD</t>
        </is>
      </c>
      <c r="D835" s="6" t="n">
        <v>46253</v>
      </c>
      <c r="E835" t="inlineStr">
        <is>
          <t>DR</t>
        </is>
      </c>
      <c r="F835" t="inlineStr">
        <is>
          <t>SAR</t>
        </is>
      </c>
      <c r="G835" s="7" t="n">
        <v>-708585927.55</v>
      </c>
      <c r="H835" t="inlineStr">
        <is>
          <t>GBP</t>
        </is>
      </c>
      <c r="I835" s="7" t="n">
        <v>-148094458.858</v>
      </c>
      <c r="J835" s="8" t="n">
        <v>46253.60855324074</v>
      </c>
      <c r="K835" t="inlineStr">
        <is>
          <t>CF260819 00829</t>
        </is>
      </c>
      <c r="L835" t="inlineStr">
        <is>
          <t>GL.NOSTRO.SAR.BRMD.001</t>
        </is>
      </c>
      <c r="M835" t="inlineStr">
        <is>
          <t>Vetchling Settlement Bank</t>
        </is>
      </c>
      <c r="N835" t="inlineStr">
        <is>
          <t>BRMD</t>
        </is>
      </c>
      <c r="O835" t="inlineStr">
        <is>
          <t>NEW</t>
        </is>
      </c>
      <c r="Q835" t="inlineStr">
        <is>
          <t>GROSS</t>
        </is>
      </c>
    </row>
    <row r="836">
      <c r="A836" t="inlineStr">
        <is>
          <t>927538182434</t>
        </is>
      </c>
      <c r="B836" t="inlineStr">
        <is>
          <t>TCP</t>
        </is>
      </c>
      <c r="C836" t="inlineStr">
        <is>
          <t>BRNK</t>
        </is>
      </c>
      <c r="D836" s="6" t="n">
        <v>46253</v>
      </c>
      <c r="E836" t="inlineStr">
        <is>
          <t>CR</t>
        </is>
      </c>
      <c r="F836" t="inlineStr">
        <is>
          <t>CNY</t>
        </is>
      </c>
      <c r="G836" s="7" t="n">
        <v>10544804.899</v>
      </c>
      <c r="H836" t="inlineStr">
        <is>
          <t>GBP</t>
        </is>
      </c>
      <c r="I836" s="7" t="n">
        <v>1149383.734</v>
      </c>
      <c r="J836" s="8" t="n">
        <v>46253.50318287037</v>
      </c>
      <c r="K836" t="inlineStr">
        <is>
          <t>CF260819 00830</t>
        </is>
      </c>
      <c r="L836" t="inlineStr">
        <is>
          <t>GL.NOSTRO.CNY.BRNK.003</t>
        </is>
      </c>
      <c r="M836" t="inlineStr">
        <is>
          <t>Dunlin Bank</t>
        </is>
      </c>
      <c r="N836" t="inlineStr">
        <is>
          <t>BRNK</t>
        </is>
      </c>
      <c r="O836" t="inlineStr">
        <is>
          <t>NEW</t>
        </is>
      </c>
      <c r="P836" t="inlineStr">
        <is>
          <t>NT26081900692</t>
        </is>
      </c>
      <c r="Q836" t="inlineStr">
        <is>
          <t>GROSS</t>
        </is>
      </c>
    </row>
    <row r="837">
      <c r="A837" t="inlineStr">
        <is>
          <t>968942362772</t>
        </is>
      </c>
      <c r="B837" t="inlineStr">
        <is>
          <t>TCC</t>
        </is>
      </c>
      <c r="C837" t="inlineStr">
        <is>
          <t>BRYG</t>
        </is>
      </c>
      <c r="D837" s="6" t="n">
        <v>46253</v>
      </c>
      <c r="E837" t="inlineStr">
        <is>
          <t>DR</t>
        </is>
      </c>
      <c r="F837" t="inlineStr">
        <is>
          <t>EUR</t>
        </is>
      </c>
      <c r="G837" s="7" t="n">
        <v>-477690986.007</v>
      </c>
      <c r="H837" t="inlineStr">
        <is>
          <t>GBP</t>
        </is>
      </c>
      <c r="I837" s="7" t="n">
        <v>-409858865.994</v>
      </c>
      <c r="J837" s="8" t="n">
        <v>46253.5915625</v>
      </c>
      <c r="K837" t="inlineStr">
        <is>
          <t>CF260819 00831</t>
        </is>
      </c>
      <c r="L837" t="inlineStr">
        <is>
          <t>GL.NOSTRO.EUR.BRYG.006</t>
        </is>
      </c>
      <c r="M837" t="inlineStr">
        <is>
          <t>Juniper Settlement Bank</t>
        </is>
      </c>
      <c r="N837" t="inlineStr">
        <is>
          <t>BRYGMM</t>
        </is>
      </c>
      <c r="O837" t="inlineStr">
        <is>
          <t>NEW</t>
        </is>
      </c>
      <c r="Q837" t="inlineStr">
        <is>
          <t>GROSS</t>
        </is>
      </c>
    </row>
    <row r="838">
      <c r="A838" t="inlineStr">
        <is>
          <t>150316825069</t>
        </is>
      </c>
      <c r="B838" t="inlineStr">
        <is>
          <t>TCQ</t>
        </is>
      </c>
      <c r="C838" t="inlineStr">
        <is>
          <t>BRGX</t>
        </is>
      </c>
      <c r="D838" s="6" t="n">
        <v>46253</v>
      </c>
      <c r="E838" t="inlineStr">
        <is>
          <t>CR</t>
        </is>
      </c>
      <c r="F838" t="inlineStr">
        <is>
          <t>GBP</t>
        </is>
      </c>
      <c r="G838" s="7" t="n">
        <v>4500773.92</v>
      </c>
      <c r="H838" t="inlineStr">
        <is>
          <t>GBP</t>
        </is>
      </c>
      <c r="I838" s="7" t="n">
        <v>4500773.92</v>
      </c>
      <c r="J838" s="8" t="n">
        <v>46253.33872685185</v>
      </c>
      <c r="K838" t="inlineStr">
        <is>
          <t>CF260819 00832</t>
        </is>
      </c>
      <c r="L838" t="inlineStr">
        <is>
          <t>GL.NOSTRO.GBP.BRGX.003</t>
        </is>
      </c>
      <c r="M838" t="inlineStr">
        <is>
          <t>Ironbark Commercial Bank</t>
        </is>
      </c>
      <c r="N838" t="inlineStr">
        <is>
          <t>BRGX</t>
        </is>
      </c>
      <c r="O838" t="inlineStr">
        <is>
          <t>NEW</t>
        </is>
      </c>
      <c r="Q838" t="inlineStr">
        <is>
          <t>NETTER</t>
        </is>
      </c>
    </row>
    <row r="839">
      <c r="A839" t="inlineStr">
        <is>
          <t>150316825069</t>
        </is>
      </c>
      <c r="B839" t="inlineStr">
        <is>
          <t>TCQ</t>
        </is>
      </c>
      <c r="C839" t="inlineStr">
        <is>
          <t>BRGX</t>
        </is>
      </c>
      <c r="D839" s="6" t="n">
        <v>46253</v>
      </c>
      <c r="E839" t="inlineStr">
        <is>
          <t>CR</t>
        </is>
      </c>
      <c r="F839" t="inlineStr">
        <is>
          <t>GBP</t>
        </is>
      </c>
      <c r="G839" s="7" t="n">
        <v>1861671.387</v>
      </c>
      <c r="H839" t="inlineStr">
        <is>
          <t>GBP</t>
        </is>
      </c>
      <c r="I839" s="7" t="n">
        <v>1861671.387</v>
      </c>
      <c r="J839" s="8" t="n">
        <v>46253.64767361111</v>
      </c>
      <c r="K839" t="inlineStr">
        <is>
          <t>CF260819 00833</t>
        </is>
      </c>
      <c r="L839" t="inlineStr">
        <is>
          <t>GL.NOSTRO.GBP.BRGX.007</t>
        </is>
      </c>
      <c r="M839" t="inlineStr">
        <is>
          <t>Vetchling Bank</t>
        </is>
      </c>
      <c r="N839" t="inlineStr">
        <is>
          <t>BRGXCASH</t>
        </is>
      </c>
      <c r="O839" t="inlineStr">
        <is>
          <t>CANCEL</t>
        </is>
      </c>
      <c r="P839" t="inlineStr">
        <is>
          <t>NT26081900675</t>
        </is>
      </c>
      <c r="Q839" t="inlineStr">
        <is>
          <t>GROSS</t>
        </is>
      </c>
    </row>
    <row r="840">
      <c r="A840" t="inlineStr">
        <is>
          <t>794226063698</t>
        </is>
      </c>
      <c r="B840" t="inlineStr">
        <is>
          <t>TCQ</t>
        </is>
      </c>
      <c r="C840" t="inlineStr">
        <is>
          <t>BRMD</t>
        </is>
      </c>
      <c r="D840" s="6" t="n">
        <v>46253</v>
      </c>
      <c r="E840" t="inlineStr">
        <is>
          <t>CR</t>
        </is>
      </c>
      <c r="F840" t="inlineStr">
        <is>
          <t>AED</t>
        </is>
      </c>
      <c r="G840" s="7" t="n">
        <v>257108645.764</v>
      </c>
      <c r="H840" t="inlineStr">
        <is>
          <t>GBP</t>
        </is>
      </c>
      <c r="I840" s="7" t="n">
        <v>54764141.548</v>
      </c>
      <c r="J840" s="8" t="n">
        <v>46253.16826388889</v>
      </c>
      <c r="K840" t="inlineStr">
        <is>
          <t>CF260819 00834</t>
        </is>
      </c>
      <c r="L840" t="inlineStr">
        <is>
          <t>GL.NOSTRO.AED.BRMD.004</t>
        </is>
      </c>
      <c r="M840" t="inlineStr">
        <is>
          <t>Elmwood Clearing</t>
        </is>
      </c>
      <c r="N840" t="inlineStr">
        <is>
          <t>BRMDCASH</t>
        </is>
      </c>
      <c r="O840" t="inlineStr">
        <is>
          <t>NEW</t>
        </is>
      </c>
      <c r="P840" t="inlineStr">
        <is>
          <t>NT26081900695</t>
        </is>
      </c>
      <c r="Q840" t="inlineStr">
        <is>
          <t>NETTER</t>
        </is>
      </c>
    </row>
    <row r="841">
      <c r="A841" t="inlineStr">
        <is>
          <t>150316825069</t>
        </is>
      </c>
      <c r="B841" t="inlineStr">
        <is>
          <t>TCC</t>
        </is>
      </c>
      <c r="C841" t="inlineStr">
        <is>
          <t>BRGX</t>
        </is>
      </c>
      <c r="D841" s="6" t="n">
        <v>46253</v>
      </c>
      <c r="E841" t="inlineStr">
        <is>
          <t>CR</t>
        </is>
      </c>
      <c r="F841" t="inlineStr">
        <is>
          <t>GBP</t>
        </is>
      </c>
      <c r="G841" s="7" t="n">
        <v>66226473.413</v>
      </c>
      <c r="H841" t="inlineStr">
        <is>
          <t>GBP</t>
        </is>
      </c>
      <c r="I841" s="7" t="n">
        <v>66226473.413</v>
      </c>
      <c r="J841" s="8" t="n">
        <v>46253.56331018519</v>
      </c>
      <c r="K841" t="inlineStr">
        <is>
          <t>CF260819 00835</t>
        </is>
      </c>
      <c r="L841" t="inlineStr">
        <is>
          <t>GL.NOSTRO.GBP.BRGX.006</t>
        </is>
      </c>
      <c r="M841" t="inlineStr">
        <is>
          <t>Dunlin Clearing</t>
        </is>
      </c>
      <c r="N841" t="inlineStr">
        <is>
          <t>BRGXTRSY</t>
        </is>
      </c>
      <c r="O841" t="inlineStr">
        <is>
          <t>NEW</t>
        </is>
      </c>
      <c r="Q841" t="inlineStr">
        <is>
          <t>NETTER</t>
        </is>
      </c>
    </row>
    <row r="842">
      <c r="A842" t="inlineStr">
        <is>
          <t>150316825069</t>
        </is>
      </c>
      <c r="B842" t="inlineStr">
        <is>
          <t>TCG</t>
        </is>
      </c>
      <c r="C842" t="inlineStr">
        <is>
          <t>BRGX</t>
        </is>
      </c>
      <c r="D842" s="6" t="n">
        <v>46253</v>
      </c>
      <c r="E842" t="inlineStr">
        <is>
          <t>CR</t>
        </is>
      </c>
      <c r="F842" t="inlineStr">
        <is>
          <t>GBP</t>
        </is>
      </c>
      <c r="G842" s="7" t="n">
        <v>10751556.82</v>
      </c>
      <c r="H842" t="inlineStr">
        <is>
          <t>GBP</t>
        </is>
      </c>
      <c r="I842" s="7" t="n">
        <v>10751556.82</v>
      </c>
      <c r="J842" s="8" t="n">
        <v>46253.41582175926</v>
      </c>
      <c r="K842" t="inlineStr">
        <is>
          <t>CF260819 00836</t>
        </is>
      </c>
      <c r="L842" t="inlineStr">
        <is>
          <t>GL.NOSTRO.GBP.BRGX.004</t>
        </is>
      </c>
      <c r="M842" t="inlineStr">
        <is>
          <t>Cedar Commercial Bank</t>
        </is>
      </c>
      <c r="N842" t="inlineStr">
        <is>
          <t>BRGXCASH</t>
        </is>
      </c>
      <c r="O842" t="inlineStr">
        <is>
          <t>NEW</t>
        </is>
      </c>
      <c r="Q842" t="inlineStr">
        <is>
          <t>NETTER</t>
        </is>
      </c>
    </row>
    <row r="843">
      <c r="A843" t="inlineStr">
        <is>
          <t>284925023085</t>
        </is>
      </c>
      <c r="B843" t="inlineStr">
        <is>
          <t>TCG</t>
        </is>
      </c>
      <c r="C843" t="inlineStr">
        <is>
          <t>BRMD</t>
        </is>
      </c>
      <c r="D843" s="6" t="n">
        <v>46253</v>
      </c>
      <c r="E843" t="inlineStr">
        <is>
          <t>CR</t>
        </is>
      </c>
      <c r="F843" t="inlineStr">
        <is>
          <t>MXN</t>
        </is>
      </c>
      <c r="G843" s="7" t="n">
        <v>29394068.271</v>
      </c>
      <c r="H843" t="inlineStr">
        <is>
          <t>GBP</t>
        </is>
      </c>
      <c r="I843" s="7" t="n">
        <v>1258066.122</v>
      </c>
      <c r="J843" s="8" t="n">
        <v>46253.43625</v>
      </c>
      <c r="K843" t="inlineStr">
        <is>
          <t>CF260819 00837</t>
        </is>
      </c>
      <c r="L843" t="inlineStr">
        <is>
          <t>GL.NOSTRO.MXN.BRMD.003</t>
        </is>
      </c>
      <c r="M843" t="inlineStr">
        <is>
          <t>Dunlin Clearing</t>
        </is>
      </c>
      <c r="N843" t="inlineStr">
        <is>
          <t>BRMDTRSY</t>
        </is>
      </c>
      <c r="O843" t="inlineStr">
        <is>
          <t>NEW</t>
        </is>
      </c>
      <c r="Q843" t="inlineStr">
        <is>
          <t>NETTER</t>
        </is>
      </c>
    </row>
    <row r="844">
      <c r="A844" t="inlineStr">
        <is>
          <t>113829985108</t>
        </is>
      </c>
      <c r="B844" t="inlineStr">
        <is>
          <t>TCQ</t>
        </is>
      </c>
      <c r="C844" t="inlineStr">
        <is>
          <t>BRGL</t>
        </is>
      </c>
      <c r="D844" s="6" t="n">
        <v>46253</v>
      </c>
      <c r="E844" t="inlineStr">
        <is>
          <t>CR</t>
        </is>
      </c>
      <c r="F844" t="inlineStr">
        <is>
          <t>EUR</t>
        </is>
      </c>
      <c r="G844" s="7" t="n">
        <v>2960254.28</v>
      </c>
      <c r="H844" t="inlineStr">
        <is>
          <t>GBP</t>
        </is>
      </c>
      <c r="I844" s="7" t="n">
        <v>2539898.172</v>
      </c>
      <c r="J844" s="8" t="n">
        <v>46253.41001157407</v>
      </c>
      <c r="K844" t="inlineStr">
        <is>
          <t>CF260819 00838</t>
        </is>
      </c>
      <c r="L844" t="inlineStr">
        <is>
          <t>GL.NOSTRO.EUR.BRGL.006</t>
        </is>
      </c>
      <c r="M844" t="inlineStr">
        <is>
          <t>Mallow Trust</t>
        </is>
      </c>
      <c r="N844" t="inlineStr">
        <is>
          <t>BRGLMM</t>
        </is>
      </c>
      <c r="O844" t="inlineStr">
        <is>
          <t>NEW</t>
        </is>
      </c>
      <c r="P844" t="inlineStr">
        <is>
          <t>NT26081900663</t>
        </is>
      </c>
      <c r="Q844" t="inlineStr">
        <is>
          <t>NETTER</t>
        </is>
      </c>
    </row>
    <row r="845">
      <c r="A845" t="inlineStr">
        <is>
          <t>953625291146</t>
        </is>
      </c>
      <c r="B845" t="inlineStr">
        <is>
          <t>TCQ</t>
        </is>
      </c>
      <c r="C845" t="inlineStr">
        <is>
          <t>BRGL</t>
        </is>
      </c>
      <c r="D845" s="6" t="n">
        <v>46253</v>
      </c>
      <c r="E845" t="inlineStr">
        <is>
          <t>CR</t>
        </is>
      </c>
      <c r="F845" t="inlineStr">
        <is>
          <t>USD</t>
        </is>
      </c>
      <c r="G845" s="7" t="n">
        <v>8216703.285</v>
      </c>
      <c r="H845" t="inlineStr">
        <is>
          <t>GBP</t>
        </is>
      </c>
      <c r="I845" s="7" t="n">
        <v>6441895.375</v>
      </c>
      <c r="J845" s="8" t="n">
        <v>46253.37873842593</v>
      </c>
      <c r="K845" t="inlineStr">
        <is>
          <t>CF260819 00839</t>
        </is>
      </c>
      <c r="L845" t="inlineStr">
        <is>
          <t>GL.NOSTRO.USD.BRGL.002</t>
        </is>
      </c>
      <c r="M845" t="inlineStr">
        <is>
          <t>Nightjar Bank</t>
        </is>
      </c>
      <c r="N845" t="inlineStr">
        <is>
          <t>BRGLTRSY</t>
        </is>
      </c>
      <c r="O845" t="inlineStr">
        <is>
          <t>NEW</t>
        </is>
      </c>
      <c r="P845" t="inlineStr">
        <is>
          <t>NT26081900662</t>
        </is>
      </c>
      <c r="Q845" t="inlineStr">
        <is>
          <t>NETTER</t>
        </is>
      </c>
    </row>
    <row r="846">
      <c r="A846" t="inlineStr">
        <is>
          <t>794226063698</t>
        </is>
      </c>
      <c r="B846" t="inlineStr">
        <is>
          <t>TCQ</t>
        </is>
      </c>
      <c r="C846" t="inlineStr">
        <is>
          <t>BRMD</t>
        </is>
      </c>
      <c r="D846" s="6" t="n">
        <v>46253</v>
      </c>
      <c r="E846" t="inlineStr">
        <is>
          <t>CR</t>
        </is>
      </c>
      <c r="F846" t="inlineStr">
        <is>
          <t>AED</t>
        </is>
      </c>
      <c r="G846" s="7" t="n">
        <v>162206969.887</v>
      </c>
      <c r="H846" t="inlineStr">
        <is>
          <t>GBP</t>
        </is>
      </c>
      <c r="I846" s="7" t="n">
        <v>34550084.586</v>
      </c>
      <c r="J846" s="8" t="n">
        <v>46253.31069444444</v>
      </c>
      <c r="K846" t="inlineStr">
        <is>
          <t>CF260819 00840</t>
        </is>
      </c>
      <c r="L846" t="inlineStr">
        <is>
          <t>GL.NOSTRO.AED.BRMD.003</t>
        </is>
      </c>
      <c r="M846" t="inlineStr">
        <is>
          <t>Redstart Trust</t>
        </is>
      </c>
      <c r="N846" t="inlineStr">
        <is>
          <t>BRMDTRSY</t>
        </is>
      </c>
      <c r="O846" t="inlineStr">
        <is>
          <t>AMEND</t>
        </is>
      </c>
      <c r="P846" t="inlineStr">
        <is>
          <t>NT26081900675</t>
        </is>
      </c>
      <c r="Q846" t="inlineStr">
        <is>
          <t>INTERNAL</t>
        </is>
      </c>
    </row>
    <row r="847">
      <c r="A847" t="inlineStr">
        <is>
          <t>968942362772</t>
        </is>
      </c>
      <c r="B847" t="inlineStr">
        <is>
          <t>TCP</t>
        </is>
      </c>
      <c r="C847" t="inlineStr">
        <is>
          <t>BRYG</t>
        </is>
      </c>
      <c r="D847" s="6" t="n">
        <v>46253</v>
      </c>
      <c r="E847" t="inlineStr">
        <is>
          <t>DR</t>
        </is>
      </c>
      <c r="F847" t="inlineStr">
        <is>
          <t>EUR</t>
        </is>
      </c>
      <c r="G847" s="7" t="n">
        <v>-4571067.72</v>
      </c>
      <c r="H847" t="inlineStr">
        <is>
          <t>GBP</t>
        </is>
      </c>
      <c r="I847" s="7" t="n">
        <v>-3921976.104</v>
      </c>
      <c r="J847" s="8" t="n">
        <v>46253.44009259259</v>
      </c>
      <c r="K847" t="inlineStr">
        <is>
          <t>CF260819 00841</t>
        </is>
      </c>
      <c r="L847" t="inlineStr">
        <is>
          <t>GL.NOSTRO.EUR.BRYG.003</t>
        </is>
      </c>
      <c r="M847" t="inlineStr">
        <is>
          <t>Juniper Bank</t>
        </is>
      </c>
      <c r="N847" t="inlineStr">
        <is>
          <t>BRYGMM</t>
        </is>
      </c>
      <c r="O847" t="inlineStr">
        <is>
          <t>NEW</t>
        </is>
      </c>
      <c r="Q847" t="inlineStr">
        <is>
          <t>NETTER</t>
        </is>
      </c>
    </row>
    <row r="848">
      <c r="A848" t="inlineStr">
        <is>
          <t>794226063698</t>
        </is>
      </c>
      <c r="B848" t="inlineStr">
        <is>
          <t>TCG</t>
        </is>
      </c>
      <c r="C848" t="inlineStr">
        <is>
          <t>BRMD</t>
        </is>
      </c>
      <c r="D848" s="6" t="n">
        <v>46253</v>
      </c>
      <c r="E848" t="inlineStr">
        <is>
          <t>CR</t>
        </is>
      </c>
      <c r="F848" t="inlineStr">
        <is>
          <t>AED</t>
        </is>
      </c>
      <c r="G848" s="7" t="n">
        <v>86236995.005</v>
      </c>
      <c r="H848" t="inlineStr">
        <is>
          <t>GBP</t>
        </is>
      </c>
      <c r="I848" s="7" t="n">
        <v>18368479.936</v>
      </c>
      <c r="J848" s="8" t="n">
        <v>46253.47949074074</v>
      </c>
      <c r="K848" t="inlineStr">
        <is>
          <t>CF260819 00842</t>
        </is>
      </c>
      <c r="L848" t="inlineStr">
        <is>
          <t>GL.NOSTRO.AED.BRMD.008</t>
        </is>
      </c>
      <c r="M848" t="inlineStr">
        <is>
          <t>Alder Trust</t>
        </is>
      </c>
      <c r="N848" t="inlineStr">
        <is>
          <t>BRMDCASH</t>
        </is>
      </c>
      <c r="O848" t="inlineStr">
        <is>
          <t>NEW</t>
        </is>
      </c>
      <c r="Q848" t="inlineStr">
        <is>
          <t>GROSS</t>
        </is>
      </c>
    </row>
    <row r="849">
      <c r="A849" t="inlineStr">
        <is>
          <t>132544340094</t>
        </is>
      </c>
      <c r="B849" t="inlineStr">
        <is>
          <t>TCG</t>
        </is>
      </c>
      <c r="C849" t="inlineStr">
        <is>
          <t>BRYG</t>
        </is>
      </c>
      <c r="D849" s="6" t="n">
        <v>46253</v>
      </c>
      <c r="E849" t="inlineStr">
        <is>
          <t>DR</t>
        </is>
      </c>
      <c r="F849" t="inlineStr">
        <is>
          <t>CZK</t>
        </is>
      </c>
      <c r="G849" s="7" t="n">
        <v>-1042.512</v>
      </c>
      <c r="H849" t="inlineStr">
        <is>
          <t>GBP</t>
        </is>
      </c>
      <c r="I849" s="7" t="n">
        <v>-35.341</v>
      </c>
      <c r="J849" s="8" t="n">
        <v>46253.73975694444</v>
      </c>
      <c r="K849" t="inlineStr">
        <is>
          <t>CF260819 00843</t>
        </is>
      </c>
      <c r="L849" t="inlineStr">
        <is>
          <t>GL.NOSTRO.CZK.BRYG.009</t>
        </is>
      </c>
      <c r="M849" t="inlineStr">
        <is>
          <t>Redstart Commercial Bank</t>
        </is>
      </c>
      <c r="N849" t="inlineStr">
        <is>
          <t>BRYGCASH</t>
        </is>
      </c>
      <c r="O849" t="inlineStr">
        <is>
          <t>NEW</t>
        </is>
      </c>
      <c r="P849" t="inlineStr">
        <is>
          <t>NT26081900656</t>
        </is>
      </c>
      <c r="Q849" t="inlineStr">
        <is>
          <t>INTERNAL</t>
        </is>
      </c>
    </row>
    <row r="850">
      <c r="A850" t="inlineStr">
        <is>
          <t>284925023085</t>
        </is>
      </c>
      <c r="B850" t="inlineStr">
        <is>
          <t>TCG</t>
        </is>
      </c>
      <c r="C850" t="inlineStr">
        <is>
          <t>BRMD</t>
        </is>
      </c>
      <c r="D850" s="6" t="n">
        <v>46253</v>
      </c>
      <c r="E850" t="inlineStr">
        <is>
          <t>DR</t>
        </is>
      </c>
      <c r="F850" t="inlineStr">
        <is>
          <t>MXN</t>
        </is>
      </c>
      <c r="G850" s="7" t="n">
        <v>-1298758.158</v>
      </c>
      <c r="H850" t="inlineStr">
        <is>
          <t>GBP</t>
        </is>
      </c>
      <c r="I850" s="7" t="n">
        <v>-55586.849</v>
      </c>
      <c r="J850" s="8" t="n">
        <v>46253.38884259259</v>
      </c>
      <c r="K850" t="inlineStr">
        <is>
          <t>CF260819 00844</t>
        </is>
      </c>
      <c r="L850" t="inlineStr">
        <is>
          <t>GL.NOSTRO.MXN.BRMD.004</t>
        </is>
      </c>
      <c r="M850" t="inlineStr">
        <is>
          <t>Fernway Settlement Bank</t>
        </is>
      </c>
      <c r="N850" t="inlineStr">
        <is>
          <t>BRMDTRSY</t>
        </is>
      </c>
      <c r="O850" t="inlineStr">
        <is>
          <t>NEW</t>
        </is>
      </c>
      <c r="P850" t="inlineStr">
        <is>
          <t>NT26081900678</t>
        </is>
      </c>
      <c r="Q850" t="inlineStr">
        <is>
          <t>INTERNAL</t>
        </is>
      </c>
    </row>
    <row r="851">
      <c r="A851" t="inlineStr">
        <is>
          <t>150316825069</t>
        </is>
      </c>
      <c r="B851" t="inlineStr">
        <is>
          <t>TCG</t>
        </is>
      </c>
      <c r="C851" t="inlineStr">
        <is>
          <t>BRGX</t>
        </is>
      </c>
      <c r="D851" s="6" t="n">
        <v>46253</v>
      </c>
      <c r="E851" t="inlineStr">
        <is>
          <t>CR</t>
        </is>
      </c>
      <c r="F851" t="inlineStr">
        <is>
          <t>GBP</t>
        </is>
      </c>
      <c r="G851" s="7" t="n">
        <v>33032118.208</v>
      </c>
      <c r="H851" t="inlineStr">
        <is>
          <t>GBP</t>
        </is>
      </c>
      <c r="I851" s="7" t="n">
        <v>33032118.208</v>
      </c>
      <c r="J851" s="8" t="n">
        <v>46253.68114583333</v>
      </c>
      <c r="K851" t="inlineStr">
        <is>
          <t>CF260819 00845</t>
        </is>
      </c>
      <c r="L851" t="inlineStr">
        <is>
          <t>GL.NOSTRO.GBP.BRGX.002</t>
        </is>
      </c>
      <c r="M851" t="inlineStr">
        <is>
          <t>Sablewood Commercial Bank</t>
        </is>
      </c>
      <c r="N851" t="inlineStr">
        <is>
          <t>BRGXMM</t>
        </is>
      </c>
      <c r="O851" t="inlineStr">
        <is>
          <t>NEW</t>
        </is>
      </c>
      <c r="Q851" t="inlineStr">
        <is>
          <t>GROSS</t>
        </is>
      </c>
    </row>
    <row r="852">
      <c r="A852" t="inlineStr">
        <is>
          <t>359365220160</t>
        </is>
      </c>
      <c r="B852" t="inlineStr">
        <is>
          <t>TCQ</t>
        </is>
      </c>
      <c r="C852" t="inlineStr">
        <is>
          <t>BRGX</t>
        </is>
      </c>
      <c r="D852" s="6" t="n">
        <v>46253</v>
      </c>
      <c r="E852" t="inlineStr">
        <is>
          <t>DR</t>
        </is>
      </c>
      <c r="F852" t="inlineStr">
        <is>
          <t>EUR</t>
        </is>
      </c>
      <c r="G852" s="7" t="n">
        <v>-11209528.382</v>
      </c>
      <c r="H852" t="inlineStr">
        <is>
          <t>GBP</t>
        </is>
      </c>
      <c r="I852" s="7" t="n">
        <v>-9617775.352</v>
      </c>
      <c r="J852" s="8" t="n">
        <v>46253.58865740741</v>
      </c>
      <c r="K852" t="inlineStr">
        <is>
          <t>CF260819 00846</t>
        </is>
      </c>
      <c r="L852" t="inlineStr">
        <is>
          <t>GL.NOSTRO.EUR.BRGX.003</t>
        </is>
      </c>
      <c r="M852" t="inlineStr">
        <is>
          <t>Mallow Trust</t>
        </is>
      </c>
      <c r="N852" t="inlineStr">
        <is>
          <t>BRGXTRSY</t>
        </is>
      </c>
      <c r="O852" t="inlineStr">
        <is>
          <t>NEW</t>
        </is>
      </c>
      <c r="Q852" t="inlineStr">
        <is>
          <t>GROSS</t>
        </is>
      </c>
    </row>
    <row r="853">
      <c r="A853" t="inlineStr">
        <is>
          <t>150316825069</t>
        </is>
      </c>
      <c r="B853" t="inlineStr">
        <is>
          <t>TCC</t>
        </is>
      </c>
      <c r="C853" t="inlineStr">
        <is>
          <t>BRGX</t>
        </is>
      </c>
      <c r="D853" s="6" t="n">
        <v>46253</v>
      </c>
      <c r="E853" t="inlineStr">
        <is>
          <t>CR</t>
        </is>
      </c>
      <c r="F853" t="inlineStr">
        <is>
          <t>GBP</t>
        </is>
      </c>
      <c r="G853" s="7" t="n">
        <v>519897104.384</v>
      </c>
      <c r="H853" t="inlineStr">
        <is>
          <t>GBP</t>
        </is>
      </c>
      <c r="I853" s="7" t="n">
        <v>519897104.384</v>
      </c>
      <c r="J853" s="8" t="n">
        <v>46253.82552083334</v>
      </c>
      <c r="K853" t="inlineStr">
        <is>
          <t>CF260819 00847</t>
        </is>
      </c>
      <c r="L853" t="inlineStr">
        <is>
          <t>GL.NOSTRO.GBP.BRGX.008</t>
        </is>
      </c>
      <c r="M853" t="inlineStr">
        <is>
          <t>Mallow Commercial Bank</t>
        </is>
      </c>
      <c r="N853" t="inlineStr">
        <is>
          <t>BRGXMM</t>
        </is>
      </c>
      <c r="O853" t="inlineStr">
        <is>
          <t>NEW</t>
        </is>
      </c>
      <c r="P853" t="inlineStr">
        <is>
          <t>NT26081900690</t>
        </is>
      </c>
      <c r="Q853" t="inlineStr">
        <is>
          <t>GROSS</t>
        </is>
      </c>
    </row>
    <row r="854">
      <c r="A854" t="inlineStr">
        <is>
          <t>113829985108</t>
        </is>
      </c>
      <c r="B854" t="inlineStr">
        <is>
          <t>TCP</t>
        </is>
      </c>
      <c r="C854" t="inlineStr">
        <is>
          <t>BRGL</t>
        </is>
      </c>
      <c r="D854" s="6" t="n">
        <v>46253</v>
      </c>
      <c r="E854" t="inlineStr">
        <is>
          <t>DR</t>
        </is>
      </c>
      <c r="F854" t="inlineStr">
        <is>
          <t>EUR</t>
        </is>
      </c>
      <c r="G854" s="7" t="n">
        <v>-6495499.404</v>
      </c>
      <c r="H854" t="inlineStr">
        <is>
          <t>GBP</t>
        </is>
      </c>
      <c r="I854" s="7" t="n">
        <v>-5573138.489</v>
      </c>
      <c r="J854" s="8" t="n">
        <v>46253.3853125</v>
      </c>
      <c r="K854" t="inlineStr">
        <is>
          <t>CF260819 00848</t>
        </is>
      </c>
      <c r="L854" t="inlineStr">
        <is>
          <t>GL.NOSTRO.EUR.BRGL.004</t>
        </is>
      </c>
      <c r="M854" t="inlineStr">
        <is>
          <t>Fernway Settlement Bank</t>
        </is>
      </c>
      <c r="N854" t="inlineStr">
        <is>
          <t>BRGLMM</t>
        </is>
      </c>
      <c r="O854" t="inlineStr">
        <is>
          <t>NEW</t>
        </is>
      </c>
      <c r="Q854" t="inlineStr">
        <is>
          <t>GROSS</t>
        </is>
      </c>
    </row>
    <row r="855">
      <c r="A855" t="inlineStr">
        <is>
          <t>150316825069</t>
        </is>
      </c>
      <c r="B855" t="inlineStr">
        <is>
          <t>TCX</t>
        </is>
      </c>
      <c r="C855" t="inlineStr">
        <is>
          <t>BRGX</t>
        </is>
      </c>
      <c r="D855" s="6" t="n">
        <v>46253</v>
      </c>
      <c r="E855" t="inlineStr">
        <is>
          <t>DR</t>
        </is>
      </c>
      <c r="F855" t="inlineStr">
        <is>
          <t>GBP</t>
        </is>
      </c>
      <c r="G855" s="7" t="n">
        <v>-24049653838.656</v>
      </c>
      <c r="H855" t="inlineStr">
        <is>
          <t>GBP</t>
        </is>
      </c>
      <c r="I855" s="7" t="n">
        <v>-24049653838.656</v>
      </c>
      <c r="J855" s="8" t="n">
        <v>46253.64982638889</v>
      </c>
      <c r="K855" t="inlineStr">
        <is>
          <t>CF260819 00849</t>
        </is>
      </c>
      <c r="L855" t="inlineStr">
        <is>
          <t>GL.NOSTRO.GBP.BRGX.006</t>
        </is>
      </c>
      <c r="M855" t="inlineStr">
        <is>
          <t>Mallow Clearing</t>
        </is>
      </c>
      <c r="N855" t="inlineStr">
        <is>
          <t>BRGXCASH</t>
        </is>
      </c>
      <c r="O855" t="inlineStr">
        <is>
          <t>NEW</t>
        </is>
      </c>
      <c r="P855" t="inlineStr">
        <is>
          <t>NT26081900661</t>
        </is>
      </c>
      <c r="Q855" t="inlineStr">
        <is>
          <t>NETTER</t>
        </is>
      </c>
    </row>
    <row r="856">
      <c r="A856" t="inlineStr">
        <is>
          <t>700726936098</t>
        </is>
      </c>
      <c r="B856" t="inlineStr">
        <is>
          <t>TCP</t>
        </is>
      </c>
      <c r="C856" t="inlineStr">
        <is>
          <t>BRMD</t>
        </is>
      </c>
      <c r="D856" s="6" t="n">
        <v>46253</v>
      </c>
      <c r="E856" t="inlineStr">
        <is>
          <t>CR</t>
        </is>
      </c>
      <c r="F856" t="inlineStr">
        <is>
          <t>SAR</t>
        </is>
      </c>
      <c r="G856" s="7" t="n">
        <v>35084225.482</v>
      </c>
      <c r="H856" t="inlineStr">
        <is>
          <t>GBP</t>
        </is>
      </c>
      <c r="I856" s="7" t="n">
        <v>7332603.126</v>
      </c>
      <c r="J856" s="8" t="n">
        <v>46253.39903935185</v>
      </c>
      <c r="K856" t="inlineStr">
        <is>
          <t>CF260819 00850</t>
        </is>
      </c>
      <c r="L856" t="inlineStr">
        <is>
          <t>GL.NOSTRO.SAR.BRMD.003</t>
        </is>
      </c>
      <c r="M856" t="inlineStr">
        <is>
          <t>Yarrow Clearing</t>
        </is>
      </c>
      <c r="N856" t="inlineStr">
        <is>
          <t>BRMDCASH</t>
        </is>
      </c>
      <c r="O856" t="inlineStr">
        <is>
          <t>NEW</t>
        </is>
      </c>
      <c r="Q856" t="inlineStr">
        <is>
          <t>GROSS</t>
        </is>
      </c>
    </row>
    <row r="857">
      <c r="A857" t="inlineStr">
        <is>
          <t>113829985108</t>
        </is>
      </c>
      <c r="B857" t="inlineStr">
        <is>
          <t>TCG</t>
        </is>
      </c>
      <c r="C857" t="inlineStr">
        <is>
          <t>BRGL</t>
        </is>
      </c>
      <c r="D857" s="6" t="n">
        <v>46253</v>
      </c>
      <c r="E857" t="inlineStr">
        <is>
          <t>DR</t>
        </is>
      </c>
      <c r="F857" t="inlineStr">
        <is>
          <t>EUR</t>
        </is>
      </c>
      <c r="G857" s="7" t="n">
        <v>-861160874.476</v>
      </c>
      <c r="H857" t="inlineStr">
        <is>
          <t>GBP</t>
        </is>
      </c>
      <c r="I857" s="7" t="n">
        <v>-738876030.3</v>
      </c>
      <c r="J857" s="8" t="n">
        <v>46253.39516203704</v>
      </c>
      <c r="K857" t="inlineStr">
        <is>
          <t>CF260819 00851</t>
        </is>
      </c>
      <c r="L857" t="inlineStr">
        <is>
          <t>GL.NOSTRO.EUR.BRGL.009</t>
        </is>
      </c>
      <c r="M857" t="inlineStr">
        <is>
          <t>Harrow Clearing</t>
        </is>
      </c>
      <c r="N857" t="inlineStr">
        <is>
          <t>BRGL</t>
        </is>
      </c>
      <c r="O857" t="inlineStr">
        <is>
          <t>NEW</t>
        </is>
      </c>
      <c r="P857" t="inlineStr">
        <is>
          <t>NT26081900682</t>
        </is>
      </c>
      <c r="Q857" t="inlineStr">
        <is>
          <t>NETTER</t>
        </is>
      </c>
    </row>
    <row r="858">
      <c r="A858" t="inlineStr">
        <is>
          <t>824840705580</t>
        </is>
      </c>
      <c r="B858" t="inlineStr">
        <is>
          <t>TCQ</t>
        </is>
      </c>
      <c r="C858" t="inlineStr">
        <is>
          <t>BRGL</t>
        </is>
      </c>
      <c r="D858" s="6" t="n">
        <v>46253</v>
      </c>
      <c r="E858" t="inlineStr">
        <is>
          <t>DR</t>
        </is>
      </c>
      <c r="F858" t="inlineStr">
        <is>
          <t>EUR</t>
        </is>
      </c>
      <c r="G858" s="7" t="n">
        <v>-568152812.159</v>
      </c>
      <c r="H858" t="inlineStr">
        <is>
          <t>GBP</t>
        </is>
      </c>
      <c r="I858" s="7" t="n">
        <v>-487475112.832</v>
      </c>
      <c r="J858" s="8" t="n">
        <v>46253.25024305555</v>
      </c>
      <c r="K858" t="inlineStr">
        <is>
          <t>CF260819 00852</t>
        </is>
      </c>
      <c r="L858" t="inlineStr">
        <is>
          <t>GL.NOSTRO.EUR.BRGL.005</t>
        </is>
      </c>
      <c r="M858" t="inlineStr">
        <is>
          <t>Zephyr Bank</t>
        </is>
      </c>
      <c r="N858" t="inlineStr">
        <is>
          <t>BRGL</t>
        </is>
      </c>
      <c r="O858" t="inlineStr">
        <is>
          <t>NEW</t>
        </is>
      </c>
      <c r="Q858" t="inlineStr">
        <is>
          <t>NETTER</t>
        </is>
      </c>
    </row>
    <row r="859">
      <c r="A859" t="inlineStr">
        <is>
          <t>150316825069</t>
        </is>
      </c>
      <c r="B859" t="inlineStr">
        <is>
          <t>TCP</t>
        </is>
      </c>
      <c r="C859" t="inlineStr">
        <is>
          <t>BRGX</t>
        </is>
      </c>
      <c r="D859" s="6" t="n">
        <v>46253</v>
      </c>
      <c r="E859" t="inlineStr">
        <is>
          <t>CR</t>
        </is>
      </c>
      <c r="F859" t="inlineStr">
        <is>
          <t>GBP</t>
        </is>
      </c>
      <c r="G859" s="7" t="n">
        <v>72742192.237</v>
      </c>
      <c r="H859" t="inlineStr">
        <is>
          <t>GBP</t>
        </is>
      </c>
      <c r="I859" s="7" t="n">
        <v>72742192.237</v>
      </c>
      <c r="J859" s="8" t="n">
        <v>46253.72185185185</v>
      </c>
      <c r="K859" t="inlineStr">
        <is>
          <t>CF260819 00853</t>
        </is>
      </c>
      <c r="L859" t="inlineStr">
        <is>
          <t>GL.NOSTRO.GBP.BRGX.009</t>
        </is>
      </c>
      <c r="M859" t="inlineStr">
        <is>
          <t>Mallow Clearing</t>
        </is>
      </c>
      <c r="N859" t="inlineStr">
        <is>
          <t>BRGXMM</t>
        </is>
      </c>
      <c r="O859" t="inlineStr">
        <is>
          <t>NEW</t>
        </is>
      </c>
      <c r="Q859" t="inlineStr">
        <is>
          <t>GROSS</t>
        </is>
      </c>
    </row>
    <row r="860">
      <c r="A860" t="inlineStr">
        <is>
          <t>468341071172</t>
        </is>
      </c>
      <c r="B860" t="inlineStr">
        <is>
          <t>TCP</t>
        </is>
      </c>
      <c r="C860" t="inlineStr">
        <is>
          <t>BRCC</t>
        </is>
      </c>
      <c r="D860" s="6" t="n">
        <v>46253</v>
      </c>
      <c r="E860" t="inlineStr">
        <is>
          <t>DR</t>
        </is>
      </c>
      <c r="F860" t="inlineStr">
        <is>
          <t>EUR</t>
        </is>
      </c>
      <c r="G860" s="7" t="n">
        <v>-15031138.542</v>
      </c>
      <c r="H860" t="inlineStr">
        <is>
          <t>GBP</t>
        </is>
      </c>
      <c r="I860" s="7" t="n">
        <v>-12896716.869</v>
      </c>
      <c r="J860" s="8" t="n">
        <v>46253.3746875</v>
      </c>
      <c r="K860" t="inlineStr">
        <is>
          <t>CF260819 00854</t>
        </is>
      </c>
      <c r="L860" t="inlineStr">
        <is>
          <t>GL.NOSTRO.EUR.BRCC.004</t>
        </is>
      </c>
      <c r="M860" t="inlineStr">
        <is>
          <t>Harrow Clearing</t>
        </is>
      </c>
      <c r="N860" t="inlineStr">
        <is>
          <t>BRCCMM</t>
        </is>
      </c>
      <c r="O860" t="inlineStr">
        <is>
          <t>AMEND</t>
        </is>
      </c>
      <c r="P860" t="inlineStr">
        <is>
          <t>NT26081900674</t>
        </is>
      </c>
      <c r="Q860" t="inlineStr">
        <is>
          <t>NETTER</t>
        </is>
      </c>
    </row>
    <row r="861">
      <c r="A861" t="inlineStr">
        <is>
          <t>150316825069</t>
        </is>
      </c>
      <c r="B861" t="inlineStr">
        <is>
          <t>TCC</t>
        </is>
      </c>
      <c r="C861" t="inlineStr">
        <is>
          <t>BRGX</t>
        </is>
      </c>
      <c r="D861" s="6" t="n">
        <v>46253</v>
      </c>
      <c r="E861" t="inlineStr">
        <is>
          <t>CR</t>
        </is>
      </c>
      <c r="F861" t="inlineStr">
        <is>
          <t>GBP</t>
        </is>
      </c>
      <c r="G861" s="7" t="n">
        <v>5897526.202</v>
      </c>
      <c r="H861" t="inlineStr">
        <is>
          <t>GBP</t>
        </is>
      </c>
      <c r="I861" s="7" t="n">
        <v>5897526.202</v>
      </c>
      <c r="J861" s="8" t="n">
        <v>46253.32167824074</v>
      </c>
      <c r="K861" t="inlineStr">
        <is>
          <t>CF260819 00855</t>
        </is>
      </c>
      <c r="L861" t="inlineStr">
        <is>
          <t>GL.NOSTRO.GBP.BRGX.004</t>
        </is>
      </c>
      <c r="M861" t="inlineStr">
        <is>
          <t>Umberton Clearing</t>
        </is>
      </c>
      <c r="N861" t="inlineStr">
        <is>
          <t>BRGXMM</t>
        </is>
      </c>
      <c r="O861" t="inlineStr">
        <is>
          <t>NEW</t>
        </is>
      </c>
      <c r="P861" t="inlineStr">
        <is>
          <t>NT26081900662</t>
        </is>
      </c>
      <c r="Q861" t="inlineStr">
        <is>
          <t>NETTER</t>
        </is>
      </c>
    </row>
    <row r="862">
      <c r="A862" t="inlineStr">
        <is>
          <t>284925023085</t>
        </is>
      </c>
      <c r="B862" t="inlineStr">
        <is>
          <t>TCQ</t>
        </is>
      </c>
      <c r="C862" t="inlineStr">
        <is>
          <t>BRMD</t>
        </is>
      </c>
      <c r="D862" s="6" t="n">
        <v>46253</v>
      </c>
      <c r="E862" t="inlineStr">
        <is>
          <t>CR</t>
        </is>
      </c>
      <c r="F862" t="inlineStr">
        <is>
          <t>MXN</t>
        </is>
      </c>
      <c r="G862" s="7" t="n">
        <v>487065580.762</v>
      </c>
      <c r="H862" t="inlineStr">
        <is>
          <t>GBP</t>
        </is>
      </c>
      <c r="I862" s="7" t="n">
        <v>20846406.857</v>
      </c>
      <c r="J862" s="8" t="n">
        <v>46253.58708333333</v>
      </c>
      <c r="K862" t="inlineStr">
        <is>
          <t>CF260819 00856</t>
        </is>
      </c>
      <c r="L862" t="inlineStr">
        <is>
          <t>GL.NOSTRO.MXN.BRMD.006</t>
        </is>
      </c>
      <c r="M862" t="inlineStr">
        <is>
          <t>Nightjar Bank</t>
        </is>
      </c>
      <c r="N862" t="inlineStr">
        <is>
          <t>BRMD</t>
        </is>
      </c>
      <c r="O862" t="inlineStr">
        <is>
          <t>NEW</t>
        </is>
      </c>
      <c r="Q862" t="inlineStr">
        <is>
          <t>NETTER</t>
        </is>
      </c>
    </row>
    <row r="863">
      <c r="A863" t="inlineStr">
        <is>
          <t>150316825069</t>
        </is>
      </c>
      <c r="B863" t="inlineStr">
        <is>
          <t>TCQ</t>
        </is>
      </c>
      <c r="C863" t="inlineStr">
        <is>
          <t>BRGX</t>
        </is>
      </c>
      <c r="D863" s="6" t="n">
        <v>46253</v>
      </c>
      <c r="E863" t="inlineStr">
        <is>
          <t>CR</t>
        </is>
      </c>
      <c r="F863" t="inlineStr">
        <is>
          <t>GBP</t>
        </is>
      </c>
      <c r="G863" s="7" t="n">
        <v>24132368.888</v>
      </c>
      <c r="H863" t="inlineStr">
        <is>
          <t>GBP</t>
        </is>
      </c>
      <c r="I863" s="7" t="n">
        <v>24132368.888</v>
      </c>
      <c r="J863" s="8" t="n">
        <v>46253.60202546296</v>
      </c>
      <c r="K863" t="inlineStr">
        <is>
          <t>CF260819 00857</t>
        </is>
      </c>
      <c r="L863" t="inlineStr">
        <is>
          <t>GL.NOSTRO.GBP.BRGX.008</t>
        </is>
      </c>
      <c r="M863" t="inlineStr">
        <is>
          <t>Bramble Bank</t>
        </is>
      </c>
      <c r="N863" t="inlineStr">
        <is>
          <t>BRGXTRSY</t>
        </is>
      </c>
      <c r="O863" t="inlineStr">
        <is>
          <t>NEW</t>
        </is>
      </c>
      <c r="Q863" t="inlineStr">
        <is>
          <t>NETTER</t>
        </is>
      </c>
    </row>
    <row r="864">
      <c r="A864" t="inlineStr">
        <is>
          <t>794226063698</t>
        </is>
      </c>
      <c r="B864" t="inlineStr">
        <is>
          <t>TCC</t>
        </is>
      </c>
      <c r="C864" t="inlineStr">
        <is>
          <t>BRMD</t>
        </is>
      </c>
      <c r="D864" s="6" t="n">
        <v>46253</v>
      </c>
      <c r="E864" t="inlineStr">
        <is>
          <t>CR</t>
        </is>
      </c>
      <c r="F864" t="inlineStr">
        <is>
          <t>AED</t>
        </is>
      </c>
      <c r="G864" s="7" t="n">
        <v>3016914.287</v>
      </c>
      <c r="H864" t="inlineStr">
        <is>
          <t>GBP</t>
        </is>
      </c>
      <c r="I864" s="7" t="n">
        <v>642602.743</v>
      </c>
      <c r="J864" s="8" t="n">
        <v>46253.37429398148</v>
      </c>
      <c r="K864" t="inlineStr">
        <is>
          <t>CF260819 00858</t>
        </is>
      </c>
      <c r="L864" t="inlineStr">
        <is>
          <t>GL.NOSTRO.AED.BRMD.006</t>
        </is>
      </c>
      <c r="M864" t="inlineStr">
        <is>
          <t>Sablewood Clearing</t>
        </is>
      </c>
      <c r="N864" t="inlineStr">
        <is>
          <t>BRMD</t>
        </is>
      </c>
      <c r="O864" t="inlineStr">
        <is>
          <t>AMEND</t>
        </is>
      </c>
      <c r="Q864" t="inlineStr">
        <is>
          <t>NETTER</t>
        </is>
      </c>
    </row>
    <row r="865">
      <c r="A865" t="inlineStr">
        <is>
          <t>898317028833</t>
        </is>
      </c>
      <c r="B865" t="inlineStr">
        <is>
          <t>TCP</t>
        </is>
      </c>
      <c r="C865" t="inlineStr">
        <is>
          <t>BRAA</t>
        </is>
      </c>
      <c r="D865" s="6" t="n">
        <v>46253</v>
      </c>
      <c r="E865" t="inlineStr">
        <is>
          <t>DR</t>
        </is>
      </c>
      <c r="F865" t="inlineStr">
        <is>
          <t>GBP</t>
        </is>
      </c>
      <c r="G865" s="7" t="n">
        <v>-43466.726</v>
      </c>
      <c r="H865" t="inlineStr">
        <is>
          <t>GBP</t>
        </is>
      </c>
      <c r="I865" s="7" t="n">
        <v>-43466.726</v>
      </c>
      <c r="J865" s="8" t="n">
        <v>46253.64903935185</v>
      </c>
      <c r="K865" t="inlineStr">
        <is>
          <t>CF260819 00859</t>
        </is>
      </c>
      <c r="L865" t="inlineStr">
        <is>
          <t>GL.NOSTRO.GBP.BRAA.001</t>
        </is>
      </c>
      <c r="M865" t="inlineStr">
        <is>
          <t>Mallow Clearing</t>
        </is>
      </c>
      <c r="N865" t="inlineStr">
        <is>
          <t>BRAAMM</t>
        </is>
      </c>
      <c r="O865" t="inlineStr">
        <is>
          <t>NEW</t>
        </is>
      </c>
      <c r="P865" t="inlineStr">
        <is>
          <t>NT26081900674</t>
        </is>
      </c>
      <c r="Q865" t="inlineStr">
        <is>
          <t>NETTER</t>
        </is>
      </c>
    </row>
    <row r="866">
      <c r="A866" t="inlineStr">
        <is>
          <t>132544340094</t>
        </is>
      </c>
      <c r="B866" t="inlineStr">
        <is>
          <t>TCX</t>
        </is>
      </c>
      <c r="C866" t="inlineStr">
        <is>
          <t>BRYG</t>
        </is>
      </c>
      <c r="D866" s="6" t="n">
        <v>46253</v>
      </c>
      <c r="E866" t="inlineStr">
        <is>
          <t>DR</t>
        </is>
      </c>
      <c r="F866" t="inlineStr">
        <is>
          <t>CZK</t>
        </is>
      </c>
      <c r="G866" s="7" t="n">
        <v>-249431388.914</v>
      </c>
      <c r="H866" t="inlineStr">
        <is>
          <t>GBP</t>
        </is>
      </c>
      <c r="I866" s="7" t="n">
        <v>-8455724.084000001</v>
      </c>
      <c r="J866" s="8" t="n">
        <v>46253.48923611111</v>
      </c>
      <c r="K866" t="inlineStr">
        <is>
          <t>CF260819 00860</t>
        </is>
      </c>
      <c r="L866" t="inlineStr">
        <is>
          <t>GL.NOSTRO.CZK.BRYG.008</t>
        </is>
      </c>
      <c r="M866" t="inlineStr">
        <is>
          <t>Ironbark Trust</t>
        </is>
      </c>
      <c r="N866" t="inlineStr">
        <is>
          <t>BRYGTRSY</t>
        </is>
      </c>
      <c r="O866" t="inlineStr">
        <is>
          <t>NEW</t>
        </is>
      </c>
      <c r="P866" t="inlineStr">
        <is>
          <t>NT26081900668</t>
        </is>
      </c>
      <c r="Q866" t="inlineStr">
        <is>
          <t>GROSS</t>
        </is>
      </c>
    </row>
    <row r="867">
      <c r="A867" t="inlineStr">
        <is>
          <t>794226063698</t>
        </is>
      </c>
      <c r="B867" t="inlineStr">
        <is>
          <t>TCC</t>
        </is>
      </c>
      <c r="C867" t="inlineStr">
        <is>
          <t>BRMD</t>
        </is>
      </c>
      <c r="D867" s="6" t="n">
        <v>46253</v>
      </c>
      <c r="E867" t="inlineStr">
        <is>
          <t>DR</t>
        </is>
      </c>
      <c r="F867" t="inlineStr">
        <is>
          <t>AED</t>
        </is>
      </c>
      <c r="G867" s="7" t="n">
        <v>-47652134.132</v>
      </c>
      <c r="H867" t="inlineStr">
        <is>
          <t>GBP</t>
        </is>
      </c>
      <c r="I867" s="7" t="n">
        <v>-10149904.57</v>
      </c>
      <c r="J867" s="8" t="n">
        <v>46253.42810185185</v>
      </c>
      <c r="K867" t="inlineStr">
        <is>
          <t>CF260819 00861</t>
        </is>
      </c>
      <c r="L867" t="inlineStr">
        <is>
          <t>GL.NOSTRO.AED.BRMD.005</t>
        </is>
      </c>
      <c r="M867" t="inlineStr">
        <is>
          <t>Nightjar Trust</t>
        </is>
      </c>
      <c r="N867" t="inlineStr">
        <is>
          <t>BRMDCASH</t>
        </is>
      </c>
      <c r="O867" t="inlineStr">
        <is>
          <t>CANCEL</t>
        </is>
      </c>
      <c r="Q867" t="inlineStr">
        <is>
          <t>NETTER</t>
        </is>
      </c>
    </row>
    <row r="868">
      <c r="A868" t="inlineStr">
        <is>
          <t>150316825069</t>
        </is>
      </c>
      <c r="B868" t="inlineStr">
        <is>
          <t>TCP</t>
        </is>
      </c>
      <c r="C868" t="inlineStr">
        <is>
          <t>BRGX</t>
        </is>
      </c>
      <c r="D868" s="6" t="n">
        <v>46253</v>
      </c>
      <c r="E868" t="inlineStr">
        <is>
          <t>CR</t>
        </is>
      </c>
      <c r="F868" t="inlineStr">
        <is>
          <t>GBP</t>
        </is>
      </c>
      <c r="G868" s="7" t="n">
        <v>402334.997</v>
      </c>
      <c r="H868" t="inlineStr">
        <is>
          <t>GBP</t>
        </is>
      </c>
      <c r="I868" s="7" t="n">
        <v>402334.997</v>
      </c>
      <c r="J868" s="8" t="n">
        <v>46253.43002314815</v>
      </c>
      <c r="K868" t="inlineStr">
        <is>
          <t>CF260819 00862</t>
        </is>
      </c>
      <c r="L868" t="inlineStr">
        <is>
          <t>GL.NOSTRO.GBP.BRGX.001</t>
        </is>
      </c>
      <c r="M868" t="inlineStr">
        <is>
          <t>Bramble Bank</t>
        </is>
      </c>
      <c r="N868" t="inlineStr">
        <is>
          <t>BRGXMM</t>
        </is>
      </c>
      <c r="O868" t="inlineStr">
        <is>
          <t>NEW</t>
        </is>
      </c>
      <c r="P868" t="inlineStr">
        <is>
          <t>NT26081900673</t>
        </is>
      </c>
      <c r="Q868" t="inlineStr">
        <is>
          <t>INTERNAL</t>
        </is>
      </c>
    </row>
    <row r="869">
      <c r="A869" t="inlineStr">
        <is>
          <t>726928343448</t>
        </is>
      </c>
      <c r="B869" t="inlineStr">
        <is>
          <t>TCG</t>
        </is>
      </c>
      <c r="C869" t="inlineStr">
        <is>
          <t>BRGX</t>
        </is>
      </c>
      <c r="D869" s="6" t="n">
        <v>46253</v>
      </c>
      <c r="E869" t="inlineStr">
        <is>
          <t>DR</t>
        </is>
      </c>
      <c r="F869" t="inlineStr">
        <is>
          <t>EUR</t>
        </is>
      </c>
      <c r="G869" s="7" t="n">
        <v>-39144809.613</v>
      </c>
      <c r="H869" t="inlineStr">
        <is>
          <t>GBP</t>
        </is>
      </c>
      <c r="I869" s="7" t="n">
        <v>-33586246.648</v>
      </c>
      <c r="J869" s="8" t="n">
        <v>46253.36643518518</v>
      </c>
      <c r="K869" t="inlineStr">
        <is>
          <t>CF260819 00863</t>
        </is>
      </c>
      <c r="L869" t="inlineStr">
        <is>
          <t>GL.NOSTRO.EUR.BRGX.002</t>
        </is>
      </c>
      <c r="M869" t="inlineStr">
        <is>
          <t>Sablewood Clearing</t>
        </is>
      </c>
      <c r="N869" t="inlineStr">
        <is>
          <t>BRGXCASH</t>
        </is>
      </c>
      <c r="O869" t="inlineStr">
        <is>
          <t>NEW</t>
        </is>
      </c>
      <c r="P869" t="inlineStr">
        <is>
          <t>NT26081900663</t>
        </is>
      </c>
      <c r="Q869" t="inlineStr">
        <is>
          <t>NETTER</t>
        </is>
      </c>
    </row>
    <row r="870">
      <c r="A870" t="inlineStr">
        <is>
          <t>898317028833</t>
        </is>
      </c>
      <c r="B870" t="inlineStr">
        <is>
          <t>TCP</t>
        </is>
      </c>
      <c r="C870" t="inlineStr">
        <is>
          <t>BRAA</t>
        </is>
      </c>
      <c r="D870" s="6" t="n">
        <v>46253</v>
      </c>
      <c r="E870" t="inlineStr">
        <is>
          <t>DR</t>
        </is>
      </c>
      <c r="F870" t="inlineStr">
        <is>
          <t>GBP</t>
        </is>
      </c>
      <c r="G870" s="7" t="n">
        <v>-22016.967</v>
      </c>
      <c r="H870" t="inlineStr">
        <is>
          <t>GBP</t>
        </is>
      </c>
      <c r="I870" s="7" t="n">
        <v>-22016.967</v>
      </c>
      <c r="J870" s="8" t="n">
        <v>46253.63180555555</v>
      </c>
      <c r="K870" t="inlineStr">
        <is>
          <t>CF260819 00864</t>
        </is>
      </c>
      <c r="L870" t="inlineStr">
        <is>
          <t>GL.NOSTRO.GBP.BRAA.002</t>
        </is>
      </c>
      <c r="M870" t="inlineStr">
        <is>
          <t>Wrenfield Settlement Bank</t>
        </is>
      </c>
      <c r="N870" t="inlineStr">
        <is>
          <t>BRAA</t>
        </is>
      </c>
      <c r="O870" t="inlineStr">
        <is>
          <t>NEW</t>
        </is>
      </c>
      <c r="Q870" t="inlineStr">
        <is>
          <t>GROSS</t>
        </is>
      </c>
    </row>
    <row r="871">
      <c r="A871" t="inlineStr">
        <is>
          <t>794226063698</t>
        </is>
      </c>
      <c r="B871" t="inlineStr">
        <is>
          <t>TCG</t>
        </is>
      </c>
      <c r="C871" t="inlineStr">
        <is>
          <t>BRMD</t>
        </is>
      </c>
      <c r="D871" s="6" t="n">
        <v>46253</v>
      </c>
      <c r="E871" t="inlineStr">
        <is>
          <t>CR</t>
        </is>
      </c>
      <c r="F871" t="inlineStr">
        <is>
          <t>AED</t>
        </is>
      </c>
      <c r="G871" s="7" t="n">
        <v>228705.062</v>
      </c>
      <c r="H871" t="inlineStr">
        <is>
          <t>GBP</t>
        </is>
      </c>
      <c r="I871" s="7" t="n">
        <v>48714.178</v>
      </c>
      <c r="J871" s="8" t="n">
        <v>46253.55516203704</v>
      </c>
      <c r="K871" t="inlineStr">
        <is>
          <t>CF260819 00865</t>
        </is>
      </c>
      <c r="L871" t="inlineStr">
        <is>
          <t>GL.NOSTRO.AED.BRMD.008</t>
        </is>
      </c>
      <c r="M871" t="inlineStr">
        <is>
          <t>Wrenfield Commercial Bank</t>
        </is>
      </c>
      <c r="N871" t="inlineStr">
        <is>
          <t>BRMDMM</t>
        </is>
      </c>
      <c r="O871" t="inlineStr">
        <is>
          <t>AMEND</t>
        </is>
      </c>
      <c r="P871" t="inlineStr">
        <is>
          <t>NT26081900677</t>
        </is>
      </c>
      <c r="Q871" t="inlineStr">
        <is>
          <t>NETTER</t>
        </is>
      </c>
    </row>
    <row r="872">
      <c r="A872" t="inlineStr">
        <is>
          <t>150316825069</t>
        </is>
      </c>
      <c r="B872" t="inlineStr">
        <is>
          <t>TCC</t>
        </is>
      </c>
      <c r="C872" t="inlineStr">
        <is>
          <t>BRGX</t>
        </is>
      </c>
      <c r="D872" s="6" t="n">
        <v>46253</v>
      </c>
      <c r="E872" t="inlineStr">
        <is>
          <t>CR</t>
        </is>
      </c>
      <c r="F872" t="inlineStr">
        <is>
          <t>GBP</t>
        </is>
      </c>
      <c r="G872" s="7" t="n">
        <v>13728236.811</v>
      </c>
      <c r="H872" t="inlineStr">
        <is>
          <t>GBP</t>
        </is>
      </c>
      <c r="I872" s="7" t="n">
        <v>13728236.811</v>
      </c>
      <c r="J872" s="8" t="n">
        <v>46253.37043981482</v>
      </c>
      <c r="K872" t="inlineStr">
        <is>
          <t>CF260819 00866</t>
        </is>
      </c>
      <c r="L872" t="inlineStr">
        <is>
          <t>GL.NOSTRO.GBP.BRGX.009</t>
        </is>
      </c>
      <c r="M872" t="inlineStr">
        <is>
          <t>Elmwood Clearing</t>
        </is>
      </c>
      <c r="N872" t="inlineStr">
        <is>
          <t>BRGXTRSY</t>
        </is>
      </c>
      <c r="O872" t="inlineStr">
        <is>
          <t>NEW</t>
        </is>
      </c>
      <c r="Q872" t="inlineStr">
        <is>
          <t>NETTER</t>
        </is>
      </c>
    </row>
    <row r="873">
      <c r="A873" t="inlineStr">
        <is>
          <t>621381112674</t>
        </is>
      </c>
      <c r="B873" t="inlineStr">
        <is>
          <t>TCP</t>
        </is>
      </c>
      <c r="C873" t="inlineStr">
        <is>
          <t>BRAA</t>
        </is>
      </c>
      <c r="D873" s="6" t="n">
        <v>46253</v>
      </c>
      <c r="E873" t="inlineStr">
        <is>
          <t>CR</t>
        </is>
      </c>
      <c r="F873" t="inlineStr">
        <is>
          <t>PLN</t>
        </is>
      </c>
      <c r="G873" s="7" t="n">
        <v>627014.584</v>
      </c>
      <c r="H873" t="inlineStr">
        <is>
          <t>GBP</t>
        </is>
      </c>
      <c r="I873" s="7" t="n">
        <v>124148.888</v>
      </c>
      <c r="J873" s="8" t="n">
        <v>46253.26201388889</v>
      </c>
      <c r="K873" t="inlineStr">
        <is>
          <t>CF260819 00867</t>
        </is>
      </c>
      <c r="L873" t="inlineStr">
        <is>
          <t>GL.NOSTRO.PLN.BRAA.001</t>
        </is>
      </c>
      <c r="M873" t="inlineStr">
        <is>
          <t>Zephyr Bank</t>
        </is>
      </c>
      <c r="N873" t="inlineStr">
        <is>
          <t>BRAACASH</t>
        </is>
      </c>
      <c r="O873" t="inlineStr">
        <is>
          <t>NEW</t>
        </is>
      </c>
      <c r="P873" t="inlineStr">
        <is>
          <t>NT26081900688</t>
        </is>
      </c>
      <c r="Q873" t="inlineStr">
        <is>
          <t>NETTER</t>
        </is>
      </c>
    </row>
    <row r="874">
      <c r="A874" t="inlineStr">
        <is>
          <t>468341071172</t>
        </is>
      </c>
      <c r="B874" t="inlineStr">
        <is>
          <t>TCP</t>
        </is>
      </c>
      <c r="C874" t="inlineStr">
        <is>
          <t>BRCC</t>
        </is>
      </c>
      <c r="D874" s="6" t="n">
        <v>46253</v>
      </c>
      <c r="E874" t="inlineStr">
        <is>
          <t>CR</t>
        </is>
      </c>
      <c r="F874" t="inlineStr">
        <is>
          <t>EUR</t>
        </is>
      </c>
      <c r="G874" s="7" t="n">
        <v>117434779.714</v>
      </c>
      <c r="H874" t="inlineStr">
        <is>
          <t>GBP</t>
        </is>
      </c>
      <c r="I874" s="7" t="n">
        <v>100759040.995</v>
      </c>
      <c r="J874" s="8" t="n">
        <v>46253.4883912037</v>
      </c>
      <c r="K874" t="inlineStr">
        <is>
          <t>CF260819 00868</t>
        </is>
      </c>
      <c r="L874" t="inlineStr">
        <is>
          <t>GL.NOSTRO.EUR.BRCC.001</t>
        </is>
      </c>
      <c r="M874" t="inlineStr">
        <is>
          <t>Vetchling Settlement Bank</t>
        </is>
      </c>
      <c r="N874" t="inlineStr">
        <is>
          <t>BRCCTRSY</t>
        </is>
      </c>
      <c r="O874" t="inlineStr">
        <is>
          <t>NEW</t>
        </is>
      </c>
      <c r="P874" t="inlineStr">
        <is>
          <t>NT26081900693</t>
        </is>
      </c>
      <c r="Q874" t="inlineStr">
        <is>
          <t>GROSS</t>
        </is>
      </c>
    </row>
    <row r="875">
      <c r="A875" t="inlineStr">
        <is>
          <t>113829985108</t>
        </is>
      </c>
      <c r="B875" t="inlineStr">
        <is>
          <t>TCC</t>
        </is>
      </c>
      <c r="C875" t="inlineStr">
        <is>
          <t>BRGL</t>
        </is>
      </c>
      <c r="D875" s="6" t="n">
        <v>46253</v>
      </c>
      <c r="E875" t="inlineStr">
        <is>
          <t>CR</t>
        </is>
      </c>
      <c r="F875" t="inlineStr">
        <is>
          <t>EUR</t>
        </is>
      </c>
      <c r="G875" s="7" t="n">
        <v>498339973.933</v>
      </c>
      <c r="H875" t="inlineStr">
        <is>
          <t>GBP</t>
        </is>
      </c>
      <c r="I875" s="7" t="n">
        <v>427575697.635</v>
      </c>
      <c r="J875" s="8" t="n">
        <v>46253.64630787037</v>
      </c>
      <c r="K875" t="inlineStr">
        <is>
          <t>CF260819 00869</t>
        </is>
      </c>
      <c r="L875" t="inlineStr">
        <is>
          <t>GL.NOSTRO.EUR.BRGL.006</t>
        </is>
      </c>
      <c r="M875" t="inlineStr">
        <is>
          <t>Redstart Commercial Bank</t>
        </is>
      </c>
      <c r="N875" t="inlineStr">
        <is>
          <t>BRGLMM</t>
        </is>
      </c>
      <c r="O875" t="inlineStr">
        <is>
          <t>NEW</t>
        </is>
      </c>
      <c r="Q875" t="inlineStr">
        <is>
          <t>NETTER</t>
        </is>
      </c>
    </row>
    <row r="876">
      <c r="A876" t="inlineStr">
        <is>
          <t>824840705580</t>
        </is>
      </c>
      <c r="B876" t="inlineStr">
        <is>
          <t>TCX</t>
        </is>
      </c>
      <c r="C876" t="inlineStr">
        <is>
          <t>BRGL</t>
        </is>
      </c>
      <c r="D876" s="6" t="n">
        <v>46253</v>
      </c>
      <c r="E876" t="inlineStr">
        <is>
          <t>CR</t>
        </is>
      </c>
      <c r="F876" t="inlineStr">
        <is>
          <t>EUR</t>
        </is>
      </c>
      <c r="G876" s="7" t="n">
        <v>328295668.686</v>
      </c>
      <c r="H876" t="inlineStr">
        <is>
          <t>GBP</t>
        </is>
      </c>
      <c r="I876" s="7" t="n">
        <v>281677683.733</v>
      </c>
      <c r="J876" s="8" t="n">
        <v>46253.44016203703</v>
      </c>
      <c r="K876" t="inlineStr">
        <is>
          <t>CF260819 00870</t>
        </is>
      </c>
      <c r="L876" t="inlineStr">
        <is>
          <t>GL.NOSTRO.EUR.BRGL.004</t>
        </is>
      </c>
      <c r="M876" t="inlineStr">
        <is>
          <t>Dunlin Trust</t>
        </is>
      </c>
      <c r="N876" t="inlineStr">
        <is>
          <t>BRGLTRSY</t>
        </is>
      </c>
      <c r="O876" t="inlineStr">
        <is>
          <t>NEW</t>
        </is>
      </c>
      <c r="P876" t="inlineStr">
        <is>
          <t>NT26081900676</t>
        </is>
      </c>
      <c r="Q876" t="inlineStr">
        <is>
          <t>NETTER</t>
        </is>
      </c>
    </row>
    <row r="877">
      <c r="A877" t="inlineStr">
        <is>
          <t>794226063698</t>
        </is>
      </c>
      <c r="B877" t="inlineStr">
        <is>
          <t>TCQ</t>
        </is>
      </c>
      <c r="C877" t="inlineStr">
        <is>
          <t>BRMD</t>
        </is>
      </c>
      <c r="D877" s="6" t="n">
        <v>46253</v>
      </c>
      <c r="E877" t="inlineStr">
        <is>
          <t>CR</t>
        </is>
      </c>
      <c r="F877" t="inlineStr">
        <is>
          <t>AED</t>
        </is>
      </c>
      <c r="G877" s="7" t="n">
        <v>38462227.193</v>
      </c>
      <c r="H877" t="inlineStr">
        <is>
          <t>GBP</t>
        </is>
      </c>
      <c r="I877" s="7" t="n">
        <v>8192454.392</v>
      </c>
      <c r="J877" s="8" t="n">
        <v>46253.66660879629</v>
      </c>
      <c r="K877" t="inlineStr">
        <is>
          <t>CF260819 00871</t>
        </is>
      </c>
      <c r="L877" t="inlineStr">
        <is>
          <t>GL.NOSTRO.AED.BRMD.003</t>
        </is>
      </c>
      <c r="M877" t="inlineStr">
        <is>
          <t>Bramble Bank</t>
        </is>
      </c>
      <c r="N877" t="inlineStr">
        <is>
          <t>BRMDTRSY</t>
        </is>
      </c>
      <c r="O877" t="inlineStr">
        <is>
          <t>NEW</t>
        </is>
      </c>
      <c r="P877" t="inlineStr">
        <is>
          <t>NT26081900677</t>
        </is>
      </c>
      <c r="Q877" t="inlineStr">
        <is>
          <t>NETTER</t>
        </is>
      </c>
    </row>
    <row r="878">
      <c r="A878" t="inlineStr">
        <is>
          <t>265771593142</t>
        </is>
      </c>
      <c r="B878" t="inlineStr">
        <is>
          <t>TCC</t>
        </is>
      </c>
      <c r="C878" t="inlineStr">
        <is>
          <t>BRYG</t>
        </is>
      </c>
      <c r="D878" s="6" t="n">
        <v>46253</v>
      </c>
      <c r="E878" t="inlineStr">
        <is>
          <t>CR</t>
        </is>
      </c>
      <c r="F878" t="inlineStr">
        <is>
          <t>EUR</t>
        </is>
      </c>
      <c r="G878" s="7" t="n">
        <v>1697099.349</v>
      </c>
      <c r="H878" t="inlineStr">
        <is>
          <t>GBP</t>
        </is>
      </c>
      <c r="I878" s="7" t="n">
        <v>1456111.241</v>
      </c>
      <c r="J878" s="8" t="n">
        <v>46253.44783564815</v>
      </c>
      <c r="K878" t="inlineStr">
        <is>
          <t>CF260819 00872</t>
        </is>
      </c>
      <c r="L878" t="inlineStr">
        <is>
          <t>GL.NOSTRO.EUR.BRYG.006</t>
        </is>
      </c>
      <c r="M878" t="inlineStr">
        <is>
          <t>Alder Trust</t>
        </is>
      </c>
      <c r="N878" t="inlineStr">
        <is>
          <t>BRYGMM</t>
        </is>
      </c>
      <c r="O878" t="inlineStr">
        <is>
          <t>NEW</t>
        </is>
      </c>
      <c r="Q878" t="inlineStr">
        <is>
          <t>NETTER</t>
        </is>
      </c>
    </row>
    <row r="879">
      <c r="A879" t="inlineStr">
        <is>
          <t>794226063698</t>
        </is>
      </c>
      <c r="B879" t="inlineStr">
        <is>
          <t>TCX</t>
        </is>
      </c>
      <c r="C879" t="inlineStr">
        <is>
          <t>BRMD</t>
        </is>
      </c>
      <c r="D879" s="6" t="n">
        <v>46253</v>
      </c>
      <c r="E879" t="inlineStr">
        <is>
          <t>DR</t>
        </is>
      </c>
      <c r="F879" t="inlineStr">
        <is>
          <t>AED</t>
        </is>
      </c>
      <c r="G879" s="7" t="n">
        <v>-247634433.846</v>
      </c>
      <c r="H879" t="inlineStr">
        <is>
          <t>GBP</t>
        </is>
      </c>
      <c r="I879" s="7" t="n">
        <v>-52746134.409</v>
      </c>
      <c r="J879" s="8" t="n">
        <v>46253.4084375</v>
      </c>
      <c r="K879" t="inlineStr">
        <is>
          <t>CF260819 00873</t>
        </is>
      </c>
      <c r="L879" t="inlineStr">
        <is>
          <t>GL.NOSTRO.AED.BRMD.005</t>
        </is>
      </c>
      <c r="M879" t="inlineStr">
        <is>
          <t>Bramble Bank</t>
        </is>
      </c>
      <c r="N879" t="inlineStr">
        <is>
          <t>BRMDCASH</t>
        </is>
      </c>
      <c r="O879" t="inlineStr">
        <is>
          <t>NEW</t>
        </is>
      </c>
      <c r="P879" t="inlineStr">
        <is>
          <t>NT26081900693</t>
        </is>
      </c>
      <c r="Q879" t="inlineStr">
        <is>
          <t>GROSS</t>
        </is>
      </c>
    </row>
    <row r="880">
      <c r="A880" t="inlineStr">
        <is>
          <t>468341071172</t>
        </is>
      </c>
      <c r="B880" t="inlineStr">
        <is>
          <t>TCC</t>
        </is>
      </c>
      <c r="C880" t="inlineStr">
        <is>
          <t>BRCC</t>
        </is>
      </c>
      <c r="D880" s="6" t="n">
        <v>46253</v>
      </c>
      <c r="E880" t="inlineStr">
        <is>
          <t>CR</t>
        </is>
      </c>
      <c r="F880" t="inlineStr">
        <is>
          <t>EUR</t>
        </is>
      </c>
      <c r="G880" s="7" t="n">
        <v>494519280.997</v>
      </c>
      <c r="H880" t="inlineStr">
        <is>
          <t>GBP</t>
        </is>
      </c>
      <c r="I880" s="7" t="n">
        <v>424297543.095</v>
      </c>
      <c r="J880" s="8" t="n">
        <v>46253.75688657408</v>
      </c>
      <c r="K880" t="inlineStr">
        <is>
          <t>CF260819 00874</t>
        </is>
      </c>
      <c r="L880" t="inlineStr">
        <is>
          <t>GL.NOSTRO.EUR.BRCC.005</t>
        </is>
      </c>
      <c r="M880" t="inlineStr">
        <is>
          <t>Zephyr Commercial Bank</t>
        </is>
      </c>
      <c r="N880" t="inlineStr">
        <is>
          <t>BRCCMM</t>
        </is>
      </c>
      <c r="O880" t="inlineStr">
        <is>
          <t>NEW</t>
        </is>
      </c>
      <c r="P880" t="inlineStr">
        <is>
          <t>NT26081900691</t>
        </is>
      </c>
      <c r="Q880" t="inlineStr">
        <is>
          <t>GROSS</t>
        </is>
      </c>
    </row>
    <row r="881">
      <c r="A881" t="inlineStr">
        <is>
          <t>794226063698</t>
        </is>
      </c>
      <c r="B881" t="inlineStr">
        <is>
          <t>TCP</t>
        </is>
      </c>
      <c r="C881" t="inlineStr">
        <is>
          <t>BRMD</t>
        </is>
      </c>
      <c r="D881" s="6" t="n">
        <v>46253</v>
      </c>
      <c r="E881" t="inlineStr">
        <is>
          <t>CR</t>
        </is>
      </c>
      <c r="F881" t="inlineStr">
        <is>
          <t>AED</t>
        </is>
      </c>
      <c r="G881" s="7" t="n">
        <v>171236114.79</v>
      </c>
      <c r="H881" t="inlineStr">
        <is>
          <t>GBP</t>
        </is>
      </c>
      <c r="I881" s="7" t="n">
        <v>36473292.45</v>
      </c>
      <c r="J881" s="8" t="n">
        <v>46253.40923611111</v>
      </c>
      <c r="K881" t="inlineStr">
        <is>
          <t>CF260819 00875</t>
        </is>
      </c>
      <c r="L881" t="inlineStr">
        <is>
          <t>GL.NOSTRO.AED.BRMD.009</t>
        </is>
      </c>
      <c r="M881" t="inlineStr">
        <is>
          <t>Dunlin Trust</t>
        </is>
      </c>
      <c r="N881" t="inlineStr">
        <is>
          <t>BRMDCASH</t>
        </is>
      </c>
      <c r="O881" t="inlineStr">
        <is>
          <t>NEW</t>
        </is>
      </c>
      <c r="Q881" t="inlineStr">
        <is>
          <t>NETTER</t>
        </is>
      </c>
    </row>
    <row r="882">
      <c r="A882" t="inlineStr">
        <is>
          <t>150316825069</t>
        </is>
      </c>
      <c r="B882" t="inlineStr">
        <is>
          <t>TCP</t>
        </is>
      </c>
      <c r="C882" t="inlineStr">
        <is>
          <t>BRGX</t>
        </is>
      </c>
      <c r="D882" s="6" t="n">
        <v>46253</v>
      </c>
      <c r="E882" t="inlineStr">
        <is>
          <t>CR</t>
        </is>
      </c>
      <c r="F882" t="inlineStr">
        <is>
          <t>GBP</t>
        </is>
      </c>
      <c r="G882" s="7" t="n">
        <v>12410.08</v>
      </c>
      <c r="H882" t="inlineStr">
        <is>
          <t>GBP</t>
        </is>
      </c>
      <c r="I882" s="7" t="n">
        <v>12410.08</v>
      </c>
      <c r="J882" s="8" t="n">
        <v>46253.30334490741</v>
      </c>
      <c r="K882" t="inlineStr">
        <is>
          <t>CF260819 00876</t>
        </is>
      </c>
      <c r="L882" t="inlineStr">
        <is>
          <t>GL.NOSTRO.GBP.BRGX.005</t>
        </is>
      </c>
      <c r="M882" t="inlineStr">
        <is>
          <t>Vetchling Commercial Bank</t>
        </is>
      </c>
      <c r="N882" t="inlineStr">
        <is>
          <t>BRGXTRSY</t>
        </is>
      </c>
      <c r="O882" t="inlineStr">
        <is>
          <t>NEW</t>
        </is>
      </c>
      <c r="Q882" t="inlineStr">
        <is>
          <t>GROSS</t>
        </is>
      </c>
    </row>
    <row r="883">
      <c r="A883" t="inlineStr">
        <is>
          <t>621381112674</t>
        </is>
      </c>
      <c r="B883" t="inlineStr">
        <is>
          <t>TCQ</t>
        </is>
      </c>
      <c r="C883" t="inlineStr">
        <is>
          <t>BRAA</t>
        </is>
      </c>
      <c r="D883" s="6" t="n">
        <v>46253</v>
      </c>
      <c r="E883" t="inlineStr">
        <is>
          <t>CR</t>
        </is>
      </c>
      <c r="F883" t="inlineStr">
        <is>
          <t>PLN</t>
        </is>
      </c>
      <c r="G883" s="7" t="n">
        <v>10323.154</v>
      </c>
      <c r="H883" t="inlineStr">
        <is>
          <t>GBP</t>
        </is>
      </c>
      <c r="I883" s="7" t="n">
        <v>2043.984</v>
      </c>
      <c r="J883" s="8" t="n">
        <v>46253.40438657408</v>
      </c>
      <c r="K883" t="inlineStr">
        <is>
          <t>CF260819 00877</t>
        </is>
      </c>
      <c r="L883" t="inlineStr">
        <is>
          <t>GL.NOSTRO.PLN.BRAA.006</t>
        </is>
      </c>
      <c r="M883" t="inlineStr">
        <is>
          <t>Mallow Clearing</t>
        </is>
      </c>
      <c r="N883" t="inlineStr">
        <is>
          <t>BRAAMM</t>
        </is>
      </c>
      <c r="O883" t="inlineStr">
        <is>
          <t>AMEND</t>
        </is>
      </c>
      <c r="P883" t="inlineStr">
        <is>
          <t>NT26081900661</t>
        </is>
      </c>
      <c r="Q883" t="inlineStr">
        <is>
          <t>NETTER</t>
        </is>
      </c>
    </row>
    <row r="884">
      <c r="A884" t="inlineStr">
        <is>
          <t>968942362772</t>
        </is>
      </c>
      <c r="B884" t="inlineStr">
        <is>
          <t>TCP</t>
        </is>
      </c>
      <c r="C884" t="inlineStr">
        <is>
          <t>BRYG</t>
        </is>
      </c>
      <c r="D884" s="6" t="n">
        <v>46253</v>
      </c>
      <c r="E884" t="inlineStr">
        <is>
          <t>CR</t>
        </is>
      </c>
      <c r="F884" t="inlineStr">
        <is>
          <t>EUR</t>
        </is>
      </c>
      <c r="G884" s="7" t="n">
        <v>14256159.634</v>
      </c>
      <c r="H884" t="inlineStr">
        <is>
          <t>GBP</t>
        </is>
      </c>
      <c r="I884" s="7" t="n">
        <v>12231784.966</v>
      </c>
      <c r="J884" s="8" t="n">
        <v>46253.58868055556</v>
      </c>
      <c r="K884" t="inlineStr">
        <is>
          <t>CF260819 00878</t>
        </is>
      </c>
      <c r="L884" t="inlineStr">
        <is>
          <t>GL.NOSTRO.EUR.BRYG.001</t>
        </is>
      </c>
      <c r="M884" t="inlineStr">
        <is>
          <t>Nightjar Trust</t>
        </is>
      </c>
      <c r="N884" t="inlineStr">
        <is>
          <t>BRYGTRSY</t>
        </is>
      </c>
      <c r="O884" t="inlineStr">
        <is>
          <t>AMEND</t>
        </is>
      </c>
      <c r="P884" t="inlineStr">
        <is>
          <t>NT26081900682</t>
        </is>
      </c>
      <c r="Q884" t="inlineStr">
        <is>
          <t>NETTER</t>
        </is>
      </c>
    </row>
    <row r="885">
      <c r="A885" t="inlineStr">
        <is>
          <t>499062838623</t>
        </is>
      </c>
      <c r="B885" t="inlineStr">
        <is>
          <t>TCX</t>
        </is>
      </c>
      <c r="C885" t="inlineStr">
        <is>
          <t>BRBX</t>
        </is>
      </c>
      <c r="D885" s="6" t="n">
        <v>46253</v>
      </c>
      <c r="E885" t="inlineStr">
        <is>
          <t>DR</t>
        </is>
      </c>
      <c r="F885" t="inlineStr">
        <is>
          <t>USD</t>
        </is>
      </c>
      <c r="G885" s="7" t="n">
        <v>-970582.466</v>
      </c>
      <c r="H885" t="inlineStr">
        <is>
          <t>GBP</t>
        </is>
      </c>
      <c r="I885" s="7" t="n">
        <v>-760936.653</v>
      </c>
      <c r="J885" s="8" t="n">
        <v>46253.51126157407</v>
      </c>
      <c r="K885" t="inlineStr">
        <is>
          <t>CF260819 00879</t>
        </is>
      </c>
      <c r="L885" t="inlineStr">
        <is>
          <t>GL.NOSTRO.USD.BRBX.003</t>
        </is>
      </c>
      <c r="M885" t="inlineStr">
        <is>
          <t>Larkspur Clearing</t>
        </is>
      </c>
      <c r="N885" t="inlineStr">
        <is>
          <t>BRBXTRSY</t>
        </is>
      </c>
      <c r="O885" t="inlineStr">
        <is>
          <t>NEW</t>
        </is>
      </c>
      <c r="P885" t="inlineStr">
        <is>
          <t>NT26081900668</t>
        </is>
      </c>
      <c r="Q885" t="inlineStr">
        <is>
          <t>GROSS</t>
        </is>
      </c>
    </row>
    <row r="886">
      <c r="A886" t="inlineStr">
        <is>
          <t>910703979141</t>
        </is>
      </c>
      <c r="B886" t="inlineStr">
        <is>
          <t>TCC</t>
        </is>
      </c>
      <c r="C886" t="inlineStr">
        <is>
          <t>BRCC</t>
        </is>
      </c>
      <c r="D886" s="6" t="n">
        <v>46253</v>
      </c>
      <c r="E886" t="inlineStr">
        <is>
          <t>CR</t>
        </is>
      </c>
      <c r="F886" t="inlineStr">
        <is>
          <t>CHF</t>
        </is>
      </c>
      <c r="G886" s="7" t="n">
        <v>86540.641</v>
      </c>
      <c r="H886" t="inlineStr">
        <is>
          <t>GBP</t>
        </is>
      </c>
      <c r="I886" s="7" t="n">
        <v>77626.955</v>
      </c>
      <c r="J886" s="8" t="n">
        <v>46253.50484953704</v>
      </c>
      <c r="K886" t="inlineStr">
        <is>
          <t>CF260819 00880</t>
        </is>
      </c>
      <c r="L886" t="inlineStr">
        <is>
          <t>GL.NOSTRO.CHF.BRCC.003</t>
        </is>
      </c>
      <c r="M886" t="inlineStr">
        <is>
          <t>Wrenfield Settlement Bank</t>
        </is>
      </c>
      <c r="N886" t="inlineStr">
        <is>
          <t>BRCCCASH</t>
        </is>
      </c>
      <c r="O886" t="inlineStr">
        <is>
          <t>NEW</t>
        </is>
      </c>
      <c r="Q886" t="inlineStr">
        <is>
          <t>NETTER</t>
        </is>
      </c>
    </row>
    <row r="887">
      <c r="A887" t="inlineStr">
        <is>
          <t>359365220160</t>
        </is>
      </c>
      <c r="B887" t="inlineStr">
        <is>
          <t>TCC</t>
        </is>
      </c>
      <c r="C887" t="inlineStr">
        <is>
          <t>BRGX</t>
        </is>
      </c>
      <c r="D887" s="6" t="n">
        <v>46253</v>
      </c>
      <c r="E887" t="inlineStr">
        <is>
          <t>CR</t>
        </is>
      </c>
      <c r="F887" t="inlineStr">
        <is>
          <t>EUR</t>
        </is>
      </c>
      <c r="G887" s="7" t="n">
        <v>128813.538</v>
      </c>
      <c r="H887" t="inlineStr">
        <is>
          <t>GBP</t>
        </is>
      </c>
      <c r="I887" s="7" t="n">
        <v>110522.016</v>
      </c>
      <c r="J887" s="8" t="n">
        <v>46253.30013888889</v>
      </c>
      <c r="K887" t="inlineStr">
        <is>
          <t>CF260819 00881</t>
        </is>
      </c>
      <c r="L887" t="inlineStr">
        <is>
          <t>GL.NOSTRO.EUR.BRGX.008</t>
        </is>
      </c>
      <c r="M887" t="inlineStr">
        <is>
          <t>Mallow Trust</t>
        </is>
      </c>
      <c r="N887" t="inlineStr">
        <is>
          <t>BRGXMM</t>
        </is>
      </c>
      <c r="O887" t="inlineStr">
        <is>
          <t>NEW</t>
        </is>
      </c>
      <c r="P887" t="inlineStr">
        <is>
          <t>NT26081900690</t>
        </is>
      </c>
      <c r="Q887" t="inlineStr">
        <is>
          <t>NETTER</t>
        </is>
      </c>
    </row>
    <row r="888">
      <c r="A888" t="inlineStr">
        <is>
          <t>898317028833</t>
        </is>
      </c>
      <c r="B888" t="inlineStr">
        <is>
          <t>TCQ</t>
        </is>
      </c>
      <c r="C888" t="inlineStr">
        <is>
          <t>BRAA</t>
        </is>
      </c>
      <c r="D888" s="6" t="n">
        <v>46253</v>
      </c>
      <c r="E888" t="inlineStr">
        <is>
          <t>CR</t>
        </is>
      </c>
      <c r="F888" t="inlineStr">
        <is>
          <t>GBP</t>
        </is>
      </c>
      <c r="G888" s="7" t="n">
        <v>247548063.598</v>
      </c>
      <c r="H888" t="inlineStr">
        <is>
          <t>GBP</t>
        </is>
      </c>
      <c r="I888" s="7" t="n">
        <v>247548063.598</v>
      </c>
      <c r="J888" s="8" t="n">
        <v>46253.64128472222</v>
      </c>
      <c r="K888" t="inlineStr">
        <is>
          <t>CF260819 00882</t>
        </is>
      </c>
      <c r="L888" t="inlineStr">
        <is>
          <t>GL.NOSTRO.GBP.BRAA.003</t>
        </is>
      </c>
      <c r="M888" t="inlineStr">
        <is>
          <t>Fernway Settlement Bank</t>
        </is>
      </c>
      <c r="N888" t="inlineStr">
        <is>
          <t>BRAATRSY</t>
        </is>
      </c>
      <c r="O888" t="inlineStr">
        <is>
          <t>CANCEL</t>
        </is>
      </c>
      <c r="Q888" t="inlineStr">
        <is>
          <t>GROSS</t>
        </is>
      </c>
    </row>
    <row r="889">
      <c r="A889" t="inlineStr">
        <is>
          <t>150316825069</t>
        </is>
      </c>
      <c r="B889" t="inlineStr">
        <is>
          <t>TCC</t>
        </is>
      </c>
      <c r="C889" t="inlineStr">
        <is>
          <t>BRGX</t>
        </is>
      </c>
      <c r="D889" s="6" t="n">
        <v>46253</v>
      </c>
      <c r="E889" t="inlineStr">
        <is>
          <t>CR</t>
        </is>
      </c>
      <c r="F889" t="inlineStr">
        <is>
          <t>GBP</t>
        </is>
      </c>
      <c r="G889" s="7" t="n">
        <v>16900787.504</v>
      </c>
      <c r="H889" t="inlineStr">
        <is>
          <t>GBP</t>
        </is>
      </c>
      <c r="I889" s="7" t="n">
        <v>16900787.504</v>
      </c>
      <c r="J889" s="8" t="n">
        <v>46253.35513888889</v>
      </c>
      <c r="K889" t="inlineStr">
        <is>
          <t>CF260819 00883</t>
        </is>
      </c>
      <c r="L889" t="inlineStr">
        <is>
          <t>GL.NOSTRO.GBP.BRGX.003</t>
        </is>
      </c>
      <c r="M889" t="inlineStr">
        <is>
          <t>Elmwood Trust</t>
        </is>
      </c>
      <c r="N889" t="inlineStr">
        <is>
          <t>BRGXCASH</t>
        </is>
      </c>
      <c r="O889" t="inlineStr">
        <is>
          <t>NEW</t>
        </is>
      </c>
      <c r="Q889" t="inlineStr">
        <is>
          <t>NETTER</t>
        </is>
      </c>
    </row>
    <row r="890">
      <c r="A890" t="inlineStr">
        <is>
          <t>898317028833</t>
        </is>
      </c>
      <c r="B890" t="inlineStr">
        <is>
          <t>TCX</t>
        </is>
      </c>
      <c r="C890" t="inlineStr">
        <is>
          <t>BRAA</t>
        </is>
      </c>
      <c r="D890" s="6" t="n">
        <v>46253</v>
      </c>
      <c r="E890" t="inlineStr">
        <is>
          <t>CR</t>
        </is>
      </c>
      <c r="F890" t="inlineStr">
        <is>
          <t>GBP</t>
        </is>
      </c>
      <c r="G890" s="7" t="n">
        <v>222158.475</v>
      </c>
      <c r="H890" t="inlineStr">
        <is>
          <t>GBP</t>
        </is>
      </c>
      <c r="I890" s="7" t="n">
        <v>222158.475</v>
      </c>
      <c r="J890" s="8" t="n">
        <v>46253.39556712963</v>
      </c>
      <c r="K890" t="inlineStr">
        <is>
          <t>CF260819 00884</t>
        </is>
      </c>
      <c r="L890" t="inlineStr">
        <is>
          <t>GL.NOSTRO.GBP.BRAA.002</t>
        </is>
      </c>
      <c r="M890" t="inlineStr">
        <is>
          <t>Larkspur Clearing</t>
        </is>
      </c>
      <c r="N890" t="inlineStr">
        <is>
          <t>BRAAMM</t>
        </is>
      </c>
      <c r="O890" t="inlineStr">
        <is>
          <t>NEW</t>
        </is>
      </c>
      <c r="Q890" t="inlineStr">
        <is>
          <t>GROSS</t>
        </is>
      </c>
    </row>
    <row r="891">
      <c r="A891" t="inlineStr">
        <is>
          <t>794226063698</t>
        </is>
      </c>
      <c r="B891" t="inlineStr">
        <is>
          <t>TCG</t>
        </is>
      </c>
      <c r="C891" t="inlineStr">
        <is>
          <t>BRMD</t>
        </is>
      </c>
      <c r="D891" s="6" t="n">
        <v>46253</v>
      </c>
      <c r="E891" t="inlineStr">
        <is>
          <t>CR</t>
        </is>
      </c>
      <c r="F891" t="inlineStr">
        <is>
          <t>AED</t>
        </is>
      </c>
      <c r="G891" s="7" t="n">
        <v>494105760.628</v>
      </c>
      <c r="H891" t="inlineStr">
        <is>
          <t>GBP</t>
        </is>
      </c>
      <c r="I891" s="7" t="n">
        <v>105244527.014</v>
      </c>
      <c r="J891" s="8" t="n">
        <v>46253.65721064815</v>
      </c>
      <c r="K891" t="inlineStr">
        <is>
          <t>CF260819 00885</t>
        </is>
      </c>
      <c r="L891" t="inlineStr">
        <is>
          <t>GL.NOSTRO.AED.BRMD.005</t>
        </is>
      </c>
      <c r="M891" t="inlineStr">
        <is>
          <t>Dunlin Bank</t>
        </is>
      </c>
      <c r="N891" t="inlineStr">
        <is>
          <t>BRMDMM</t>
        </is>
      </c>
      <c r="O891" t="inlineStr">
        <is>
          <t>NEW</t>
        </is>
      </c>
      <c r="P891" t="inlineStr">
        <is>
          <t>NT26081900666</t>
        </is>
      </c>
      <c r="Q891" t="inlineStr">
        <is>
          <t>NETTER</t>
        </is>
      </c>
    </row>
    <row r="892">
      <c r="A892" t="inlineStr">
        <is>
          <t>120047354818</t>
        </is>
      </c>
      <c r="B892" t="inlineStr">
        <is>
          <t>TCP</t>
        </is>
      </c>
      <c r="C892" t="inlineStr">
        <is>
          <t>BRNK</t>
        </is>
      </c>
      <c r="D892" s="6" t="n">
        <v>46253</v>
      </c>
      <c r="E892" t="inlineStr">
        <is>
          <t>CR</t>
        </is>
      </c>
      <c r="F892" t="inlineStr">
        <is>
          <t>USD</t>
        </is>
      </c>
      <c r="G892" s="7" t="n">
        <v>22787498.482</v>
      </c>
      <c r="H892" t="inlineStr">
        <is>
          <t>GBP</t>
        </is>
      </c>
      <c r="I892" s="7" t="n">
        <v>17865398.81</v>
      </c>
      <c r="J892" s="8" t="n">
        <v>46253.39439814815</v>
      </c>
      <c r="K892" t="inlineStr">
        <is>
          <t>CF260819 00886</t>
        </is>
      </c>
      <c r="L892" t="inlineStr">
        <is>
          <t>GL.NOSTRO.USD.BRNK.008</t>
        </is>
      </c>
      <c r="M892" t="inlineStr">
        <is>
          <t>Pinehurst Clearing</t>
        </is>
      </c>
      <c r="N892" t="inlineStr">
        <is>
          <t>BRNKMM</t>
        </is>
      </c>
      <c r="O892" t="inlineStr">
        <is>
          <t>NEW</t>
        </is>
      </c>
      <c r="P892" t="inlineStr">
        <is>
          <t>NT26081900688</t>
        </is>
      </c>
      <c r="Q892" t="inlineStr">
        <is>
          <t>NETTER</t>
        </is>
      </c>
    </row>
    <row r="893">
      <c r="A893" t="inlineStr">
        <is>
          <t>120047354818</t>
        </is>
      </c>
      <c r="B893" t="inlineStr">
        <is>
          <t>TCP</t>
        </is>
      </c>
      <c r="C893" t="inlineStr">
        <is>
          <t>BRNK</t>
        </is>
      </c>
      <c r="D893" s="6" t="n">
        <v>46253</v>
      </c>
      <c r="E893" t="inlineStr">
        <is>
          <t>DR</t>
        </is>
      </c>
      <c r="F893" t="inlineStr">
        <is>
          <t>USD</t>
        </is>
      </c>
      <c r="G893" s="7" t="n">
        <v>-10203831.875</v>
      </c>
      <c r="H893" t="inlineStr">
        <is>
          <t>GBP</t>
        </is>
      </c>
      <c r="I893" s="7" t="n">
        <v>-7999804.19</v>
      </c>
      <c r="J893" s="8" t="n">
        <v>46253.42857638889</v>
      </c>
      <c r="K893" t="inlineStr">
        <is>
          <t>CF260819 00887</t>
        </is>
      </c>
      <c r="L893" t="inlineStr">
        <is>
          <t>GL.NOSTRO.USD.BRNK.003</t>
        </is>
      </c>
      <c r="M893" t="inlineStr">
        <is>
          <t>Pinehurst Clearing</t>
        </is>
      </c>
      <c r="N893" t="inlineStr">
        <is>
          <t>BRNK</t>
        </is>
      </c>
      <c r="O893" t="inlineStr">
        <is>
          <t>NEW</t>
        </is>
      </c>
      <c r="Q893" t="inlineStr">
        <is>
          <t>INTERNAL</t>
        </is>
      </c>
    </row>
    <row r="894">
      <c r="A894" t="inlineStr">
        <is>
          <t>927538182434</t>
        </is>
      </c>
      <c r="B894" t="inlineStr">
        <is>
          <t>TCG</t>
        </is>
      </c>
      <c r="C894" t="inlineStr">
        <is>
          <t>BRNK</t>
        </is>
      </c>
      <c r="D894" s="6" t="n">
        <v>46253</v>
      </c>
      <c r="E894" t="inlineStr">
        <is>
          <t>CR</t>
        </is>
      </c>
      <c r="F894" t="inlineStr">
        <is>
          <t>CNY</t>
        </is>
      </c>
      <c r="G894" s="7" t="n">
        <v>416571779.756</v>
      </c>
      <c r="H894" t="inlineStr">
        <is>
          <t>GBP</t>
        </is>
      </c>
      <c r="I894" s="7" t="n">
        <v>45406323.993</v>
      </c>
      <c r="J894" s="8" t="n">
        <v>46253.70591435185</v>
      </c>
      <c r="K894" t="inlineStr">
        <is>
          <t>CF260819 00888</t>
        </is>
      </c>
      <c r="L894" t="inlineStr">
        <is>
          <t>GL.NOSTRO.CNY.BRNK.003</t>
        </is>
      </c>
      <c r="M894" t="inlineStr">
        <is>
          <t>Juniper Settlement Bank</t>
        </is>
      </c>
      <c r="N894" t="inlineStr">
        <is>
          <t>BRNKMM</t>
        </is>
      </c>
      <c r="O894" t="inlineStr">
        <is>
          <t>NEW</t>
        </is>
      </c>
      <c r="Q894" t="inlineStr">
        <is>
          <t>GROSS</t>
        </is>
      </c>
    </row>
    <row r="895">
      <c r="A895" t="inlineStr">
        <is>
          <t>150316825069</t>
        </is>
      </c>
      <c r="B895" t="inlineStr">
        <is>
          <t>TCC</t>
        </is>
      </c>
      <c r="C895" t="inlineStr">
        <is>
          <t>BRGX</t>
        </is>
      </c>
      <c r="D895" s="6" t="n">
        <v>46253</v>
      </c>
      <c r="E895" t="inlineStr">
        <is>
          <t>CR</t>
        </is>
      </c>
      <c r="F895" t="inlineStr">
        <is>
          <t>GBP</t>
        </is>
      </c>
      <c r="G895" s="7" t="n">
        <v>17692602.087</v>
      </c>
      <c r="H895" t="inlineStr">
        <is>
          <t>GBP</t>
        </is>
      </c>
      <c r="I895" s="7" t="n">
        <v>17692602.087</v>
      </c>
      <c r="J895" s="8" t="n">
        <v>46253.46552083334</v>
      </c>
      <c r="K895" t="inlineStr">
        <is>
          <t>CF260819 00889</t>
        </is>
      </c>
      <c r="L895" t="inlineStr">
        <is>
          <t>GL.NOSTRO.GBP.BRGX.009</t>
        </is>
      </c>
      <c r="M895" t="inlineStr">
        <is>
          <t>Vetchling Commercial Bank</t>
        </is>
      </c>
      <c r="N895" t="inlineStr">
        <is>
          <t>BRGXTRSY</t>
        </is>
      </c>
      <c r="O895" t="inlineStr">
        <is>
          <t>NEW</t>
        </is>
      </c>
      <c r="Q895" t="inlineStr">
        <is>
          <t>GROSS</t>
        </is>
      </c>
    </row>
    <row r="896">
      <c r="A896" t="inlineStr">
        <is>
          <t>150316825069</t>
        </is>
      </c>
      <c r="B896" t="inlineStr">
        <is>
          <t>TCC</t>
        </is>
      </c>
      <c r="C896" t="inlineStr">
        <is>
          <t>BRGX</t>
        </is>
      </c>
      <c r="D896" s="6" t="n">
        <v>46253</v>
      </c>
      <c r="E896" t="inlineStr">
        <is>
          <t>CR</t>
        </is>
      </c>
      <c r="F896" t="inlineStr">
        <is>
          <t>GBP</t>
        </is>
      </c>
      <c r="G896" s="7" t="n">
        <v>10831084.31</v>
      </c>
      <c r="H896" t="inlineStr">
        <is>
          <t>GBP</t>
        </is>
      </c>
      <c r="I896" s="7" t="n">
        <v>10831084.31</v>
      </c>
      <c r="J896" s="8" t="n">
        <v>46253.34576388889</v>
      </c>
      <c r="K896" t="inlineStr">
        <is>
          <t>CF260819 00890</t>
        </is>
      </c>
      <c r="L896" t="inlineStr">
        <is>
          <t>GL.NOSTRO.GBP.BRGX.005</t>
        </is>
      </c>
      <c r="M896" t="inlineStr">
        <is>
          <t>Pinehurst Settlement Bank</t>
        </is>
      </c>
      <c r="N896" t="inlineStr">
        <is>
          <t>BRGXTRSY</t>
        </is>
      </c>
      <c r="O896" t="inlineStr">
        <is>
          <t>NEW</t>
        </is>
      </c>
      <c r="Q896" t="inlineStr">
        <is>
          <t>NETTER</t>
        </is>
      </c>
    </row>
    <row r="897">
      <c r="A897" t="inlineStr">
        <is>
          <t>468341071172</t>
        </is>
      </c>
      <c r="B897" t="inlineStr">
        <is>
          <t>TCQ</t>
        </is>
      </c>
      <c r="C897" t="inlineStr">
        <is>
          <t>BRCC</t>
        </is>
      </c>
      <c r="D897" s="6" t="n">
        <v>46253</v>
      </c>
      <c r="E897" t="inlineStr">
        <is>
          <t>DR</t>
        </is>
      </c>
      <c r="F897" t="inlineStr">
        <is>
          <t>EUR</t>
        </is>
      </c>
      <c r="G897" s="7" t="n">
        <v>-759861.737</v>
      </c>
      <c r="H897" t="inlineStr">
        <is>
          <t>GBP</t>
        </is>
      </c>
      <c r="I897" s="7" t="n">
        <v>-651961.37</v>
      </c>
      <c r="J897" s="8" t="n">
        <v>46253.64667824074</v>
      </c>
      <c r="K897" t="inlineStr">
        <is>
          <t>CF260819 00891</t>
        </is>
      </c>
      <c r="L897" t="inlineStr">
        <is>
          <t>GL.NOSTRO.EUR.BRCC.007</t>
        </is>
      </c>
      <c r="M897" t="inlineStr">
        <is>
          <t>Mallow Clearing</t>
        </is>
      </c>
      <c r="N897" t="inlineStr">
        <is>
          <t>BRCC</t>
        </is>
      </c>
      <c r="O897" t="inlineStr">
        <is>
          <t>NEW</t>
        </is>
      </c>
      <c r="Q897" t="inlineStr">
        <is>
          <t>NETTER</t>
        </is>
      </c>
    </row>
    <row r="898">
      <c r="A898" t="inlineStr">
        <is>
          <t>359365220160</t>
        </is>
      </c>
      <c r="B898" t="inlineStr">
        <is>
          <t>TCC</t>
        </is>
      </c>
      <c r="C898" t="inlineStr">
        <is>
          <t>BRGX</t>
        </is>
      </c>
      <c r="D898" s="6" t="n">
        <v>46253</v>
      </c>
      <c r="E898" t="inlineStr">
        <is>
          <t>DR</t>
        </is>
      </c>
      <c r="F898" t="inlineStr">
        <is>
          <t>EUR</t>
        </is>
      </c>
      <c r="G898" s="7" t="n">
        <v>-34898350.979</v>
      </c>
      <c r="H898" t="inlineStr">
        <is>
          <t>GBP</t>
        </is>
      </c>
      <c r="I898" s="7" t="n">
        <v>-29942785.14</v>
      </c>
      <c r="J898" s="8" t="n">
        <v>46253.43755787037</v>
      </c>
      <c r="K898" t="inlineStr">
        <is>
          <t>CF260819 00892</t>
        </is>
      </c>
      <c r="L898" t="inlineStr">
        <is>
          <t>GL.NOSTRO.EUR.BRGX.008</t>
        </is>
      </c>
      <c r="M898" t="inlineStr">
        <is>
          <t>Dunlin Trust</t>
        </is>
      </c>
      <c r="N898" t="inlineStr">
        <is>
          <t>BRGXMM</t>
        </is>
      </c>
      <c r="O898" t="inlineStr">
        <is>
          <t>NEW</t>
        </is>
      </c>
      <c r="P898" t="inlineStr">
        <is>
          <t>NT26081900675</t>
        </is>
      </c>
      <c r="Q898" t="inlineStr">
        <is>
          <t>NETTER</t>
        </is>
      </c>
    </row>
    <row r="899">
      <c r="A899" t="inlineStr">
        <is>
          <t>968942362772</t>
        </is>
      </c>
      <c r="B899" t="inlineStr">
        <is>
          <t>TCG</t>
        </is>
      </c>
      <c r="C899" t="inlineStr">
        <is>
          <t>BRYG</t>
        </is>
      </c>
      <c r="D899" s="6" t="n">
        <v>46253</v>
      </c>
      <c r="E899" t="inlineStr">
        <is>
          <t>CR</t>
        </is>
      </c>
      <c r="F899" t="inlineStr">
        <is>
          <t>EUR</t>
        </is>
      </c>
      <c r="G899" s="7" t="n">
        <v>3844196.601</v>
      </c>
      <c r="H899" t="inlineStr">
        <is>
          <t>GBP</t>
        </is>
      </c>
      <c r="I899" s="7" t="n">
        <v>3298320.684</v>
      </c>
      <c r="J899" s="8" t="n">
        <v>46253.59775462963</v>
      </c>
      <c r="K899" t="inlineStr">
        <is>
          <t>CF260819 00893</t>
        </is>
      </c>
      <c r="L899" t="inlineStr">
        <is>
          <t>GL.NOSTRO.EUR.BRYG.005</t>
        </is>
      </c>
      <c r="M899" t="inlineStr">
        <is>
          <t>Elmwood Clearing</t>
        </is>
      </c>
      <c r="N899" t="inlineStr">
        <is>
          <t>BRYGTRSY</t>
        </is>
      </c>
      <c r="O899" t="inlineStr">
        <is>
          <t>NEW</t>
        </is>
      </c>
      <c r="P899" t="inlineStr">
        <is>
          <t>NT26081900658</t>
        </is>
      </c>
      <c r="Q899" t="inlineStr">
        <is>
          <t>NETTER</t>
        </is>
      </c>
    </row>
    <row r="900">
      <c r="A900" t="inlineStr">
        <is>
          <t>113829985108</t>
        </is>
      </c>
      <c r="B900" t="inlineStr">
        <is>
          <t>TCQ</t>
        </is>
      </c>
      <c r="C900" t="inlineStr">
        <is>
          <t>BRGL</t>
        </is>
      </c>
      <c r="D900" s="6" t="n">
        <v>46253</v>
      </c>
      <c r="E900" t="inlineStr">
        <is>
          <t>DR</t>
        </is>
      </c>
      <c r="F900" t="inlineStr">
        <is>
          <t>EUR</t>
        </is>
      </c>
      <c r="G900" s="7" t="n">
        <v>-1247928.712</v>
      </c>
      <c r="H900" t="inlineStr">
        <is>
          <t>GBP</t>
        </is>
      </c>
      <c r="I900" s="7" t="n">
        <v>-1070722.835</v>
      </c>
      <c r="J900" s="8" t="n">
        <v>46253.43054398148</v>
      </c>
      <c r="K900" t="inlineStr">
        <is>
          <t>CF260819 00894</t>
        </is>
      </c>
      <c r="L900" t="inlineStr">
        <is>
          <t>GL.NOSTRO.EUR.BRGL.002</t>
        </is>
      </c>
      <c r="M900" t="inlineStr">
        <is>
          <t>Granite Clearing</t>
        </is>
      </c>
      <c r="N900" t="inlineStr">
        <is>
          <t>BRGLMM</t>
        </is>
      </c>
      <c r="O900" t="inlineStr">
        <is>
          <t>NEW</t>
        </is>
      </c>
      <c r="Q900" t="inlineStr">
        <is>
          <t>GROSS</t>
        </is>
      </c>
    </row>
    <row r="901">
      <c r="A901" t="inlineStr">
        <is>
          <t>794226063698</t>
        </is>
      </c>
      <c r="B901" t="inlineStr">
        <is>
          <t>TCP</t>
        </is>
      </c>
      <c r="C901" t="inlineStr">
        <is>
          <t>BRMD</t>
        </is>
      </c>
      <c r="D901" s="6" t="n">
        <v>46253</v>
      </c>
      <c r="E901" t="inlineStr">
        <is>
          <t>CR</t>
        </is>
      </c>
      <c r="F901" t="inlineStr">
        <is>
          <t>AED</t>
        </is>
      </c>
      <c r="G901" s="7" t="n">
        <v>51702552.214</v>
      </c>
      <c r="H901" t="inlineStr">
        <is>
          <t>GBP</t>
        </is>
      </c>
      <c r="I901" s="7" t="n">
        <v>11012643.622</v>
      </c>
      <c r="J901" s="8" t="n">
        <v>46253.44163194444</v>
      </c>
      <c r="K901" t="inlineStr">
        <is>
          <t>CF260819 00895</t>
        </is>
      </c>
      <c r="L901" t="inlineStr">
        <is>
          <t>GL.NOSTRO.AED.BRMD.009</t>
        </is>
      </c>
      <c r="M901" t="inlineStr">
        <is>
          <t>Vetchling Commercial Bank</t>
        </is>
      </c>
      <c r="N901" t="inlineStr">
        <is>
          <t>BRMDMM</t>
        </is>
      </c>
      <c r="O901" t="inlineStr">
        <is>
          <t>NEW</t>
        </is>
      </c>
      <c r="Q901" t="inlineStr">
        <is>
          <t>NETTER</t>
        </is>
      </c>
    </row>
    <row r="902">
      <c r="A902" t="inlineStr">
        <is>
          <t>468341071172</t>
        </is>
      </c>
      <c r="B902" t="inlineStr">
        <is>
          <t>TCQ</t>
        </is>
      </c>
      <c r="C902" t="inlineStr">
        <is>
          <t>BRCC</t>
        </is>
      </c>
      <c r="D902" s="6" t="n">
        <v>46253</v>
      </c>
      <c r="E902" t="inlineStr">
        <is>
          <t>DR</t>
        </is>
      </c>
      <c r="F902" t="inlineStr">
        <is>
          <t>EUR</t>
        </is>
      </c>
      <c r="G902" s="7" t="n">
        <v>-238.347</v>
      </c>
      <c r="H902" t="inlineStr">
        <is>
          <t>GBP</t>
        </is>
      </c>
      <c r="I902" s="7" t="n">
        <v>-204.502</v>
      </c>
      <c r="J902" s="8" t="n">
        <v>46253.62452546296</v>
      </c>
      <c r="K902" t="inlineStr">
        <is>
          <t>CF260819 00896</t>
        </is>
      </c>
      <c r="L902" t="inlineStr">
        <is>
          <t>GL.NOSTRO.EUR.BRCC.006</t>
        </is>
      </c>
      <c r="M902" t="inlineStr">
        <is>
          <t>Umberton Commercial Bank</t>
        </is>
      </c>
      <c r="N902" t="inlineStr">
        <is>
          <t>BRCC</t>
        </is>
      </c>
      <c r="O902" t="inlineStr">
        <is>
          <t>CANCEL</t>
        </is>
      </c>
      <c r="P902" t="inlineStr">
        <is>
          <t>NT26081900675</t>
        </is>
      </c>
      <c r="Q902" t="inlineStr">
        <is>
          <t>NETTER</t>
        </is>
      </c>
    </row>
    <row r="903">
      <c r="A903" t="inlineStr">
        <is>
          <t>150316825069</t>
        </is>
      </c>
      <c r="B903" t="inlineStr">
        <is>
          <t>TCX</t>
        </is>
      </c>
      <c r="C903" t="inlineStr">
        <is>
          <t>BRGX</t>
        </is>
      </c>
      <c r="D903" s="6" t="n">
        <v>46253</v>
      </c>
      <c r="E903" t="inlineStr">
        <is>
          <t>CR</t>
        </is>
      </c>
      <c r="F903" t="inlineStr">
        <is>
          <t>GBP</t>
        </is>
      </c>
      <c r="G903" s="7" t="n">
        <v>41816157.506</v>
      </c>
      <c r="H903" t="inlineStr">
        <is>
          <t>GBP</t>
        </is>
      </c>
      <c r="I903" s="7" t="n">
        <v>41816157.506</v>
      </c>
      <c r="J903" s="8" t="n">
        <v>46253.40509259259</v>
      </c>
      <c r="K903" t="inlineStr">
        <is>
          <t>CF260819 00897</t>
        </is>
      </c>
      <c r="L903" t="inlineStr">
        <is>
          <t>GL.NOSTRO.GBP.BRGX.009</t>
        </is>
      </c>
      <c r="M903" t="inlineStr">
        <is>
          <t>Alder Trust</t>
        </is>
      </c>
      <c r="N903" t="inlineStr">
        <is>
          <t>BRGXCASH</t>
        </is>
      </c>
      <c r="O903" t="inlineStr">
        <is>
          <t>AMEND</t>
        </is>
      </c>
      <c r="Q903" t="inlineStr">
        <is>
          <t>NETTER</t>
        </is>
      </c>
    </row>
    <row r="904">
      <c r="A904" t="inlineStr">
        <is>
          <t>794226063698</t>
        </is>
      </c>
      <c r="B904" t="inlineStr">
        <is>
          <t>TCX</t>
        </is>
      </c>
      <c r="C904" t="inlineStr">
        <is>
          <t>BRMD</t>
        </is>
      </c>
      <c r="D904" s="6" t="n">
        <v>46253</v>
      </c>
      <c r="E904" t="inlineStr">
        <is>
          <t>CR</t>
        </is>
      </c>
      <c r="F904" t="inlineStr">
        <is>
          <t>AED</t>
        </is>
      </c>
      <c r="G904" s="7" t="n">
        <v>24388394.716</v>
      </c>
      <c r="H904" t="inlineStr">
        <is>
          <t>GBP</t>
        </is>
      </c>
      <c r="I904" s="7" t="n">
        <v>5194728.075</v>
      </c>
      <c r="J904" s="8" t="n">
        <v>46253.69797453703</v>
      </c>
      <c r="K904" t="inlineStr">
        <is>
          <t>CF260819 00898</t>
        </is>
      </c>
      <c r="L904" t="inlineStr">
        <is>
          <t>GL.NOSTRO.AED.BRMD.006</t>
        </is>
      </c>
      <c r="M904" t="inlineStr">
        <is>
          <t>Sablewood Settlement Bank</t>
        </is>
      </c>
      <c r="N904" t="inlineStr">
        <is>
          <t>BRMD</t>
        </is>
      </c>
      <c r="O904" t="inlineStr">
        <is>
          <t>NEW</t>
        </is>
      </c>
      <c r="P904" t="inlineStr">
        <is>
          <t>NT26081900694</t>
        </is>
      </c>
      <c r="Q904" t="inlineStr">
        <is>
          <t>NETTER</t>
        </is>
      </c>
    </row>
    <row r="905">
      <c r="A905" t="inlineStr">
        <is>
          <t>968942362772</t>
        </is>
      </c>
      <c r="B905" t="inlineStr">
        <is>
          <t>TCX</t>
        </is>
      </c>
      <c r="C905" t="inlineStr">
        <is>
          <t>BRYG</t>
        </is>
      </c>
      <c r="D905" s="6" t="n">
        <v>46253</v>
      </c>
      <c r="E905" t="inlineStr">
        <is>
          <t>DR</t>
        </is>
      </c>
      <c r="F905" t="inlineStr">
        <is>
          <t>EUR</t>
        </is>
      </c>
      <c r="G905" s="7" t="n">
        <v>-109977376.53</v>
      </c>
      <c r="H905" t="inlineStr">
        <is>
          <t>GBP</t>
        </is>
      </c>
      <c r="I905" s="7" t="n">
        <v>-94360589.06299999</v>
      </c>
      <c r="J905" s="8" t="n">
        <v>46253.40119212963</v>
      </c>
      <c r="K905" t="inlineStr">
        <is>
          <t>CF260819 00899</t>
        </is>
      </c>
      <c r="L905" t="inlineStr">
        <is>
          <t>GL.NOSTRO.EUR.BRYG.005</t>
        </is>
      </c>
      <c r="M905" t="inlineStr">
        <is>
          <t>Elmwood Clearing</t>
        </is>
      </c>
      <c r="N905" t="inlineStr">
        <is>
          <t>BRYGMM</t>
        </is>
      </c>
      <c r="O905" t="inlineStr">
        <is>
          <t>NEW</t>
        </is>
      </c>
      <c r="Q905" t="inlineStr">
        <is>
          <t>INTERNAL</t>
        </is>
      </c>
    </row>
    <row r="906">
      <c r="A906" t="inlineStr">
        <is>
          <t>794226063698</t>
        </is>
      </c>
      <c r="B906" t="inlineStr">
        <is>
          <t>TCX</t>
        </is>
      </c>
      <c r="C906" t="inlineStr">
        <is>
          <t>BRMD</t>
        </is>
      </c>
      <c r="D906" s="6" t="n">
        <v>46253</v>
      </c>
      <c r="E906" t="inlineStr">
        <is>
          <t>DR</t>
        </is>
      </c>
      <c r="F906" t="inlineStr">
        <is>
          <t>AED</t>
        </is>
      </c>
      <c r="G906" s="7" t="n">
        <v>-255703664.6</v>
      </c>
      <c r="H906" t="inlineStr">
        <is>
          <t>GBP</t>
        </is>
      </c>
      <c r="I906" s="7" t="n">
        <v>-54464880.56</v>
      </c>
      <c r="J906" s="8" t="n">
        <v>46253.6677199074</v>
      </c>
      <c r="K906" t="inlineStr">
        <is>
          <t>CF260819 00900</t>
        </is>
      </c>
      <c r="L906" t="inlineStr">
        <is>
          <t>GL.NOSTRO.AED.BRMD.007</t>
        </is>
      </c>
      <c r="M906" t="inlineStr">
        <is>
          <t>Elmwood Settlement Bank</t>
        </is>
      </c>
      <c r="N906" t="inlineStr">
        <is>
          <t>BRMDTRSY</t>
        </is>
      </c>
      <c r="O906" t="inlineStr">
        <is>
          <t>NEW</t>
        </is>
      </c>
      <c r="Q906" t="inlineStr">
        <is>
          <t>NETTER</t>
        </is>
      </c>
    </row>
    <row r="907">
      <c r="A907" t="inlineStr">
        <is>
          <t>132544340094</t>
        </is>
      </c>
      <c r="B907" t="inlineStr">
        <is>
          <t>TCP</t>
        </is>
      </c>
      <c r="C907" t="inlineStr">
        <is>
          <t>BRYG</t>
        </is>
      </c>
      <c r="D907" s="6" t="n">
        <v>46253</v>
      </c>
      <c r="E907" t="inlineStr">
        <is>
          <t>CR</t>
        </is>
      </c>
      <c r="F907" t="inlineStr">
        <is>
          <t>CZK</t>
        </is>
      </c>
      <c r="G907" s="7" t="n">
        <v>80375167.531</v>
      </c>
      <c r="H907" t="inlineStr">
        <is>
          <t>GBP</t>
        </is>
      </c>
      <c r="I907" s="7" t="n">
        <v>2724718.179</v>
      </c>
      <c r="J907" s="8" t="n">
        <v>46253.43877314815</v>
      </c>
      <c r="K907" t="inlineStr">
        <is>
          <t>CF260819 00901</t>
        </is>
      </c>
      <c r="L907" t="inlineStr">
        <is>
          <t>GL.NOSTRO.CZK.BRYG.002</t>
        </is>
      </c>
      <c r="M907" t="inlineStr">
        <is>
          <t>Yarrow Commercial Bank</t>
        </is>
      </c>
      <c r="N907" t="inlineStr">
        <is>
          <t>BRYG</t>
        </is>
      </c>
      <c r="O907" t="inlineStr">
        <is>
          <t>CANCEL</t>
        </is>
      </c>
      <c r="Q907" t="inlineStr">
        <is>
          <t>NETTER</t>
        </is>
      </c>
    </row>
    <row r="908">
      <c r="A908" t="inlineStr">
        <is>
          <t>150316825069</t>
        </is>
      </c>
      <c r="B908" t="inlineStr">
        <is>
          <t>TCQ</t>
        </is>
      </c>
      <c r="C908" t="inlineStr">
        <is>
          <t>BRGX</t>
        </is>
      </c>
      <c r="D908" s="6" t="n">
        <v>46253</v>
      </c>
      <c r="E908" t="inlineStr">
        <is>
          <t>DR</t>
        </is>
      </c>
      <c r="F908" t="inlineStr">
        <is>
          <t>GBP</t>
        </is>
      </c>
      <c r="G908" s="7" t="n">
        <v>-3013580.862</v>
      </c>
      <c r="H908" t="inlineStr">
        <is>
          <t>GBP</t>
        </is>
      </c>
      <c r="I908" s="7" t="n">
        <v>-3013580.862</v>
      </c>
      <c r="J908" s="8" t="n">
        <v>46253.35826388889</v>
      </c>
      <c r="K908" t="inlineStr">
        <is>
          <t>CF260819 00902</t>
        </is>
      </c>
      <c r="L908" t="inlineStr">
        <is>
          <t>GL.NOSTRO.GBP.BRGX.008</t>
        </is>
      </c>
      <c r="M908" t="inlineStr">
        <is>
          <t>Juniper Bank</t>
        </is>
      </c>
      <c r="N908" t="inlineStr">
        <is>
          <t>BRGX</t>
        </is>
      </c>
      <c r="O908" t="inlineStr">
        <is>
          <t>NEW</t>
        </is>
      </c>
      <c r="Q908" t="inlineStr">
        <is>
          <t>NETTER</t>
        </is>
      </c>
    </row>
    <row r="909">
      <c r="A909" t="inlineStr">
        <is>
          <t>150316825069</t>
        </is>
      </c>
      <c r="B909" t="inlineStr">
        <is>
          <t>TCC</t>
        </is>
      </c>
      <c r="C909" t="inlineStr">
        <is>
          <t>BRGX</t>
        </is>
      </c>
      <c r="D909" s="6" t="n">
        <v>46253</v>
      </c>
      <c r="E909" t="inlineStr">
        <is>
          <t>CR</t>
        </is>
      </c>
      <c r="F909" t="inlineStr">
        <is>
          <t>GBP</t>
        </is>
      </c>
      <c r="G909" s="7" t="n">
        <v>75677667.98999999</v>
      </c>
      <c r="H909" t="inlineStr">
        <is>
          <t>GBP</t>
        </is>
      </c>
      <c r="I909" s="7" t="n">
        <v>75677667.98999999</v>
      </c>
      <c r="J909" s="8" t="n">
        <v>46253.4528587963</v>
      </c>
      <c r="K909" t="inlineStr">
        <is>
          <t>CF260819 00903</t>
        </is>
      </c>
      <c r="L909" t="inlineStr">
        <is>
          <t>GL.NOSTRO.GBP.BRGX.009</t>
        </is>
      </c>
      <c r="M909" t="inlineStr">
        <is>
          <t>Yarrow Clearing</t>
        </is>
      </c>
      <c r="N909" t="inlineStr">
        <is>
          <t>BRGXTRSY</t>
        </is>
      </c>
      <c r="O909" t="inlineStr">
        <is>
          <t>NEW</t>
        </is>
      </c>
      <c r="Q909" t="inlineStr">
        <is>
          <t>INTERNAL</t>
        </is>
      </c>
    </row>
    <row r="910">
      <c r="A910" t="inlineStr">
        <is>
          <t>794226063698</t>
        </is>
      </c>
      <c r="B910" t="inlineStr">
        <is>
          <t>TCQ</t>
        </is>
      </c>
      <c r="C910" t="inlineStr">
        <is>
          <t>BRMD</t>
        </is>
      </c>
      <c r="D910" s="6" t="n">
        <v>46253</v>
      </c>
      <c r="E910" t="inlineStr">
        <is>
          <t>DR</t>
        </is>
      </c>
      <c r="F910" t="inlineStr">
        <is>
          <t>AED</t>
        </is>
      </c>
      <c r="G910" s="7" t="n">
        <v>-926520170.712</v>
      </c>
      <c r="H910" t="inlineStr">
        <is>
          <t>GBP</t>
        </is>
      </c>
      <c r="I910" s="7" t="n">
        <v>-197348796.362</v>
      </c>
      <c r="J910" s="8" t="n">
        <v>46253.84170138889</v>
      </c>
      <c r="K910" t="inlineStr">
        <is>
          <t>CF260819 00904</t>
        </is>
      </c>
      <c r="L910" t="inlineStr">
        <is>
          <t>GL.NOSTRO.AED.BRMD.003</t>
        </is>
      </c>
      <c r="M910" t="inlineStr">
        <is>
          <t>Bramble Bank</t>
        </is>
      </c>
      <c r="N910" t="inlineStr">
        <is>
          <t>BRMD</t>
        </is>
      </c>
      <c r="O910" t="inlineStr">
        <is>
          <t>NEW</t>
        </is>
      </c>
      <c r="Q910" t="inlineStr">
        <is>
          <t>INTERNAL</t>
        </is>
      </c>
    </row>
    <row r="911">
      <c r="A911" t="inlineStr">
        <is>
          <t>968942362772</t>
        </is>
      </c>
      <c r="B911" t="inlineStr">
        <is>
          <t>TCQ</t>
        </is>
      </c>
      <c r="C911" t="inlineStr">
        <is>
          <t>BRYG</t>
        </is>
      </c>
      <c r="D911" s="6" t="n">
        <v>46253</v>
      </c>
      <c r="E911" t="inlineStr">
        <is>
          <t>CR</t>
        </is>
      </c>
      <c r="F911" t="inlineStr">
        <is>
          <t>EUR</t>
        </is>
      </c>
      <c r="G911" s="7" t="n">
        <v>20413946.135</v>
      </c>
      <c r="H911" t="inlineStr">
        <is>
          <t>GBP</t>
        </is>
      </c>
      <c r="I911" s="7" t="n">
        <v>17515165.784</v>
      </c>
      <c r="J911" s="8" t="n">
        <v>46253.38524305556</v>
      </c>
      <c r="K911" t="inlineStr">
        <is>
          <t>CF260819 00905</t>
        </is>
      </c>
      <c r="L911" t="inlineStr">
        <is>
          <t>GL.NOSTRO.EUR.BRYG.001</t>
        </is>
      </c>
      <c r="M911" t="inlineStr">
        <is>
          <t>Umberton Clearing</t>
        </is>
      </c>
      <c r="N911" t="inlineStr">
        <is>
          <t>BRYGMM</t>
        </is>
      </c>
      <c r="O911" t="inlineStr">
        <is>
          <t>NEW</t>
        </is>
      </c>
      <c r="Q911" t="inlineStr">
        <is>
          <t>NETTER</t>
        </is>
      </c>
    </row>
    <row r="912">
      <c r="A912" t="inlineStr">
        <is>
          <t>171857983160</t>
        </is>
      </c>
      <c r="B912" t="inlineStr">
        <is>
          <t>TCP</t>
        </is>
      </c>
      <c r="C912" t="inlineStr">
        <is>
          <t>BRBX</t>
        </is>
      </c>
      <c r="D912" s="6" t="n">
        <v>46253</v>
      </c>
      <c r="E912" t="inlineStr">
        <is>
          <t>CR</t>
        </is>
      </c>
      <c r="F912" t="inlineStr">
        <is>
          <t>AUD</t>
        </is>
      </c>
      <c r="G912" s="7" t="n">
        <v>787781752.549</v>
      </c>
      <c r="H912" t="inlineStr">
        <is>
          <t>GBP</t>
        </is>
      </c>
      <c r="I912" s="7" t="n">
        <v>404132039.058</v>
      </c>
      <c r="J912" s="8" t="n">
        <v>46253.39217592592</v>
      </c>
      <c r="K912" t="inlineStr">
        <is>
          <t>CF260819 00906</t>
        </is>
      </c>
      <c r="L912" t="inlineStr">
        <is>
          <t>GL.NOSTRO.AUD.BRBX.007</t>
        </is>
      </c>
      <c r="M912" t="inlineStr">
        <is>
          <t>Pinehurst Settlement Bank</t>
        </is>
      </c>
      <c r="N912" t="inlineStr">
        <is>
          <t>BRBXMM</t>
        </is>
      </c>
      <c r="O912" t="inlineStr">
        <is>
          <t>NEW</t>
        </is>
      </c>
      <c r="P912" t="inlineStr">
        <is>
          <t>NT26081900659</t>
        </is>
      </c>
      <c r="Q912" t="inlineStr">
        <is>
          <t>NETTER</t>
        </is>
      </c>
    </row>
    <row r="913">
      <c r="A913" t="inlineStr">
        <is>
          <t>132544340094</t>
        </is>
      </c>
      <c r="B913" t="inlineStr">
        <is>
          <t>TCC</t>
        </is>
      </c>
      <c r="C913" t="inlineStr">
        <is>
          <t>BRYG</t>
        </is>
      </c>
      <c r="D913" s="6" t="n">
        <v>46253</v>
      </c>
      <c r="E913" t="inlineStr">
        <is>
          <t>CR</t>
        </is>
      </c>
      <c r="F913" t="inlineStr">
        <is>
          <t>CZK</t>
        </is>
      </c>
      <c r="G913" s="7" t="n">
        <v>55810138.377</v>
      </c>
      <c r="H913" t="inlineStr">
        <is>
          <t>GBP</t>
        </is>
      </c>
      <c r="I913" s="7" t="n">
        <v>1891963.691</v>
      </c>
      <c r="J913" s="8" t="n">
        <v>46253.56856481481</v>
      </c>
      <c r="K913" t="inlineStr">
        <is>
          <t>CF260819 00907</t>
        </is>
      </c>
      <c r="L913" t="inlineStr">
        <is>
          <t>GL.NOSTRO.CZK.BRYG.008</t>
        </is>
      </c>
      <c r="M913" t="inlineStr">
        <is>
          <t>Nightjar Bank</t>
        </is>
      </c>
      <c r="N913" t="inlineStr">
        <is>
          <t>BRYGMM</t>
        </is>
      </c>
      <c r="O913" t="inlineStr">
        <is>
          <t>NEW</t>
        </is>
      </c>
      <c r="Q913" t="inlineStr">
        <is>
          <t>NETTER</t>
        </is>
      </c>
    </row>
    <row r="914">
      <c r="A914" t="inlineStr">
        <is>
          <t>150316825069</t>
        </is>
      </c>
      <c r="B914" t="inlineStr">
        <is>
          <t>TCP</t>
        </is>
      </c>
      <c r="C914" t="inlineStr">
        <is>
          <t>BRGX</t>
        </is>
      </c>
      <c r="D914" s="6" t="n">
        <v>46253</v>
      </c>
      <c r="E914" t="inlineStr">
        <is>
          <t>CR</t>
        </is>
      </c>
      <c r="F914" t="inlineStr">
        <is>
          <t>GBP</t>
        </is>
      </c>
      <c r="G914" s="7" t="n">
        <v>729351656.251</v>
      </c>
      <c r="H914" t="inlineStr">
        <is>
          <t>GBP</t>
        </is>
      </c>
      <c r="I914" s="7" t="n">
        <v>729351656.251</v>
      </c>
      <c r="J914" s="8" t="n">
        <v>46253.51408564814</v>
      </c>
      <c r="K914" t="inlineStr">
        <is>
          <t>CF260819 00908</t>
        </is>
      </c>
      <c r="L914" t="inlineStr">
        <is>
          <t>GL.NOSTRO.GBP.BRGX.006</t>
        </is>
      </c>
      <c r="M914" t="inlineStr">
        <is>
          <t>Yarrow Clearing</t>
        </is>
      </c>
      <c r="N914" t="inlineStr">
        <is>
          <t>BRGXTRSY</t>
        </is>
      </c>
      <c r="O914" t="inlineStr">
        <is>
          <t>AMEND</t>
        </is>
      </c>
      <c r="P914" t="inlineStr">
        <is>
          <t>NT26081900677</t>
        </is>
      </c>
      <c r="Q914" t="inlineStr">
        <is>
          <t>NETTER</t>
        </is>
      </c>
    </row>
    <row r="915">
      <c r="A915" t="inlineStr">
        <is>
          <t>794226063698</t>
        </is>
      </c>
      <c r="B915" t="inlineStr">
        <is>
          <t>TCP</t>
        </is>
      </c>
      <c r="C915" t="inlineStr">
        <is>
          <t>BRMD</t>
        </is>
      </c>
      <c r="D915" s="6" t="n">
        <v>46253</v>
      </c>
      <c r="E915" t="inlineStr">
        <is>
          <t>DR</t>
        </is>
      </c>
      <c r="F915" t="inlineStr">
        <is>
          <t>AED</t>
        </is>
      </c>
      <c r="G915" s="7" t="n">
        <v>-190069916.249</v>
      </c>
      <c r="H915" t="inlineStr">
        <is>
          <t>GBP</t>
        </is>
      </c>
      <c r="I915" s="7" t="n">
        <v>-40484892.161</v>
      </c>
      <c r="J915" s="8" t="n">
        <v>46253.67856481481</v>
      </c>
      <c r="K915" t="inlineStr">
        <is>
          <t>CF260819 00909</t>
        </is>
      </c>
      <c r="L915" t="inlineStr">
        <is>
          <t>GL.NOSTRO.AED.BRMD.007</t>
        </is>
      </c>
      <c r="M915" t="inlineStr">
        <is>
          <t>Pinehurst Bank</t>
        </is>
      </c>
      <c r="N915" t="inlineStr">
        <is>
          <t>BRMD</t>
        </is>
      </c>
      <c r="O915" t="inlineStr">
        <is>
          <t>NEW</t>
        </is>
      </c>
      <c r="Q915" t="inlineStr">
        <is>
          <t>NETTER</t>
        </is>
      </c>
    </row>
    <row r="916">
      <c r="A916" t="inlineStr">
        <is>
          <t>968942362772</t>
        </is>
      </c>
      <c r="B916" t="inlineStr">
        <is>
          <t>TCX</t>
        </is>
      </c>
      <c r="C916" t="inlineStr">
        <is>
          <t>BRYG</t>
        </is>
      </c>
      <c r="D916" s="6" t="n">
        <v>46253</v>
      </c>
      <c r="E916" t="inlineStr">
        <is>
          <t>CR</t>
        </is>
      </c>
      <c r="F916" t="inlineStr">
        <is>
          <t>EUR</t>
        </is>
      </c>
      <c r="G916" s="7" t="n">
        <v>983787.889</v>
      </c>
      <c r="H916" t="inlineStr">
        <is>
          <t>GBP</t>
        </is>
      </c>
      <c r="I916" s="7" t="n">
        <v>844090.009</v>
      </c>
      <c r="J916" s="8" t="n">
        <v>46253.37532407408</v>
      </c>
      <c r="K916" t="inlineStr">
        <is>
          <t>CF260819 00910</t>
        </is>
      </c>
      <c r="L916" t="inlineStr">
        <is>
          <t>GL.NOSTRO.EUR.BRYG.004</t>
        </is>
      </c>
      <c r="M916" t="inlineStr">
        <is>
          <t>Alder Trust</t>
        </is>
      </c>
      <c r="N916" t="inlineStr">
        <is>
          <t>BRYGCASH</t>
        </is>
      </c>
      <c r="O916" t="inlineStr">
        <is>
          <t>NEW</t>
        </is>
      </c>
      <c r="Q916" t="inlineStr">
        <is>
          <t>GROSS</t>
        </is>
      </c>
    </row>
    <row r="917">
      <c r="A917" t="inlineStr">
        <is>
          <t>794226063698</t>
        </is>
      </c>
      <c r="B917" t="inlineStr">
        <is>
          <t>TCC</t>
        </is>
      </c>
      <c r="C917" t="inlineStr">
        <is>
          <t>BRMD</t>
        </is>
      </c>
      <c r="D917" s="6" t="n">
        <v>46253</v>
      </c>
      <c r="E917" t="inlineStr">
        <is>
          <t>CR</t>
        </is>
      </c>
      <c r="F917" t="inlineStr">
        <is>
          <t>AED</t>
        </is>
      </c>
      <c r="G917" s="7" t="n">
        <v>837103512.405</v>
      </c>
      <c r="H917" t="inlineStr">
        <is>
          <t>GBP</t>
        </is>
      </c>
      <c r="I917" s="7" t="n">
        <v>178303048.142</v>
      </c>
      <c r="J917" s="8" t="n">
        <v>46253.00333333333</v>
      </c>
      <c r="K917" t="inlineStr">
        <is>
          <t>CF260819 00911</t>
        </is>
      </c>
      <c r="L917" t="inlineStr">
        <is>
          <t>GL.NOSTRO.AED.BRMD.001</t>
        </is>
      </c>
      <c r="M917" t="inlineStr">
        <is>
          <t>Vetchling Commercial Bank</t>
        </is>
      </c>
      <c r="N917" t="inlineStr">
        <is>
          <t>BRMD</t>
        </is>
      </c>
      <c r="O917" t="inlineStr">
        <is>
          <t>NEW</t>
        </is>
      </c>
      <c r="Q917" t="inlineStr">
        <is>
          <t>NETTER</t>
        </is>
      </c>
    </row>
    <row r="918">
      <c r="A918" t="inlineStr">
        <is>
          <t>910703979141</t>
        </is>
      </c>
      <c r="B918" t="inlineStr">
        <is>
          <t>TCP</t>
        </is>
      </c>
      <c r="C918" t="inlineStr">
        <is>
          <t>BRCC</t>
        </is>
      </c>
      <c r="D918" s="6" t="n">
        <v>46253</v>
      </c>
      <c r="E918" t="inlineStr">
        <is>
          <t>DR</t>
        </is>
      </c>
      <c r="F918" t="inlineStr">
        <is>
          <t>CHF</t>
        </is>
      </c>
      <c r="G918" s="7" t="n">
        <v>-6195949.051</v>
      </c>
      <c r="H918" t="inlineStr">
        <is>
          <t>GBP</t>
        </is>
      </c>
      <c r="I918" s="7" t="n">
        <v>-5557766.299</v>
      </c>
      <c r="J918" s="8" t="n">
        <v>46253.51097222222</v>
      </c>
      <c r="K918" t="inlineStr">
        <is>
          <t>CF260819 00912</t>
        </is>
      </c>
      <c r="L918" t="inlineStr">
        <is>
          <t>GL.NOSTRO.CHF.BRCC.009</t>
        </is>
      </c>
      <c r="M918" t="inlineStr">
        <is>
          <t>Zephyr Commercial Bank</t>
        </is>
      </c>
      <c r="N918" t="inlineStr">
        <is>
          <t>BRCCTRSY</t>
        </is>
      </c>
      <c r="O918" t="inlineStr">
        <is>
          <t>NEW</t>
        </is>
      </c>
      <c r="P918" t="inlineStr">
        <is>
          <t>NT26081900681</t>
        </is>
      </c>
      <c r="Q918" t="inlineStr">
        <is>
          <t>GROSS</t>
        </is>
      </c>
    </row>
    <row r="919">
      <c r="A919" t="inlineStr">
        <is>
          <t>953625291146</t>
        </is>
      </c>
      <c r="B919" t="inlineStr">
        <is>
          <t>TCP</t>
        </is>
      </c>
      <c r="C919" t="inlineStr">
        <is>
          <t>BRGL</t>
        </is>
      </c>
      <c r="D919" s="6" t="n">
        <v>46253</v>
      </c>
      <c r="E919" t="inlineStr">
        <is>
          <t>DR</t>
        </is>
      </c>
      <c r="F919" t="inlineStr">
        <is>
          <t>USD</t>
        </is>
      </c>
      <c r="G919" s="7" t="n">
        <v>-271677740.548</v>
      </c>
      <c r="H919" t="inlineStr">
        <is>
          <t>GBP</t>
        </is>
      </c>
      <c r="I919" s="7" t="n">
        <v>-212995348.59</v>
      </c>
      <c r="J919" s="8" t="n">
        <v>46253.31842592593</v>
      </c>
      <c r="K919" t="inlineStr">
        <is>
          <t>CF260819 00913</t>
        </is>
      </c>
      <c r="L919" t="inlineStr">
        <is>
          <t>GL.NOSTRO.USD.BRGL.009</t>
        </is>
      </c>
      <c r="M919" t="inlineStr">
        <is>
          <t>Dunlin Bank</t>
        </is>
      </c>
      <c r="N919" t="inlineStr">
        <is>
          <t>BRGLMM</t>
        </is>
      </c>
      <c r="O919" t="inlineStr">
        <is>
          <t>NEW</t>
        </is>
      </c>
      <c r="Q919" t="inlineStr">
        <is>
          <t>NETTER</t>
        </is>
      </c>
    </row>
    <row r="920">
      <c r="A920" t="inlineStr">
        <is>
          <t>910703979141</t>
        </is>
      </c>
      <c r="B920" t="inlineStr">
        <is>
          <t>TCP</t>
        </is>
      </c>
      <c r="C920" t="inlineStr">
        <is>
          <t>BRCC</t>
        </is>
      </c>
      <c r="D920" s="6" t="n">
        <v>46253</v>
      </c>
      <c r="E920" t="inlineStr">
        <is>
          <t>DR</t>
        </is>
      </c>
      <c r="F920" t="inlineStr">
        <is>
          <t>CHF</t>
        </is>
      </c>
      <c r="G920" s="7" t="n">
        <v>-3207392.999</v>
      </c>
      <c r="H920" t="inlineStr">
        <is>
          <t>GBP</t>
        </is>
      </c>
      <c r="I920" s="7" t="n">
        <v>-2877031.52</v>
      </c>
      <c r="J920" s="8" t="n">
        <v>46253.47451388889</v>
      </c>
      <c r="K920" t="inlineStr">
        <is>
          <t>CF260819 00914</t>
        </is>
      </c>
      <c r="L920" t="inlineStr">
        <is>
          <t>GL.NOSTRO.CHF.BRCC.009</t>
        </is>
      </c>
      <c r="M920" t="inlineStr">
        <is>
          <t>Fernway Settlement Bank</t>
        </is>
      </c>
      <c r="N920" t="inlineStr">
        <is>
          <t>BRCCMM</t>
        </is>
      </c>
      <c r="O920" t="inlineStr">
        <is>
          <t>NEW</t>
        </is>
      </c>
      <c r="Q920" t="inlineStr">
        <is>
          <t>NETTER</t>
        </is>
      </c>
    </row>
    <row r="921">
      <c r="A921" t="inlineStr">
        <is>
          <t>284925023085</t>
        </is>
      </c>
      <c r="B921" t="inlineStr">
        <is>
          <t>TCP</t>
        </is>
      </c>
      <c r="C921" t="inlineStr">
        <is>
          <t>BRMD</t>
        </is>
      </c>
      <c r="D921" s="6" t="n">
        <v>46253</v>
      </c>
      <c r="E921" t="inlineStr">
        <is>
          <t>CR</t>
        </is>
      </c>
      <c r="F921" t="inlineStr">
        <is>
          <t>MXN</t>
        </is>
      </c>
      <c r="G921" s="7" t="n">
        <v>9209144.152000001</v>
      </c>
      <c r="H921" t="inlineStr">
        <is>
          <t>GBP</t>
        </is>
      </c>
      <c r="I921" s="7" t="n">
        <v>394151.37</v>
      </c>
      <c r="J921" s="8" t="n">
        <v>46253.64439814815</v>
      </c>
      <c r="K921" t="inlineStr">
        <is>
          <t>CF260819 00915</t>
        </is>
      </c>
      <c r="L921" t="inlineStr">
        <is>
          <t>GL.NOSTRO.MXN.BRMD.004</t>
        </is>
      </c>
      <c r="M921" t="inlineStr">
        <is>
          <t>Sablewood Clearing</t>
        </is>
      </c>
      <c r="N921" t="inlineStr">
        <is>
          <t>BRMDTRSY</t>
        </is>
      </c>
      <c r="O921" t="inlineStr">
        <is>
          <t>NEW</t>
        </is>
      </c>
      <c r="Q921" t="inlineStr">
        <is>
          <t>INTERNAL</t>
        </is>
      </c>
    </row>
    <row r="922">
      <c r="A922" t="inlineStr">
        <is>
          <t>953625291146</t>
        </is>
      </c>
      <c r="B922" t="inlineStr">
        <is>
          <t>TCX</t>
        </is>
      </c>
      <c r="C922" t="inlineStr">
        <is>
          <t>BRGL</t>
        </is>
      </c>
      <c r="D922" s="6" t="n">
        <v>46253</v>
      </c>
      <c r="E922" t="inlineStr">
        <is>
          <t>CR</t>
        </is>
      </c>
      <c r="F922" t="inlineStr">
        <is>
          <t>USD</t>
        </is>
      </c>
      <c r="G922" s="7" t="n">
        <v>319184984.706</v>
      </c>
      <c r="H922" t="inlineStr">
        <is>
          <t>GBP</t>
        </is>
      </c>
      <c r="I922" s="7" t="n">
        <v>250241028.01</v>
      </c>
      <c r="J922" s="8" t="n">
        <v>46253.58346064815</v>
      </c>
      <c r="K922" t="inlineStr">
        <is>
          <t>CF260819 00916</t>
        </is>
      </c>
      <c r="L922" t="inlineStr">
        <is>
          <t>GL.NOSTRO.USD.BRGL.008</t>
        </is>
      </c>
      <c r="M922" t="inlineStr">
        <is>
          <t>Pinehurst Settlement Bank</t>
        </is>
      </c>
      <c r="N922" t="inlineStr">
        <is>
          <t>BRGLCASH</t>
        </is>
      </c>
      <c r="O922" t="inlineStr">
        <is>
          <t>NEW</t>
        </is>
      </c>
      <c r="Q922" t="inlineStr">
        <is>
          <t>NETTER</t>
        </is>
      </c>
    </row>
    <row r="923">
      <c r="A923" t="inlineStr">
        <is>
          <t>468341071172</t>
        </is>
      </c>
      <c r="B923" t="inlineStr">
        <is>
          <t>TCG</t>
        </is>
      </c>
      <c r="C923" t="inlineStr">
        <is>
          <t>BRCC</t>
        </is>
      </c>
      <c r="D923" s="6" t="n">
        <v>46253</v>
      </c>
      <c r="E923" t="inlineStr">
        <is>
          <t>CR</t>
        </is>
      </c>
      <c r="F923" t="inlineStr">
        <is>
          <t>EUR</t>
        </is>
      </c>
      <c r="G923" s="7" t="n">
        <v>908998865.288</v>
      </c>
      <c r="H923" t="inlineStr">
        <is>
          <t>GBP</t>
        </is>
      </c>
      <c r="I923" s="7" t="n">
        <v>779921026.4170001</v>
      </c>
      <c r="J923" s="8" t="n">
        <v>46253.43853009259</v>
      </c>
      <c r="K923" t="inlineStr">
        <is>
          <t>CF260819 00917</t>
        </is>
      </c>
      <c r="L923" t="inlineStr">
        <is>
          <t>GL.NOSTRO.EUR.BRCC.004</t>
        </is>
      </c>
      <c r="M923" t="inlineStr">
        <is>
          <t>Zephyr Bank</t>
        </is>
      </c>
      <c r="N923" t="inlineStr">
        <is>
          <t>BRCC</t>
        </is>
      </c>
      <c r="O923" t="inlineStr">
        <is>
          <t>NEW</t>
        </is>
      </c>
      <c r="P923" t="inlineStr">
        <is>
          <t>NT26081900694</t>
        </is>
      </c>
      <c r="Q923" t="inlineStr">
        <is>
          <t>INTERNAL</t>
        </is>
      </c>
    </row>
    <row r="924">
      <c r="A924" t="inlineStr">
        <is>
          <t>499062838623</t>
        </is>
      </c>
      <c r="B924" t="inlineStr">
        <is>
          <t>TCQ</t>
        </is>
      </c>
      <c r="C924" t="inlineStr">
        <is>
          <t>BRBX</t>
        </is>
      </c>
      <c r="D924" s="6" t="n">
        <v>46253</v>
      </c>
      <c r="E924" t="inlineStr">
        <is>
          <t>CR</t>
        </is>
      </c>
      <c r="F924" t="inlineStr">
        <is>
          <t>USD</t>
        </is>
      </c>
      <c r="G924" s="7" t="n">
        <v>14054908.94</v>
      </c>
      <c r="H924" t="inlineStr">
        <is>
          <t>GBP</t>
        </is>
      </c>
      <c r="I924" s="7" t="n">
        <v>11019048.609</v>
      </c>
      <c r="J924" s="8" t="n">
        <v>46253.32842592592</v>
      </c>
      <c r="K924" t="inlineStr">
        <is>
          <t>CF260819 00918</t>
        </is>
      </c>
      <c r="L924" t="inlineStr">
        <is>
          <t>GL.NOSTRO.USD.BRBX.005</t>
        </is>
      </c>
      <c r="M924" t="inlineStr">
        <is>
          <t>Larkspur Clearing</t>
        </is>
      </c>
      <c r="N924" t="inlineStr">
        <is>
          <t>BRBXMM</t>
        </is>
      </c>
      <c r="O924" t="inlineStr">
        <is>
          <t>NEW</t>
        </is>
      </c>
      <c r="P924" t="inlineStr">
        <is>
          <t>NT26081900666</t>
        </is>
      </c>
      <c r="Q924" t="inlineStr">
        <is>
          <t>NETTER</t>
        </is>
      </c>
    </row>
    <row r="925">
      <c r="A925" t="inlineStr">
        <is>
          <t>910703979141</t>
        </is>
      </c>
      <c r="B925" t="inlineStr">
        <is>
          <t>TCX</t>
        </is>
      </c>
      <c r="C925" t="inlineStr">
        <is>
          <t>BRCC</t>
        </is>
      </c>
      <c r="D925" s="6" t="n">
        <v>46253</v>
      </c>
      <c r="E925" t="inlineStr">
        <is>
          <t>DR</t>
        </is>
      </c>
      <c r="F925" t="inlineStr">
        <is>
          <t>CHF</t>
        </is>
      </c>
      <c r="G925" s="7" t="n">
        <v>-246264311.279</v>
      </c>
      <c r="H925" t="inlineStr">
        <is>
          <t>GBP</t>
        </is>
      </c>
      <c r="I925" s="7" t="n">
        <v>-220899087.217</v>
      </c>
      <c r="J925" s="8" t="n">
        <v>46253.46020833333</v>
      </c>
      <c r="K925" t="inlineStr">
        <is>
          <t>CF260819 00919</t>
        </is>
      </c>
      <c r="L925" t="inlineStr">
        <is>
          <t>GL.NOSTRO.CHF.BRCC.004</t>
        </is>
      </c>
      <c r="M925" t="inlineStr">
        <is>
          <t>Mallow Trust</t>
        </is>
      </c>
      <c r="N925" t="inlineStr">
        <is>
          <t>BRCCCASH</t>
        </is>
      </c>
      <c r="O925" t="inlineStr">
        <is>
          <t>NEW</t>
        </is>
      </c>
      <c r="Q925" t="inlineStr">
        <is>
          <t>GROSS</t>
        </is>
      </c>
    </row>
    <row r="926">
      <c r="A926" t="inlineStr">
        <is>
          <t>284925023085</t>
        </is>
      </c>
      <c r="B926" t="inlineStr">
        <is>
          <t>TCX</t>
        </is>
      </c>
      <c r="C926" t="inlineStr">
        <is>
          <t>BRMD</t>
        </is>
      </c>
      <c r="D926" s="6" t="n">
        <v>46253</v>
      </c>
      <c r="E926" t="inlineStr">
        <is>
          <t>CR</t>
        </is>
      </c>
      <c r="F926" t="inlineStr">
        <is>
          <t>MXN</t>
        </is>
      </c>
      <c r="G926" s="7" t="n">
        <v>760305507.0039999</v>
      </c>
      <c r="H926" t="inlineStr">
        <is>
          <t>GBP</t>
        </is>
      </c>
      <c r="I926" s="7" t="n">
        <v>32541075.7</v>
      </c>
      <c r="J926" s="8" t="n">
        <v>46253.72601851852</v>
      </c>
      <c r="K926" t="inlineStr">
        <is>
          <t>CF260819 00920</t>
        </is>
      </c>
      <c r="L926" t="inlineStr">
        <is>
          <t>GL.NOSTRO.MXN.BRMD.006</t>
        </is>
      </c>
      <c r="M926" t="inlineStr">
        <is>
          <t>Yarrow Bank</t>
        </is>
      </c>
      <c r="N926" t="inlineStr">
        <is>
          <t>BRMDTRSY</t>
        </is>
      </c>
      <c r="O926" t="inlineStr">
        <is>
          <t>NEW</t>
        </is>
      </c>
      <c r="Q926" t="inlineStr">
        <is>
          <t>GROSS</t>
        </is>
      </c>
    </row>
    <row r="927">
      <c r="A927" t="inlineStr">
        <is>
          <t>794226063698</t>
        </is>
      </c>
      <c r="B927" t="inlineStr">
        <is>
          <t>TCG</t>
        </is>
      </c>
      <c r="C927" t="inlineStr">
        <is>
          <t>BRMD</t>
        </is>
      </c>
      <c r="D927" s="6" t="n">
        <v>46253</v>
      </c>
      <c r="E927" t="inlineStr">
        <is>
          <t>DR</t>
        </is>
      </c>
      <c r="F927" t="inlineStr">
        <is>
          <t>AED</t>
        </is>
      </c>
      <c r="G927" s="7" t="n">
        <v>-5467009.094</v>
      </c>
      <c r="H927" t="inlineStr">
        <is>
          <t>GBP</t>
        </is>
      </c>
      <c r="I927" s="7" t="n">
        <v>-1164472.937</v>
      </c>
      <c r="J927" s="8" t="n">
        <v>46253.56012731481</v>
      </c>
      <c r="K927" t="inlineStr">
        <is>
          <t>CF260819 00921</t>
        </is>
      </c>
      <c r="L927" t="inlineStr">
        <is>
          <t>GL.NOSTRO.AED.BRMD.001</t>
        </is>
      </c>
      <c r="M927" t="inlineStr">
        <is>
          <t>Nightjar Trust</t>
        </is>
      </c>
      <c r="N927" t="inlineStr">
        <is>
          <t>BRMD</t>
        </is>
      </c>
      <c r="O927" t="inlineStr">
        <is>
          <t>NEW</t>
        </is>
      </c>
      <c r="Q927" t="inlineStr">
        <is>
          <t>NETTER</t>
        </is>
      </c>
    </row>
    <row r="928">
      <c r="A928" t="inlineStr">
        <is>
          <t>150316825069</t>
        </is>
      </c>
      <c r="B928" t="inlineStr">
        <is>
          <t>TCG</t>
        </is>
      </c>
      <c r="C928" t="inlineStr">
        <is>
          <t>BRGX</t>
        </is>
      </c>
      <c r="D928" s="6" t="n">
        <v>46253</v>
      </c>
      <c r="E928" t="inlineStr">
        <is>
          <t>CR</t>
        </is>
      </c>
      <c r="F928" t="inlineStr">
        <is>
          <t>GBP</t>
        </is>
      </c>
      <c r="G928" s="7" t="n">
        <v>426370217.593</v>
      </c>
      <c r="H928" t="inlineStr">
        <is>
          <t>GBP</t>
        </is>
      </c>
      <c r="I928" s="7" t="n">
        <v>426370217.593</v>
      </c>
      <c r="J928" s="8" t="n">
        <v>46253.40041666666</v>
      </c>
      <c r="K928" t="inlineStr">
        <is>
          <t>CF260819 00922</t>
        </is>
      </c>
      <c r="L928" t="inlineStr">
        <is>
          <t>GL.NOSTRO.GBP.BRGX.001</t>
        </is>
      </c>
      <c r="M928" t="inlineStr">
        <is>
          <t>Alder Clearing</t>
        </is>
      </c>
      <c r="N928" t="inlineStr">
        <is>
          <t>BRGX</t>
        </is>
      </c>
      <c r="O928" t="inlineStr">
        <is>
          <t>NEW</t>
        </is>
      </c>
      <c r="Q928" t="inlineStr">
        <is>
          <t>GROSS</t>
        </is>
      </c>
    </row>
    <row r="929">
      <c r="A929" t="inlineStr">
        <is>
          <t>132544340094</t>
        </is>
      </c>
      <c r="B929" t="inlineStr">
        <is>
          <t>TCP</t>
        </is>
      </c>
      <c r="C929" t="inlineStr">
        <is>
          <t>BRYG</t>
        </is>
      </c>
      <c r="D929" s="6" t="n">
        <v>46253</v>
      </c>
      <c r="E929" t="inlineStr">
        <is>
          <t>CR</t>
        </is>
      </c>
      <c r="F929" t="inlineStr">
        <is>
          <t>CZK</t>
        </is>
      </c>
      <c r="G929" s="7" t="n">
        <v>1358383.827</v>
      </c>
      <c r="H929" t="inlineStr">
        <is>
          <t>GBP</t>
        </is>
      </c>
      <c r="I929" s="7" t="n">
        <v>46049.212</v>
      </c>
      <c r="J929" s="8" t="n">
        <v>46253.51724537037</v>
      </c>
      <c r="K929" t="inlineStr">
        <is>
          <t>CF260819 00923</t>
        </is>
      </c>
      <c r="L929" t="inlineStr">
        <is>
          <t>GL.NOSTRO.CZK.BRYG.009</t>
        </is>
      </c>
      <c r="M929" t="inlineStr">
        <is>
          <t>Sablewood Clearing</t>
        </is>
      </c>
      <c r="N929" t="inlineStr">
        <is>
          <t>BRYG</t>
        </is>
      </c>
      <c r="O929" t="inlineStr">
        <is>
          <t>NEW</t>
        </is>
      </c>
      <c r="Q929" t="inlineStr">
        <is>
          <t>NETTER</t>
        </is>
      </c>
    </row>
    <row r="930">
      <c r="A930" t="inlineStr">
        <is>
          <t>150316825069</t>
        </is>
      </c>
      <c r="B930" t="inlineStr">
        <is>
          <t>TCC</t>
        </is>
      </c>
      <c r="C930" t="inlineStr">
        <is>
          <t>BRGX</t>
        </is>
      </c>
      <c r="D930" s="6" t="n">
        <v>46253</v>
      </c>
      <c r="E930" t="inlineStr">
        <is>
          <t>CR</t>
        </is>
      </c>
      <c r="F930" t="inlineStr">
        <is>
          <t>GBP</t>
        </is>
      </c>
      <c r="G930" s="7" t="n">
        <v>12684775.897</v>
      </c>
      <c r="H930" t="inlineStr">
        <is>
          <t>GBP</t>
        </is>
      </c>
      <c r="I930" s="7" t="n">
        <v>12684775.897</v>
      </c>
      <c r="J930" s="8" t="n">
        <v>46253.64488425926</v>
      </c>
      <c r="K930" t="inlineStr">
        <is>
          <t>CF260819 00924</t>
        </is>
      </c>
      <c r="L930" t="inlineStr">
        <is>
          <t>GL.NOSTRO.GBP.BRGX.003</t>
        </is>
      </c>
      <c r="M930" t="inlineStr">
        <is>
          <t>Granite Bank</t>
        </is>
      </c>
      <c r="N930" t="inlineStr">
        <is>
          <t>BRGXTRSY</t>
        </is>
      </c>
      <c r="O930" t="inlineStr">
        <is>
          <t>AMEND</t>
        </is>
      </c>
      <c r="Q930" t="inlineStr">
        <is>
          <t>NETTER</t>
        </is>
      </c>
    </row>
    <row r="931">
      <c r="A931" t="inlineStr">
        <is>
          <t>132544340094</t>
        </is>
      </c>
      <c r="B931" t="inlineStr">
        <is>
          <t>TCX</t>
        </is>
      </c>
      <c r="C931" t="inlineStr">
        <is>
          <t>BRYG</t>
        </is>
      </c>
      <c r="D931" s="6" t="n">
        <v>46253</v>
      </c>
      <c r="E931" t="inlineStr">
        <is>
          <t>CR</t>
        </is>
      </c>
      <c r="F931" t="inlineStr">
        <is>
          <t>CZK</t>
        </is>
      </c>
      <c r="G931" s="7" t="n">
        <v>4989511.012</v>
      </c>
      <c r="H931" t="inlineStr">
        <is>
          <t>GBP</t>
        </is>
      </c>
      <c r="I931" s="7" t="n">
        <v>169144.423</v>
      </c>
      <c r="J931" s="8" t="n">
        <v>46253.30792824074</v>
      </c>
      <c r="K931" t="inlineStr">
        <is>
          <t>CF260819 00925</t>
        </is>
      </c>
      <c r="L931" t="inlineStr">
        <is>
          <t>GL.NOSTRO.CZK.BRYG.006</t>
        </is>
      </c>
      <c r="M931" t="inlineStr">
        <is>
          <t>Granite Bank</t>
        </is>
      </c>
      <c r="N931" t="inlineStr">
        <is>
          <t>BRYG</t>
        </is>
      </c>
      <c r="O931" t="inlineStr">
        <is>
          <t>NEW</t>
        </is>
      </c>
      <c r="Q931" t="inlineStr">
        <is>
          <t>GROSS</t>
        </is>
      </c>
    </row>
    <row r="932">
      <c r="A932" t="inlineStr">
        <is>
          <t>468341071172</t>
        </is>
      </c>
      <c r="B932" t="inlineStr">
        <is>
          <t>TCQ</t>
        </is>
      </c>
      <c r="C932" t="inlineStr">
        <is>
          <t>BRCC</t>
        </is>
      </c>
      <c r="D932" s="6" t="n">
        <v>46253</v>
      </c>
      <c r="E932" t="inlineStr">
        <is>
          <t>CR</t>
        </is>
      </c>
      <c r="F932" t="inlineStr">
        <is>
          <t>EUR</t>
        </is>
      </c>
      <c r="G932" s="7" t="n">
        <v>124581433.724</v>
      </c>
      <c r="H932" t="inlineStr">
        <is>
          <t>GBP</t>
        </is>
      </c>
      <c r="I932" s="7" t="n">
        <v>106890870.135</v>
      </c>
      <c r="J932" s="8" t="n">
        <v>46253.44172453704</v>
      </c>
      <c r="K932" t="inlineStr">
        <is>
          <t>CF260819 00926</t>
        </is>
      </c>
      <c r="L932" t="inlineStr">
        <is>
          <t>GL.NOSTRO.EUR.BRCC.002</t>
        </is>
      </c>
      <c r="M932" t="inlineStr">
        <is>
          <t>Granite Bank</t>
        </is>
      </c>
      <c r="N932" t="inlineStr">
        <is>
          <t>BRCCCASH</t>
        </is>
      </c>
      <c r="O932" t="inlineStr">
        <is>
          <t>NEW</t>
        </is>
      </c>
      <c r="Q932" t="inlineStr">
        <is>
          <t>NETTER</t>
        </is>
      </c>
    </row>
    <row r="933">
      <c r="A933" t="inlineStr">
        <is>
          <t>499062838623</t>
        </is>
      </c>
      <c r="B933" t="inlineStr">
        <is>
          <t>TCQ</t>
        </is>
      </c>
      <c r="C933" t="inlineStr">
        <is>
          <t>BRBX</t>
        </is>
      </c>
      <c r="D933" s="6" t="n">
        <v>46253</v>
      </c>
      <c r="E933" t="inlineStr">
        <is>
          <t>DR</t>
        </is>
      </c>
      <c r="F933" t="inlineStr">
        <is>
          <t>USD</t>
        </is>
      </c>
      <c r="G933" s="7" t="n">
        <v>-5618166.865</v>
      </c>
      <c r="H933" t="inlineStr">
        <is>
          <t>GBP</t>
        </is>
      </c>
      <c r="I933" s="7" t="n">
        <v>-4404642.822</v>
      </c>
      <c r="J933" s="8" t="n">
        <v>46253.70900462963</v>
      </c>
      <c r="K933" t="inlineStr">
        <is>
          <t>CF260819 00927</t>
        </is>
      </c>
      <c r="L933" t="inlineStr">
        <is>
          <t>GL.NOSTRO.USD.BRBX.004</t>
        </is>
      </c>
      <c r="M933" t="inlineStr">
        <is>
          <t>Dunlin Trust</t>
        </is>
      </c>
      <c r="N933" t="inlineStr">
        <is>
          <t>BRBXTRSY</t>
        </is>
      </c>
      <c r="O933" t="inlineStr">
        <is>
          <t>NEW</t>
        </is>
      </c>
      <c r="Q933" t="inlineStr">
        <is>
          <t>NETTER</t>
        </is>
      </c>
    </row>
    <row r="934">
      <c r="A934" t="inlineStr">
        <is>
          <t>953625291146</t>
        </is>
      </c>
      <c r="B934" t="inlineStr">
        <is>
          <t>TCP</t>
        </is>
      </c>
      <c r="C934" t="inlineStr">
        <is>
          <t>BRGL</t>
        </is>
      </c>
      <c r="D934" s="6" t="n">
        <v>46253</v>
      </c>
      <c r="E934" t="inlineStr">
        <is>
          <t>DR</t>
        </is>
      </c>
      <c r="F934" t="inlineStr">
        <is>
          <t>USD</t>
        </is>
      </c>
      <c r="G934" s="7" t="n">
        <v>-190131993.302</v>
      </c>
      <c r="H934" t="inlineStr">
        <is>
          <t>GBP</t>
        </is>
      </c>
      <c r="I934" s="7" t="n">
        <v>-149063482.749</v>
      </c>
      <c r="J934" s="8" t="n">
        <v>46253.25440972222</v>
      </c>
      <c r="K934" t="inlineStr">
        <is>
          <t>CF260819 00928</t>
        </is>
      </c>
      <c r="L934" t="inlineStr">
        <is>
          <t>GL.NOSTRO.USD.BRGL.006</t>
        </is>
      </c>
      <c r="M934" t="inlineStr">
        <is>
          <t>Juniper Bank</t>
        </is>
      </c>
      <c r="N934" t="inlineStr">
        <is>
          <t>BRGLMM</t>
        </is>
      </c>
      <c r="O934" t="inlineStr">
        <is>
          <t>NEW</t>
        </is>
      </c>
      <c r="P934" t="inlineStr">
        <is>
          <t>NT26081900684</t>
        </is>
      </c>
      <c r="Q934" t="inlineStr">
        <is>
          <t>NETTER</t>
        </is>
      </c>
    </row>
    <row r="935">
      <c r="A935" t="inlineStr">
        <is>
          <t>968942362772</t>
        </is>
      </c>
      <c r="B935" t="inlineStr">
        <is>
          <t>TCX</t>
        </is>
      </c>
      <c r="C935" t="inlineStr">
        <is>
          <t>BRYG</t>
        </is>
      </c>
      <c r="D935" s="6" t="n">
        <v>46253</v>
      </c>
      <c r="E935" t="inlineStr">
        <is>
          <t>CR</t>
        </is>
      </c>
      <c r="F935" t="inlineStr">
        <is>
          <t>EUR</t>
        </is>
      </c>
      <c r="G935" s="7" t="n">
        <v>25557722.349</v>
      </c>
      <c r="H935" t="inlineStr">
        <is>
          <t>GBP</t>
        </is>
      </c>
      <c r="I935" s="7" t="n">
        <v>21928525.775</v>
      </c>
      <c r="J935" s="8" t="n">
        <v>46253.59104166667</v>
      </c>
      <c r="K935" t="inlineStr">
        <is>
          <t>CF260819 00929</t>
        </is>
      </c>
      <c r="L935" t="inlineStr">
        <is>
          <t>GL.NOSTRO.EUR.BRYG.002</t>
        </is>
      </c>
      <c r="M935" t="inlineStr">
        <is>
          <t>Pinehurst Bank</t>
        </is>
      </c>
      <c r="N935" t="inlineStr">
        <is>
          <t>BRYGCASH</t>
        </is>
      </c>
      <c r="O935" t="inlineStr">
        <is>
          <t>NEW</t>
        </is>
      </c>
      <c r="Q935" t="inlineStr">
        <is>
          <t>GROSS</t>
        </is>
      </c>
    </row>
    <row r="936">
      <c r="A936" t="inlineStr">
        <is>
          <t>898317028833</t>
        </is>
      </c>
      <c r="B936" t="inlineStr">
        <is>
          <t>TCQ</t>
        </is>
      </c>
      <c r="C936" t="inlineStr">
        <is>
          <t>BRAA</t>
        </is>
      </c>
      <c r="D936" s="6" t="n">
        <v>46253</v>
      </c>
      <c r="E936" t="inlineStr">
        <is>
          <t>CR</t>
        </is>
      </c>
      <c r="F936" t="inlineStr">
        <is>
          <t>GBP</t>
        </is>
      </c>
      <c r="G936" s="7" t="n">
        <v>18335494.116</v>
      </c>
      <c r="H936" t="inlineStr">
        <is>
          <t>GBP</t>
        </is>
      </c>
      <c r="I936" s="7" t="n">
        <v>18335494.116</v>
      </c>
      <c r="J936" s="8" t="n">
        <v>46253.43476851852</v>
      </c>
      <c r="K936" t="inlineStr">
        <is>
          <t>CF260819 00930</t>
        </is>
      </c>
      <c r="L936" t="inlineStr">
        <is>
          <t>GL.NOSTRO.GBP.BRAA.007</t>
        </is>
      </c>
      <c r="M936" t="inlineStr">
        <is>
          <t>Redstart Trust</t>
        </is>
      </c>
      <c r="N936" t="inlineStr">
        <is>
          <t>BRAAMM</t>
        </is>
      </c>
      <c r="O936" t="inlineStr">
        <is>
          <t>NEW</t>
        </is>
      </c>
      <c r="P936" t="inlineStr">
        <is>
          <t>NT26081900685</t>
        </is>
      </c>
      <c r="Q936" t="inlineStr">
        <is>
          <t>GROSS</t>
        </is>
      </c>
    </row>
    <row r="937">
      <c r="A937" t="inlineStr">
        <is>
          <t>968942362772</t>
        </is>
      </c>
      <c r="B937" t="inlineStr">
        <is>
          <t>TCG</t>
        </is>
      </c>
      <c r="C937" t="inlineStr">
        <is>
          <t>BRYG</t>
        </is>
      </c>
      <c r="D937" s="6" t="n">
        <v>46253</v>
      </c>
      <c r="E937" t="inlineStr">
        <is>
          <t>DR</t>
        </is>
      </c>
      <c r="F937" t="inlineStr">
        <is>
          <t>EUR</t>
        </is>
      </c>
      <c r="G937" s="7" t="n">
        <v>-3549774.375</v>
      </c>
      <c r="H937" t="inlineStr">
        <is>
          <t>GBP</t>
        </is>
      </c>
      <c r="I937" s="7" t="n">
        <v>-3045706.414</v>
      </c>
      <c r="J937" s="8" t="n">
        <v>46253.73884259259</v>
      </c>
      <c r="K937" t="inlineStr">
        <is>
          <t>CF260819 00931</t>
        </is>
      </c>
      <c r="L937" t="inlineStr">
        <is>
          <t>GL.NOSTRO.EUR.BRYG.001</t>
        </is>
      </c>
      <c r="M937" t="inlineStr">
        <is>
          <t>Pinehurst Clearing</t>
        </is>
      </c>
      <c r="N937" t="inlineStr">
        <is>
          <t>BRYGMM</t>
        </is>
      </c>
      <c r="O937" t="inlineStr">
        <is>
          <t>NEW</t>
        </is>
      </c>
      <c r="P937" t="inlineStr">
        <is>
          <t>NT26081900677</t>
        </is>
      </c>
      <c r="Q937" t="inlineStr">
        <is>
          <t>GROSS</t>
        </is>
      </c>
    </row>
    <row r="938">
      <c r="A938" t="inlineStr">
        <is>
          <t>359365220160</t>
        </is>
      </c>
      <c r="B938" t="inlineStr">
        <is>
          <t>TCC</t>
        </is>
      </c>
      <c r="C938" t="inlineStr">
        <is>
          <t>BRGX</t>
        </is>
      </c>
      <c r="D938" s="6" t="n">
        <v>46253</v>
      </c>
      <c r="E938" t="inlineStr">
        <is>
          <t>DR</t>
        </is>
      </c>
      <c r="F938" t="inlineStr">
        <is>
          <t>EUR</t>
        </is>
      </c>
      <c r="G938" s="7" t="n">
        <v>-51660.144</v>
      </c>
      <c r="H938" t="inlineStr">
        <is>
          <t>GBP</t>
        </is>
      </c>
      <c r="I938" s="7" t="n">
        <v>-44324.404</v>
      </c>
      <c r="J938" s="8" t="n">
        <v>46253.6316087963</v>
      </c>
      <c r="K938" t="inlineStr">
        <is>
          <t>CF260819 00932</t>
        </is>
      </c>
      <c r="L938" t="inlineStr">
        <is>
          <t>GL.NOSTRO.EUR.BRGX.004</t>
        </is>
      </c>
      <c r="M938" t="inlineStr">
        <is>
          <t>Mallow Commercial Bank</t>
        </is>
      </c>
      <c r="N938" t="inlineStr">
        <is>
          <t>BRGXMM</t>
        </is>
      </c>
      <c r="O938" t="inlineStr">
        <is>
          <t>NEW</t>
        </is>
      </c>
      <c r="P938" t="inlineStr">
        <is>
          <t>NT26081900675</t>
        </is>
      </c>
      <c r="Q938" t="inlineStr">
        <is>
          <t>NETTER</t>
        </is>
      </c>
    </row>
    <row r="939">
      <c r="A939" t="inlineStr">
        <is>
          <t>150316825069</t>
        </is>
      </c>
      <c r="B939" t="inlineStr">
        <is>
          <t>TCC</t>
        </is>
      </c>
      <c r="C939" t="inlineStr">
        <is>
          <t>BRGX</t>
        </is>
      </c>
      <c r="D939" s="6" t="n">
        <v>46253</v>
      </c>
      <c r="E939" t="inlineStr">
        <is>
          <t>DR</t>
        </is>
      </c>
      <c r="F939" t="inlineStr">
        <is>
          <t>GBP</t>
        </is>
      </c>
      <c r="G939" s="7" t="n">
        <v>-6569087.968</v>
      </c>
      <c r="H939" t="inlineStr">
        <is>
          <t>GBP</t>
        </is>
      </c>
      <c r="I939" s="7" t="n">
        <v>-6569087.968</v>
      </c>
      <c r="J939" s="8" t="n">
        <v>46253.38684027778</v>
      </c>
      <c r="K939" t="inlineStr">
        <is>
          <t>CF260819 00933</t>
        </is>
      </c>
      <c r="L939" t="inlineStr">
        <is>
          <t>GL.NOSTRO.GBP.BRGX.006</t>
        </is>
      </c>
      <c r="M939" t="inlineStr">
        <is>
          <t>Yarrow Bank</t>
        </is>
      </c>
      <c r="N939" t="inlineStr">
        <is>
          <t>BRGXTRSY</t>
        </is>
      </c>
      <c r="O939" t="inlineStr">
        <is>
          <t>NEW</t>
        </is>
      </c>
      <c r="P939" t="inlineStr">
        <is>
          <t>NT26081900665</t>
        </is>
      </c>
      <c r="Q939" t="inlineStr">
        <is>
          <t>NETTER</t>
        </is>
      </c>
    </row>
    <row r="940">
      <c r="A940" t="inlineStr">
        <is>
          <t>132544340094</t>
        </is>
      </c>
      <c r="B940" t="inlineStr">
        <is>
          <t>TCC</t>
        </is>
      </c>
      <c r="C940" t="inlineStr">
        <is>
          <t>BRYG</t>
        </is>
      </c>
      <c r="D940" s="6" t="n">
        <v>46253</v>
      </c>
      <c r="E940" t="inlineStr">
        <is>
          <t>DR</t>
        </is>
      </c>
      <c r="F940" t="inlineStr">
        <is>
          <t>CZK</t>
        </is>
      </c>
      <c r="G940" s="7" t="n">
        <v>-768330619.382</v>
      </c>
      <c r="H940" t="inlineStr">
        <is>
          <t>GBP</t>
        </is>
      </c>
      <c r="I940" s="7" t="n">
        <v>-26046407.997</v>
      </c>
      <c r="J940" s="8" t="n">
        <v>46253.44402777778</v>
      </c>
      <c r="K940" t="inlineStr">
        <is>
          <t>CF260819 00934</t>
        </is>
      </c>
      <c r="L940" t="inlineStr">
        <is>
          <t>GL.NOSTRO.CZK.BRYG.001</t>
        </is>
      </c>
      <c r="M940" t="inlineStr">
        <is>
          <t>Wrenfield Settlement Bank</t>
        </is>
      </c>
      <c r="N940" t="inlineStr">
        <is>
          <t>BRYGTRSY</t>
        </is>
      </c>
      <c r="O940" t="inlineStr">
        <is>
          <t>NEW</t>
        </is>
      </c>
      <c r="Q940" t="inlineStr">
        <is>
          <t>NETTER</t>
        </is>
      </c>
    </row>
    <row r="941">
      <c r="A941" t="inlineStr">
        <is>
          <t>794226063698</t>
        </is>
      </c>
      <c r="B941" t="inlineStr">
        <is>
          <t>TCP</t>
        </is>
      </c>
      <c r="C941" t="inlineStr">
        <is>
          <t>BRMD</t>
        </is>
      </c>
      <c r="D941" s="6" t="n">
        <v>46253</v>
      </c>
      <c r="E941" t="inlineStr">
        <is>
          <t>CR</t>
        </is>
      </c>
      <c r="F941" t="inlineStr">
        <is>
          <t>AED</t>
        </is>
      </c>
      <c r="G941" s="7" t="n">
        <v>64347958.37</v>
      </c>
      <c r="H941" t="inlineStr">
        <is>
          <t>GBP</t>
        </is>
      </c>
      <c r="I941" s="7" t="n">
        <v>13706115.133</v>
      </c>
      <c r="J941" s="8" t="n">
        <v>46253.75918981482</v>
      </c>
      <c r="K941" t="inlineStr">
        <is>
          <t>CF260819 00935</t>
        </is>
      </c>
      <c r="L941" t="inlineStr">
        <is>
          <t>GL.NOSTRO.AED.BRMD.001</t>
        </is>
      </c>
      <c r="M941" t="inlineStr">
        <is>
          <t>Nightjar Bank</t>
        </is>
      </c>
      <c r="N941" t="inlineStr">
        <is>
          <t>BRMD</t>
        </is>
      </c>
      <c r="O941" t="inlineStr">
        <is>
          <t>NEW</t>
        </is>
      </c>
      <c r="P941" t="inlineStr">
        <is>
          <t>NT26081900677</t>
        </is>
      </c>
      <c r="Q941" t="inlineStr">
        <is>
          <t>NETTER</t>
        </is>
      </c>
    </row>
    <row r="942">
      <c r="A942" t="inlineStr">
        <is>
          <t>499062838623</t>
        </is>
      </c>
      <c r="B942" t="inlineStr">
        <is>
          <t>TCP</t>
        </is>
      </c>
      <c r="C942" t="inlineStr">
        <is>
          <t>BRBX</t>
        </is>
      </c>
      <c r="D942" s="6" t="n">
        <v>46253</v>
      </c>
      <c r="E942" t="inlineStr">
        <is>
          <t>CR</t>
        </is>
      </c>
      <c r="F942" t="inlineStr">
        <is>
          <t>USD</t>
        </is>
      </c>
      <c r="G942" s="7" t="n">
        <v>1156647240.052</v>
      </c>
      <c r="H942" t="inlineStr">
        <is>
          <t>GBP</t>
        </is>
      </c>
      <c r="I942" s="7" t="n">
        <v>906811436.201</v>
      </c>
      <c r="J942" s="8" t="n">
        <v>46253.255625</v>
      </c>
      <c r="K942" t="inlineStr">
        <is>
          <t>CF260819 00936</t>
        </is>
      </c>
      <c r="L942" t="inlineStr">
        <is>
          <t>GL.NOSTRO.USD.BRBX.004</t>
        </is>
      </c>
      <c r="M942" t="inlineStr">
        <is>
          <t>Elmwood Clearing</t>
        </is>
      </c>
      <c r="N942" t="inlineStr">
        <is>
          <t>BRBXCASH</t>
        </is>
      </c>
      <c r="O942" t="inlineStr">
        <is>
          <t>NEW</t>
        </is>
      </c>
      <c r="Q942" t="inlineStr">
        <is>
          <t>NETTER</t>
        </is>
      </c>
    </row>
    <row r="943">
      <c r="A943" t="inlineStr">
        <is>
          <t>359365220160</t>
        </is>
      </c>
      <c r="B943" t="inlineStr">
        <is>
          <t>TCC</t>
        </is>
      </c>
      <c r="C943" t="inlineStr">
        <is>
          <t>BRGX</t>
        </is>
      </c>
      <c r="D943" s="6" t="n">
        <v>46253</v>
      </c>
      <c r="E943" t="inlineStr">
        <is>
          <t>CR</t>
        </is>
      </c>
      <c r="F943" t="inlineStr">
        <is>
          <t>EUR</t>
        </is>
      </c>
      <c r="G943" s="7" t="n">
        <v>26290631.697</v>
      </c>
      <c r="H943" t="inlineStr">
        <is>
          <t>GBP</t>
        </is>
      </c>
      <c r="I943" s="7" t="n">
        <v>22557361.996</v>
      </c>
      <c r="J943" s="8" t="n">
        <v>46253.60974537037</v>
      </c>
      <c r="K943" t="inlineStr">
        <is>
          <t>CF260819 00937</t>
        </is>
      </c>
      <c r="L943" t="inlineStr">
        <is>
          <t>GL.NOSTRO.EUR.BRGX.009</t>
        </is>
      </c>
      <c r="M943" t="inlineStr">
        <is>
          <t>Dunlin Clearing</t>
        </is>
      </c>
      <c r="N943" t="inlineStr">
        <is>
          <t>BRGXMM</t>
        </is>
      </c>
      <c r="O943" t="inlineStr">
        <is>
          <t>NEW</t>
        </is>
      </c>
      <c r="Q943" t="inlineStr">
        <is>
          <t>GROSS</t>
        </is>
      </c>
    </row>
    <row r="944">
      <c r="A944" t="inlineStr">
        <is>
          <t>171857983160</t>
        </is>
      </c>
      <c r="B944" t="inlineStr">
        <is>
          <t>TCC</t>
        </is>
      </c>
      <c r="C944" t="inlineStr">
        <is>
          <t>BRBX</t>
        </is>
      </c>
      <c r="D944" s="6" t="n">
        <v>46253</v>
      </c>
      <c r="E944" t="inlineStr">
        <is>
          <t>CR</t>
        </is>
      </c>
      <c r="F944" t="inlineStr">
        <is>
          <t>AUD</t>
        </is>
      </c>
      <c r="G944" s="7" t="n">
        <v>4773278.708</v>
      </c>
      <c r="H944" t="inlineStr">
        <is>
          <t>GBP</t>
        </is>
      </c>
      <c r="I944" s="7" t="n">
        <v>2448691.977</v>
      </c>
      <c r="J944" s="8" t="n">
        <v>46253.4800925926</v>
      </c>
      <c r="K944" t="inlineStr">
        <is>
          <t>CF260819 00938</t>
        </is>
      </c>
      <c r="L944" t="inlineStr">
        <is>
          <t>GL.NOSTRO.AUD.BRBX.003</t>
        </is>
      </c>
      <c r="M944" t="inlineStr">
        <is>
          <t>Pinehurst Settlement Bank</t>
        </is>
      </c>
      <c r="N944" t="inlineStr">
        <is>
          <t>BRBXMM</t>
        </is>
      </c>
      <c r="O944" t="inlineStr">
        <is>
          <t>NEW</t>
        </is>
      </c>
      <c r="P944" t="inlineStr">
        <is>
          <t>NT26081900661</t>
        </is>
      </c>
      <c r="Q944" t="inlineStr">
        <is>
          <t>GROSS</t>
        </is>
      </c>
    </row>
    <row r="945">
      <c r="A945" t="inlineStr">
        <is>
          <t>132544340094</t>
        </is>
      </c>
      <c r="B945" t="inlineStr">
        <is>
          <t>TCX</t>
        </is>
      </c>
      <c r="C945" t="inlineStr">
        <is>
          <t>BRYG</t>
        </is>
      </c>
      <c r="D945" s="6" t="n">
        <v>46253</v>
      </c>
      <c r="E945" t="inlineStr">
        <is>
          <t>DR</t>
        </is>
      </c>
      <c r="F945" t="inlineStr">
        <is>
          <t>CZK</t>
        </is>
      </c>
      <c r="G945" s="7" t="n">
        <v>-6010501.513</v>
      </c>
      <c r="H945" t="inlineStr">
        <is>
          <t>GBP</t>
        </is>
      </c>
      <c r="I945" s="7" t="n">
        <v>-203756.001</v>
      </c>
      <c r="J945" s="8" t="n">
        <v>46253.4047337963</v>
      </c>
      <c r="K945" t="inlineStr">
        <is>
          <t>CF260819 00939</t>
        </is>
      </c>
      <c r="L945" t="inlineStr">
        <is>
          <t>GL.NOSTRO.CZK.BRYG.001</t>
        </is>
      </c>
      <c r="M945" t="inlineStr">
        <is>
          <t>Juniper Bank</t>
        </is>
      </c>
      <c r="N945" t="inlineStr">
        <is>
          <t>BRYGCASH</t>
        </is>
      </c>
      <c r="O945" t="inlineStr">
        <is>
          <t>NEW</t>
        </is>
      </c>
      <c r="P945" t="inlineStr">
        <is>
          <t>NT26081900658</t>
        </is>
      </c>
      <c r="Q945" t="inlineStr">
        <is>
          <t>NETTER</t>
        </is>
      </c>
    </row>
    <row r="946">
      <c r="A946" t="inlineStr">
        <is>
          <t>968942362772</t>
        </is>
      </c>
      <c r="B946" t="inlineStr">
        <is>
          <t>TCX</t>
        </is>
      </c>
      <c r="C946" t="inlineStr">
        <is>
          <t>BRYG</t>
        </is>
      </c>
      <c r="D946" s="6" t="n">
        <v>46253</v>
      </c>
      <c r="E946" t="inlineStr">
        <is>
          <t>CR</t>
        </is>
      </c>
      <c r="F946" t="inlineStr">
        <is>
          <t>EUR</t>
        </is>
      </c>
      <c r="G946" s="7" t="n">
        <v>16664321.382</v>
      </c>
      <c r="H946" t="inlineStr">
        <is>
          <t>GBP</t>
        </is>
      </c>
      <c r="I946" s="7" t="n">
        <v>14297987.746</v>
      </c>
      <c r="J946" s="8" t="n">
        <v>46253.29096064815</v>
      </c>
      <c r="K946" t="inlineStr">
        <is>
          <t>CF260819 00940</t>
        </is>
      </c>
      <c r="L946" t="inlineStr">
        <is>
          <t>GL.NOSTRO.EUR.BRYG.004</t>
        </is>
      </c>
      <c r="M946" t="inlineStr">
        <is>
          <t>Alder Clearing</t>
        </is>
      </c>
      <c r="N946" t="inlineStr">
        <is>
          <t>BRYGCASH</t>
        </is>
      </c>
      <c r="O946" t="inlineStr">
        <is>
          <t>NEW</t>
        </is>
      </c>
      <c r="Q946" t="inlineStr">
        <is>
          <t>GROSS</t>
        </is>
      </c>
    </row>
    <row r="947">
      <c r="A947" t="inlineStr">
        <is>
          <t>953625291146</t>
        </is>
      </c>
      <c r="B947" t="inlineStr">
        <is>
          <t>TCC</t>
        </is>
      </c>
      <c r="C947" t="inlineStr">
        <is>
          <t>BRGL</t>
        </is>
      </c>
      <c r="D947" s="6" t="n">
        <v>46253</v>
      </c>
      <c r="E947" t="inlineStr">
        <is>
          <t>CR</t>
        </is>
      </c>
      <c r="F947" t="inlineStr">
        <is>
          <t>USD</t>
        </is>
      </c>
      <c r="G947" s="7" t="n">
        <v>287119365.538</v>
      </c>
      <c r="H947" t="inlineStr">
        <is>
          <t>GBP</t>
        </is>
      </c>
      <c r="I947" s="7" t="n">
        <v>225101582.582</v>
      </c>
      <c r="J947" s="8" t="n">
        <v>46253.13662037037</v>
      </c>
      <c r="K947" t="inlineStr">
        <is>
          <t>CF260819 00941</t>
        </is>
      </c>
      <c r="L947" t="inlineStr">
        <is>
          <t>GL.NOSTRO.USD.BRGL.004</t>
        </is>
      </c>
      <c r="M947" t="inlineStr">
        <is>
          <t>Umberton Commercial Bank</t>
        </is>
      </c>
      <c r="N947" t="inlineStr">
        <is>
          <t>BRGLCASH</t>
        </is>
      </c>
      <c r="O947" t="inlineStr">
        <is>
          <t>NEW</t>
        </is>
      </c>
      <c r="P947" t="inlineStr">
        <is>
          <t>NT26081900676</t>
        </is>
      </c>
      <c r="Q947" t="inlineStr">
        <is>
          <t>NETTER</t>
        </is>
      </c>
    </row>
    <row r="948">
      <c r="A948" t="inlineStr">
        <is>
          <t>621381112674</t>
        </is>
      </c>
      <c r="B948" t="inlineStr">
        <is>
          <t>TCP</t>
        </is>
      </c>
      <c r="C948" t="inlineStr">
        <is>
          <t>BRAA</t>
        </is>
      </c>
      <c r="D948" s="6" t="n">
        <v>46253</v>
      </c>
      <c r="E948" t="inlineStr">
        <is>
          <t>DR</t>
        </is>
      </c>
      <c r="F948" t="inlineStr">
        <is>
          <t>PLN</t>
        </is>
      </c>
      <c r="G948" s="7" t="n">
        <v>-16867167.1</v>
      </c>
      <c r="H948" t="inlineStr">
        <is>
          <t>GBP</t>
        </is>
      </c>
      <c r="I948" s="7" t="n">
        <v>-3339699.086</v>
      </c>
      <c r="J948" s="8" t="n">
        <v>46253.43004629629</v>
      </c>
      <c r="K948" t="inlineStr">
        <is>
          <t>CF260819 00942</t>
        </is>
      </c>
      <c r="L948" t="inlineStr">
        <is>
          <t>GL.NOSTRO.PLN.BRAA.004</t>
        </is>
      </c>
      <c r="M948" t="inlineStr">
        <is>
          <t>Umberton Commercial Bank</t>
        </is>
      </c>
      <c r="N948" t="inlineStr">
        <is>
          <t>BRAA</t>
        </is>
      </c>
      <c r="O948" t="inlineStr">
        <is>
          <t>AMEND</t>
        </is>
      </c>
      <c r="Q948" t="inlineStr">
        <is>
          <t>NETTER</t>
        </is>
      </c>
    </row>
    <row r="949">
      <c r="A949" t="inlineStr">
        <is>
          <t>898317028833</t>
        </is>
      </c>
      <c r="B949" t="inlineStr">
        <is>
          <t>TCP</t>
        </is>
      </c>
      <c r="C949" t="inlineStr">
        <is>
          <t>BRAA</t>
        </is>
      </c>
      <c r="D949" s="6" t="n">
        <v>46253</v>
      </c>
      <c r="E949" t="inlineStr">
        <is>
          <t>DR</t>
        </is>
      </c>
      <c r="F949" t="inlineStr">
        <is>
          <t>GBP</t>
        </is>
      </c>
      <c r="G949" s="7" t="n">
        <v>-15279506.989</v>
      </c>
      <c r="H949" t="inlineStr">
        <is>
          <t>GBP</t>
        </is>
      </c>
      <c r="I949" s="7" t="n">
        <v>-15279506.989</v>
      </c>
      <c r="J949" s="8" t="n">
        <v>46253.44842592593</v>
      </c>
      <c r="K949" t="inlineStr">
        <is>
          <t>CF260819 00943</t>
        </is>
      </c>
      <c r="L949" t="inlineStr">
        <is>
          <t>GL.NOSTRO.GBP.BRAA.009</t>
        </is>
      </c>
      <c r="M949" t="inlineStr">
        <is>
          <t>Elmwood Trust</t>
        </is>
      </c>
      <c r="N949" t="inlineStr">
        <is>
          <t>BRAAMM</t>
        </is>
      </c>
      <c r="O949" t="inlineStr">
        <is>
          <t>AMEND</t>
        </is>
      </c>
      <c r="Q949" t="inlineStr">
        <is>
          <t>GROSS</t>
        </is>
      </c>
    </row>
    <row r="950">
      <c r="A950" t="inlineStr">
        <is>
          <t>968942362772</t>
        </is>
      </c>
      <c r="B950" t="inlineStr">
        <is>
          <t>TCC</t>
        </is>
      </c>
      <c r="C950" t="inlineStr">
        <is>
          <t>BRYG</t>
        </is>
      </c>
      <c r="D950" s="6" t="n">
        <v>46253</v>
      </c>
      <c r="E950" t="inlineStr">
        <is>
          <t>CR</t>
        </is>
      </c>
      <c r="F950" t="inlineStr">
        <is>
          <t>EUR</t>
        </is>
      </c>
      <c r="G950" s="7" t="n">
        <v>1641880.528</v>
      </c>
      <c r="H950" t="inlineStr">
        <is>
          <t>GBP</t>
        </is>
      </c>
      <c r="I950" s="7" t="n">
        <v>1408733.493</v>
      </c>
      <c r="J950" s="8" t="n">
        <v>46253.33541666667</v>
      </c>
      <c r="K950" t="inlineStr">
        <is>
          <t>CF260819 00944</t>
        </is>
      </c>
      <c r="L950" t="inlineStr">
        <is>
          <t>GL.NOSTRO.EUR.BRYG.004</t>
        </is>
      </c>
      <c r="M950" t="inlineStr">
        <is>
          <t>Wrenfield Settlement Bank</t>
        </is>
      </c>
      <c r="N950" t="inlineStr">
        <is>
          <t>BRYG</t>
        </is>
      </c>
      <c r="O950" t="inlineStr">
        <is>
          <t>NEW</t>
        </is>
      </c>
      <c r="P950" t="inlineStr">
        <is>
          <t>NT26081900682</t>
        </is>
      </c>
      <c r="Q950" t="inlineStr">
        <is>
          <t>GROSS</t>
        </is>
      </c>
    </row>
    <row r="951">
      <c r="A951" t="inlineStr">
        <is>
          <t>794226063698</t>
        </is>
      </c>
      <c r="B951" t="inlineStr">
        <is>
          <t>TCC</t>
        </is>
      </c>
      <c r="C951" t="inlineStr">
        <is>
          <t>BRMD</t>
        </is>
      </c>
      <c r="D951" s="6" t="n">
        <v>46253</v>
      </c>
      <c r="E951" t="inlineStr">
        <is>
          <t>DR</t>
        </is>
      </c>
      <c r="F951" t="inlineStr">
        <is>
          <t>AED</t>
        </is>
      </c>
      <c r="G951" s="7" t="n">
        <v>-4288634.295</v>
      </c>
      <c r="H951" t="inlineStr">
        <is>
          <t>GBP</t>
        </is>
      </c>
      <c r="I951" s="7" t="n">
        <v>-913479.105</v>
      </c>
      <c r="J951" s="8" t="n">
        <v>46253.25533564815</v>
      </c>
      <c r="K951" t="inlineStr">
        <is>
          <t>CF260819 00945</t>
        </is>
      </c>
      <c r="L951" t="inlineStr">
        <is>
          <t>GL.NOSTRO.AED.BRMD.003</t>
        </is>
      </c>
      <c r="M951" t="inlineStr">
        <is>
          <t>Nightjar Trust</t>
        </is>
      </c>
      <c r="N951" t="inlineStr">
        <is>
          <t>BRMDTRSY</t>
        </is>
      </c>
      <c r="O951" t="inlineStr">
        <is>
          <t>NEW</t>
        </is>
      </c>
      <c r="Q951" t="inlineStr">
        <is>
          <t>GROSS</t>
        </is>
      </c>
    </row>
    <row r="952">
      <c r="A952" t="inlineStr">
        <is>
          <t>150316825069</t>
        </is>
      </c>
      <c r="B952" t="inlineStr">
        <is>
          <t>TCX</t>
        </is>
      </c>
      <c r="C952" t="inlineStr">
        <is>
          <t>BRGX</t>
        </is>
      </c>
      <c r="D952" s="6" t="n">
        <v>46253</v>
      </c>
      <c r="E952" t="inlineStr">
        <is>
          <t>DR</t>
        </is>
      </c>
      <c r="F952" t="inlineStr">
        <is>
          <t>GBP</t>
        </is>
      </c>
      <c r="G952" s="7" t="n">
        <v>-22127.736</v>
      </c>
      <c r="H952" t="inlineStr">
        <is>
          <t>GBP</t>
        </is>
      </c>
      <c r="I952" s="7" t="n">
        <v>-22127.736</v>
      </c>
      <c r="J952" s="8" t="n">
        <v>46253.39396990741</v>
      </c>
      <c r="K952" t="inlineStr">
        <is>
          <t>CF260819 00946</t>
        </is>
      </c>
      <c r="L952" t="inlineStr">
        <is>
          <t>GL.NOSTRO.GBP.BRGX.005</t>
        </is>
      </c>
      <c r="M952" t="inlineStr">
        <is>
          <t>Dunlin Bank</t>
        </is>
      </c>
      <c r="N952" t="inlineStr">
        <is>
          <t>BRGXCASH</t>
        </is>
      </c>
      <c r="O952" t="inlineStr">
        <is>
          <t>CANCEL</t>
        </is>
      </c>
      <c r="Q952" t="inlineStr">
        <is>
          <t>NETTER</t>
        </is>
      </c>
    </row>
    <row r="953">
      <c r="A953" t="inlineStr">
        <is>
          <t>898317028833</t>
        </is>
      </c>
      <c r="B953" t="inlineStr">
        <is>
          <t>TCQ</t>
        </is>
      </c>
      <c r="C953" t="inlineStr">
        <is>
          <t>BRAA</t>
        </is>
      </c>
      <c r="D953" s="6" t="n">
        <v>46253</v>
      </c>
      <c r="E953" t="inlineStr">
        <is>
          <t>DR</t>
        </is>
      </c>
      <c r="F953" t="inlineStr">
        <is>
          <t>GBP</t>
        </is>
      </c>
      <c r="G953" s="7" t="n">
        <v>-2425225.099</v>
      </c>
      <c r="H953" t="inlineStr">
        <is>
          <t>GBP</t>
        </is>
      </c>
      <c r="I953" s="7" t="n">
        <v>-2425225.099</v>
      </c>
      <c r="J953" s="8" t="n">
        <v>46253.5628125</v>
      </c>
      <c r="K953" t="inlineStr">
        <is>
          <t>CF260819 00947</t>
        </is>
      </c>
      <c r="L953" t="inlineStr">
        <is>
          <t>GL.NOSTRO.GBP.BRAA.006</t>
        </is>
      </c>
      <c r="M953" t="inlineStr">
        <is>
          <t>Sablewood Settlement Bank</t>
        </is>
      </c>
      <c r="N953" t="inlineStr">
        <is>
          <t>BRAAMM</t>
        </is>
      </c>
      <c r="O953" t="inlineStr">
        <is>
          <t>NEW</t>
        </is>
      </c>
      <c r="Q953" t="inlineStr">
        <is>
          <t>GROSS</t>
        </is>
      </c>
    </row>
    <row r="954">
      <c r="A954" t="inlineStr">
        <is>
          <t>794226063698</t>
        </is>
      </c>
      <c r="B954" t="inlineStr">
        <is>
          <t>TCC</t>
        </is>
      </c>
      <c r="C954" t="inlineStr">
        <is>
          <t>BRMD</t>
        </is>
      </c>
      <c r="D954" s="6" t="n">
        <v>46253</v>
      </c>
      <c r="E954" t="inlineStr">
        <is>
          <t>DR</t>
        </is>
      </c>
      <c r="F954" t="inlineStr">
        <is>
          <t>AED</t>
        </is>
      </c>
      <c r="G954" s="7" t="n">
        <v>-8586660.232999999</v>
      </c>
      <c r="H954" t="inlineStr">
        <is>
          <t>GBP</t>
        </is>
      </c>
      <c r="I954" s="7" t="n">
        <v>-1828958.63</v>
      </c>
      <c r="J954" s="8" t="n">
        <v>46253.32243055556</v>
      </c>
      <c r="K954" t="inlineStr">
        <is>
          <t>CF260819 00948</t>
        </is>
      </c>
      <c r="L954" t="inlineStr">
        <is>
          <t>GL.NOSTRO.AED.BRMD.007</t>
        </is>
      </c>
      <c r="M954" t="inlineStr">
        <is>
          <t>Sablewood Commercial Bank</t>
        </is>
      </c>
      <c r="N954" t="inlineStr">
        <is>
          <t>BRMDTRSY</t>
        </is>
      </c>
      <c r="O954" t="inlineStr">
        <is>
          <t>NEW</t>
        </is>
      </c>
      <c r="Q954" t="inlineStr">
        <is>
          <t>NETTER</t>
        </is>
      </c>
    </row>
    <row r="955">
      <c r="A955" t="inlineStr">
        <is>
          <t>171857983160</t>
        </is>
      </c>
      <c r="B955" t="inlineStr">
        <is>
          <t>TCG</t>
        </is>
      </c>
      <c r="C955" t="inlineStr">
        <is>
          <t>BRBX</t>
        </is>
      </c>
      <c r="D955" s="6" t="n">
        <v>46253</v>
      </c>
      <c r="E955" t="inlineStr">
        <is>
          <t>CR</t>
        </is>
      </c>
      <c r="F955" t="inlineStr">
        <is>
          <t>AUD</t>
        </is>
      </c>
      <c r="G955" s="7" t="n">
        <v>45414618.199</v>
      </c>
      <c r="H955" t="inlineStr">
        <is>
          <t>GBP</t>
        </is>
      </c>
      <c r="I955" s="7" t="n">
        <v>23297699.136</v>
      </c>
      <c r="J955" s="8" t="n">
        <v>46253.37806712963</v>
      </c>
      <c r="K955" t="inlineStr">
        <is>
          <t>CF260819 00949</t>
        </is>
      </c>
      <c r="L955" t="inlineStr">
        <is>
          <t>GL.NOSTRO.AUD.BRBX.003</t>
        </is>
      </c>
      <c r="M955" t="inlineStr">
        <is>
          <t>Granite Bank</t>
        </is>
      </c>
      <c r="N955" t="inlineStr">
        <is>
          <t>BRBX</t>
        </is>
      </c>
      <c r="O955" t="inlineStr">
        <is>
          <t>AMEND</t>
        </is>
      </c>
      <c r="Q955" t="inlineStr">
        <is>
          <t>NETTER</t>
        </is>
      </c>
    </row>
    <row r="956">
      <c r="A956" t="inlineStr">
        <is>
          <t>794226063698</t>
        </is>
      </c>
      <c r="B956" t="inlineStr">
        <is>
          <t>TCC</t>
        </is>
      </c>
      <c r="C956" t="inlineStr">
        <is>
          <t>BRMD</t>
        </is>
      </c>
      <c r="D956" s="6" t="n">
        <v>46253</v>
      </c>
      <c r="E956" t="inlineStr">
        <is>
          <t>CR</t>
        </is>
      </c>
      <c r="F956" t="inlineStr">
        <is>
          <t>AED</t>
        </is>
      </c>
      <c r="G956" s="7" t="n">
        <v>39438242.94</v>
      </c>
      <c r="H956" t="inlineStr">
        <is>
          <t>GBP</t>
        </is>
      </c>
      <c r="I956" s="7" t="n">
        <v>8400345.745999999</v>
      </c>
      <c r="J956" s="8" t="n">
        <v>46253.73976851852</v>
      </c>
      <c r="K956" t="inlineStr">
        <is>
          <t>CF260819 00950</t>
        </is>
      </c>
      <c r="L956" t="inlineStr">
        <is>
          <t>GL.NOSTRO.AED.BRMD.005</t>
        </is>
      </c>
      <c r="M956" t="inlineStr">
        <is>
          <t>Larkspur Clearing</t>
        </is>
      </c>
      <c r="N956" t="inlineStr">
        <is>
          <t>BRMD</t>
        </is>
      </c>
      <c r="O956" t="inlineStr">
        <is>
          <t>NEW</t>
        </is>
      </c>
      <c r="Q956" t="inlineStr">
        <is>
          <t>NETTER</t>
        </is>
      </c>
    </row>
    <row r="957">
      <c r="A957" t="inlineStr">
        <is>
          <t>468341071172</t>
        </is>
      </c>
      <c r="B957" t="inlineStr">
        <is>
          <t>TCC</t>
        </is>
      </c>
      <c r="C957" t="inlineStr">
        <is>
          <t>BRCC</t>
        </is>
      </c>
      <c r="D957" s="6" t="n">
        <v>46253</v>
      </c>
      <c r="E957" t="inlineStr">
        <is>
          <t>CR</t>
        </is>
      </c>
      <c r="F957" t="inlineStr">
        <is>
          <t>EUR</t>
        </is>
      </c>
      <c r="G957" s="7" t="n">
        <v>248904033.944</v>
      </c>
      <c r="H957" t="inlineStr">
        <is>
          <t>GBP</t>
        </is>
      </c>
      <c r="I957" s="7" t="n">
        <v>213559661.124</v>
      </c>
      <c r="J957" s="8" t="n">
        <v>46253.80447916667</v>
      </c>
      <c r="K957" t="inlineStr">
        <is>
          <t>CF260819 00951</t>
        </is>
      </c>
      <c r="L957" t="inlineStr">
        <is>
          <t>GL.NOSTRO.EUR.BRCC.002</t>
        </is>
      </c>
      <c r="M957" t="inlineStr">
        <is>
          <t>Mallow Clearing</t>
        </is>
      </c>
      <c r="N957" t="inlineStr">
        <is>
          <t>BRCCMM</t>
        </is>
      </c>
      <c r="O957" t="inlineStr">
        <is>
          <t>NEW</t>
        </is>
      </c>
      <c r="P957" t="inlineStr">
        <is>
          <t>NT26081900690</t>
        </is>
      </c>
      <c r="Q957" t="inlineStr">
        <is>
          <t>NETTER</t>
        </is>
      </c>
    </row>
    <row r="958">
      <c r="A958" t="inlineStr">
        <is>
          <t>150316825069</t>
        </is>
      </c>
      <c r="B958" t="inlineStr">
        <is>
          <t>TCG</t>
        </is>
      </c>
      <c r="C958" t="inlineStr">
        <is>
          <t>BRGX</t>
        </is>
      </c>
      <c r="D958" s="6" t="n">
        <v>46253</v>
      </c>
      <c r="E958" t="inlineStr">
        <is>
          <t>DR</t>
        </is>
      </c>
      <c r="F958" t="inlineStr">
        <is>
          <t>GBP</t>
        </is>
      </c>
      <c r="G958" s="7" t="n">
        <v>-50052181.773</v>
      </c>
      <c r="H958" t="inlineStr">
        <is>
          <t>GBP</t>
        </is>
      </c>
      <c r="I958" s="7" t="n">
        <v>-50052181.773</v>
      </c>
      <c r="J958" s="8" t="n">
        <v>46253.47746527778</v>
      </c>
      <c r="K958" t="inlineStr">
        <is>
          <t>CF260819 00952</t>
        </is>
      </c>
      <c r="L958" t="inlineStr">
        <is>
          <t>GL.NOSTRO.GBP.BRGX.008</t>
        </is>
      </c>
      <c r="M958" t="inlineStr">
        <is>
          <t>Mallow Clearing</t>
        </is>
      </c>
      <c r="N958" t="inlineStr">
        <is>
          <t>BRGX</t>
        </is>
      </c>
      <c r="O958" t="inlineStr">
        <is>
          <t>NEW</t>
        </is>
      </c>
      <c r="P958" t="inlineStr">
        <is>
          <t>NT26081900672</t>
        </is>
      </c>
      <c r="Q958" t="inlineStr">
        <is>
          <t>GROSS</t>
        </is>
      </c>
    </row>
    <row r="959">
      <c r="A959" t="inlineStr">
        <is>
          <t>150316825069</t>
        </is>
      </c>
      <c r="B959" t="inlineStr">
        <is>
          <t>TCQ</t>
        </is>
      </c>
      <c r="C959" t="inlineStr">
        <is>
          <t>BRGX</t>
        </is>
      </c>
      <c r="D959" s="6" t="n">
        <v>46253</v>
      </c>
      <c r="E959" t="inlineStr">
        <is>
          <t>CR</t>
        </is>
      </c>
      <c r="F959" t="inlineStr">
        <is>
          <t>GBP</t>
        </is>
      </c>
      <c r="G959" s="7" t="n">
        <v>31004698.963</v>
      </c>
      <c r="H959" t="inlineStr">
        <is>
          <t>GBP</t>
        </is>
      </c>
      <c r="I959" s="7" t="n">
        <v>31004698.963</v>
      </c>
      <c r="J959" s="8" t="n">
        <v>46253.59158564815</v>
      </c>
      <c r="K959" t="inlineStr">
        <is>
          <t>CF260819 00953</t>
        </is>
      </c>
      <c r="L959" t="inlineStr">
        <is>
          <t>GL.NOSTRO.GBP.BRGX.007</t>
        </is>
      </c>
      <c r="M959" t="inlineStr">
        <is>
          <t>Mallow Commercial Bank</t>
        </is>
      </c>
      <c r="N959" t="inlineStr">
        <is>
          <t>BRGXCASH</t>
        </is>
      </c>
      <c r="O959" t="inlineStr">
        <is>
          <t>NEW</t>
        </is>
      </c>
      <c r="P959" t="inlineStr">
        <is>
          <t>NT26081900682</t>
        </is>
      </c>
      <c r="Q959" t="inlineStr">
        <is>
          <t>GROSS</t>
        </is>
      </c>
    </row>
    <row r="960">
      <c r="A960" t="inlineStr">
        <is>
          <t>700726936098</t>
        </is>
      </c>
      <c r="B960" t="inlineStr">
        <is>
          <t>TCQ</t>
        </is>
      </c>
      <c r="C960" t="inlineStr">
        <is>
          <t>BRMD</t>
        </is>
      </c>
      <c r="D960" s="6" t="n">
        <v>46253</v>
      </c>
      <c r="E960" t="inlineStr">
        <is>
          <t>DR</t>
        </is>
      </c>
      <c r="F960" t="inlineStr">
        <is>
          <t>SAR</t>
        </is>
      </c>
      <c r="G960" s="7" t="n">
        <v>-602464267.808</v>
      </c>
      <c r="H960" t="inlineStr">
        <is>
          <t>GBP</t>
        </is>
      </c>
      <c r="I960" s="7" t="n">
        <v>-125915031.972</v>
      </c>
      <c r="J960" s="8" t="n">
        <v>46253.82046296296</v>
      </c>
      <c r="K960" t="inlineStr">
        <is>
          <t>CF260819 00954</t>
        </is>
      </c>
      <c r="L960" t="inlineStr">
        <is>
          <t>GL.NOSTRO.SAR.BRMD.007</t>
        </is>
      </c>
      <c r="M960" t="inlineStr">
        <is>
          <t>Dunlin Bank</t>
        </is>
      </c>
      <c r="N960" t="inlineStr">
        <is>
          <t>BRMDTRSY</t>
        </is>
      </c>
      <c r="O960" t="inlineStr">
        <is>
          <t>NEW</t>
        </is>
      </c>
      <c r="Q960" t="inlineStr">
        <is>
          <t>GROSS</t>
        </is>
      </c>
    </row>
    <row r="961">
      <c r="A961" t="inlineStr">
        <is>
          <t>171857983160</t>
        </is>
      </c>
      <c r="B961" t="inlineStr">
        <is>
          <t>TCQ</t>
        </is>
      </c>
      <c r="C961" t="inlineStr">
        <is>
          <t>BRBX</t>
        </is>
      </c>
      <c r="D961" s="6" t="n">
        <v>46253</v>
      </c>
      <c r="E961" t="inlineStr">
        <is>
          <t>DR</t>
        </is>
      </c>
      <c r="F961" t="inlineStr">
        <is>
          <t>AUD</t>
        </is>
      </c>
      <c r="G961" s="7" t="n">
        <v>-36807491.383</v>
      </c>
      <c r="H961" t="inlineStr">
        <is>
          <t>GBP</t>
        </is>
      </c>
      <c r="I961" s="7" t="n">
        <v>-18882243.079</v>
      </c>
      <c r="J961" s="8" t="n">
        <v>46253.4991087963</v>
      </c>
      <c r="K961" t="inlineStr">
        <is>
          <t>CF260819 00955</t>
        </is>
      </c>
      <c r="L961" t="inlineStr">
        <is>
          <t>GL.NOSTRO.AUD.BRBX.005</t>
        </is>
      </c>
      <c r="M961" t="inlineStr">
        <is>
          <t>Sablewood Settlement Bank</t>
        </is>
      </c>
      <c r="N961" t="inlineStr">
        <is>
          <t>BRBXTRSY</t>
        </is>
      </c>
      <c r="O961" t="inlineStr">
        <is>
          <t>NEW</t>
        </is>
      </c>
      <c r="Q961" t="inlineStr">
        <is>
          <t>NETTER</t>
        </is>
      </c>
    </row>
    <row r="962">
      <c r="A962" t="inlineStr">
        <is>
          <t>898317028833</t>
        </is>
      </c>
      <c r="B962" t="inlineStr">
        <is>
          <t>TCG</t>
        </is>
      </c>
      <c r="C962" t="inlineStr">
        <is>
          <t>BRAA</t>
        </is>
      </c>
      <c r="D962" s="6" t="n">
        <v>46253</v>
      </c>
      <c r="E962" t="inlineStr">
        <is>
          <t>CR</t>
        </is>
      </c>
      <c r="F962" t="inlineStr">
        <is>
          <t>GBP</t>
        </is>
      </c>
      <c r="G962" s="7" t="n">
        <v>149592495.604</v>
      </c>
      <c r="H962" t="inlineStr">
        <is>
          <t>GBP</t>
        </is>
      </c>
      <c r="I962" s="7" t="n">
        <v>149592495.604</v>
      </c>
      <c r="J962" s="8" t="n">
        <v>46253.38762731481</v>
      </c>
      <c r="K962" t="inlineStr">
        <is>
          <t>CF260819 00956</t>
        </is>
      </c>
      <c r="L962" t="inlineStr">
        <is>
          <t>GL.NOSTRO.GBP.BRAA.009</t>
        </is>
      </c>
      <c r="M962" t="inlineStr">
        <is>
          <t>Elmwood Trust</t>
        </is>
      </c>
      <c r="N962" t="inlineStr">
        <is>
          <t>BRAATRSY</t>
        </is>
      </c>
      <c r="O962" t="inlineStr">
        <is>
          <t>NEW</t>
        </is>
      </c>
      <c r="Q962" t="inlineStr">
        <is>
          <t>NETTER</t>
        </is>
      </c>
    </row>
    <row r="963">
      <c r="A963" t="inlineStr">
        <is>
          <t>120047354818</t>
        </is>
      </c>
      <c r="B963" t="inlineStr">
        <is>
          <t>TCX</t>
        </is>
      </c>
      <c r="C963" t="inlineStr">
        <is>
          <t>BRNK</t>
        </is>
      </c>
      <c r="D963" s="6" t="n">
        <v>46253</v>
      </c>
      <c r="E963" t="inlineStr">
        <is>
          <t>DR</t>
        </is>
      </c>
      <c r="F963" t="inlineStr">
        <is>
          <t>USD</t>
        </is>
      </c>
      <c r="G963" s="7" t="n">
        <v>-4975.405</v>
      </c>
      <c r="H963" t="inlineStr">
        <is>
          <t>GBP</t>
        </is>
      </c>
      <c r="I963" s="7" t="n">
        <v>-3900.718</v>
      </c>
      <c r="J963" s="8" t="n">
        <v>46253.44515046296</v>
      </c>
      <c r="K963" t="inlineStr">
        <is>
          <t>CF260819 00957</t>
        </is>
      </c>
      <c r="L963" t="inlineStr">
        <is>
          <t>GL.NOSTRO.USD.BRNK.006</t>
        </is>
      </c>
      <c r="M963" t="inlineStr">
        <is>
          <t>Mallow Trust</t>
        </is>
      </c>
      <c r="N963" t="inlineStr">
        <is>
          <t>BRNKCASH</t>
        </is>
      </c>
      <c r="O963" t="inlineStr">
        <is>
          <t>NEW</t>
        </is>
      </c>
      <c r="Q963" t="inlineStr">
        <is>
          <t>GROSS</t>
        </is>
      </c>
    </row>
    <row r="964">
      <c r="A964" t="inlineStr">
        <is>
          <t>150316825069</t>
        </is>
      </c>
      <c r="B964" t="inlineStr">
        <is>
          <t>TCP</t>
        </is>
      </c>
      <c r="C964" t="inlineStr">
        <is>
          <t>BRGX</t>
        </is>
      </c>
      <c r="D964" s="6" t="n">
        <v>46253</v>
      </c>
      <c r="E964" t="inlineStr">
        <is>
          <t>DR</t>
        </is>
      </c>
      <c r="F964" t="inlineStr">
        <is>
          <t>GBP</t>
        </is>
      </c>
      <c r="G964" s="7" t="n">
        <v>-22686858.696</v>
      </c>
      <c r="H964" t="inlineStr">
        <is>
          <t>GBP</t>
        </is>
      </c>
      <c r="I964" s="7" t="n">
        <v>-22686858.696</v>
      </c>
      <c r="J964" s="8" t="n">
        <v>46253.40149305556</v>
      </c>
      <c r="K964" t="inlineStr">
        <is>
          <t>CF260819 00958</t>
        </is>
      </c>
      <c r="L964" t="inlineStr">
        <is>
          <t>GL.NOSTRO.GBP.BRGX.003</t>
        </is>
      </c>
      <c r="M964" t="inlineStr">
        <is>
          <t>Oriel Trust</t>
        </is>
      </c>
      <c r="N964" t="inlineStr">
        <is>
          <t>BRGXMM</t>
        </is>
      </c>
      <c r="O964" t="inlineStr">
        <is>
          <t>NEW</t>
        </is>
      </c>
      <c r="Q964" t="inlineStr">
        <is>
          <t>INTERNAL</t>
        </is>
      </c>
    </row>
    <row r="965">
      <c r="A965" t="inlineStr">
        <is>
          <t>284925023085</t>
        </is>
      </c>
      <c r="B965" t="inlineStr">
        <is>
          <t>TCX</t>
        </is>
      </c>
      <c r="C965" t="inlineStr">
        <is>
          <t>BRMD</t>
        </is>
      </c>
      <c r="D965" s="6" t="n">
        <v>46253</v>
      </c>
      <c r="E965" t="inlineStr">
        <is>
          <t>DR</t>
        </is>
      </c>
      <c r="F965" t="inlineStr">
        <is>
          <t>MXN</t>
        </is>
      </c>
      <c r="G965" s="7" t="n">
        <v>-73313735.192</v>
      </c>
      <c r="H965" t="inlineStr">
        <is>
          <t>GBP</t>
        </is>
      </c>
      <c r="I965" s="7" t="n">
        <v>-3137827.866</v>
      </c>
      <c r="J965" s="8" t="n">
        <v>46253.42454861111</v>
      </c>
      <c r="K965" t="inlineStr">
        <is>
          <t>CF260819 00959</t>
        </is>
      </c>
      <c r="L965" t="inlineStr">
        <is>
          <t>GL.NOSTRO.MXN.BRMD.004</t>
        </is>
      </c>
      <c r="M965" t="inlineStr">
        <is>
          <t>Mallow Trust</t>
        </is>
      </c>
      <c r="N965" t="inlineStr">
        <is>
          <t>BRMDTRSY</t>
        </is>
      </c>
      <c r="O965" t="inlineStr">
        <is>
          <t>CANCEL</t>
        </is>
      </c>
      <c r="P965" t="inlineStr">
        <is>
          <t>NT26081900686</t>
        </is>
      </c>
      <c r="Q965" t="inlineStr">
        <is>
          <t>NETTER</t>
        </is>
      </c>
    </row>
    <row r="966">
      <c r="A966" t="inlineStr">
        <is>
          <t>284925023085</t>
        </is>
      </c>
      <c r="B966" t="inlineStr">
        <is>
          <t>TCX</t>
        </is>
      </c>
      <c r="C966" t="inlineStr">
        <is>
          <t>BRMD</t>
        </is>
      </c>
      <c r="D966" s="6" t="n">
        <v>46253</v>
      </c>
      <c r="E966" t="inlineStr">
        <is>
          <t>CR</t>
        </is>
      </c>
      <c r="F966" t="inlineStr">
        <is>
          <t>MXN</t>
        </is>
      </c>
      <c r="G966" s="7" t="n">
        <v>86100459.40899999</v>
      </c>
      <c r="H966" t="inlineStr">
        <is>
          <t>GBP</t>
        </is>
      </c>
      <c r="I966" s="7" t="n">
        <v>3685099.663</v>
      </c>
      <c r="J966" s="8" t="n">
        <v>46253.42931712963</v>
      </c>
      <c r="K966" t="inlineStr">
        <is>
          <t>CF260819 00960</t>
        </is>
      </c>
      <c r="L966" t="inlineStr">
        <is>
          <t>GL.NOSTRO.MXN.BRMD.009</t>
        </is>
      </c>
      <c r="M966" t="inlineStr">
        <is>
          <t>Elmwood Settlement Bank</t>
        </is>
      </c>
      <c r="N966" t="inlineStr">
        <is>
          <t>BRMD</t>
        </is>
      </c>
      <c r="O966" t="inlineStr">
        <is>
          <t>NEW</t>
        </is>
      </c>
      <c r="Q966" t="inlineStr">
        <is>
          <t>NETTER</t>
        </is>
      </c>
    </row>
    <row r="967">
      <c r="A967" t="inlineStr">
        <is>
          <t>150316825069</t>
        </is>
      </c>
      <c r="B967" t="inlineStr">
        <is>
          <t>TCX</t>
        </is>
      </c>
      <c r="C967" t="inlineStr">
        <is>
          <t>BRGX</t>
        </is>
      </c>
      <c r="D967" s="6" t="n">
        <v>46253</v>
      </c>
      <c r="E967" t="inlineStr">
        <is>
          <t>CR</t>
        </is>
      </c>
      <c r="F967" t="inlineStr">
        <is>
          <t>GBP</t>
        </is>
      </c>
      <c r="G967" s="7" t="n">
        <v>12370.252</v>
      </c>
      <c r="H967" t="inlineStr">
        <is>
          <t>GBP</t>
        </is>
      </c>
      <c r="I967" s="7" t="n">
        <v>12370.252</v>
      </c>
      <c r="J967" s="8" t="n">
        <v>46253.34612268519</v>
      </c>
      <c r="K967" t="inlineStr">
        <is>
          <t>CF260819 00961</t>
        </is>
      </c>
      <c r="L967" t="inlineStr">
        <is>
          <t>GL.NOSTRO.GBP.BRGX.003</t>
        </is>
      </c>
      <c r="M967" t="inlineStr">
        <is>
          <t>Umberton Clearing</t>
        </is>
      </c>
      <c r="N967" t="inlineStr">
        <is>
          <t>BRGX</t>
        </is>
      </c>
      <c r="O967" t="inlineStr">
        <is>
          <t>NEW</t>
        </is>
      </c>
      <c r="P967" t="inlineStr">
        <is>
          <t>NT26081900684</t>
        </is>
      </c>
      <c r="Q967" t="inlineStr">
        <is>
          <t>GROSS</t>
        </is>
      </c>
    </row>
    <row r="968">
      <c r="A968" t="inlineStr">
        <is>
          <t>468341071172</t>
        </is>
      </c>
      <c r="B968" t="inlineStr">
        <is>
          <t>TCG</t>
        </is>
      </c>
      <c r="C968" t="inlineStr">
        <is>
          <t>BRCC</t>
        </is>
      </c>
      <c r="D968" s="6" t="n">
        <v>46253</v>
      </c>
      <c r="E968" t="inlineStr">
        <is>
          <t>DR</t>
        </is>
      </c>
      <c r="F968" t="inlineStr">
        <is>
          <t>EUR</t>
        </is>
      </c>
      <c r="G968" s="7" t="n">
        <v>-175355842.722</v>
      </c>
      <c r="H968" t="inlineStr">
        <is>
          <t>GBP</t>
        </is>
      </c>
      <c r="I968" s="7" t="n">
        <v>-150455313.055</v>
      </c>
      <c r="J968" s="8" t="n">
        <v>46253.43709490741</v>
      </c>
      <c r="K968" t="inlineStr">
        <is>
          <t>CF260819 00962</t>
        </is>
      </c>
      <c r="L968" t="inlineStr">
        <is>
          <t>GL.NOSTRO.EUR.BRCC.005</t>
        </is>
      </c>
      <c r="M968" t="inlineStr">
        <is>
          <t>Redstart Commercial Bank</t>
        </is>
      </c>
      <c r="N968" t="inlineStr">
        <is>
          <t>BRCCCASH</t>
        </is>
      </c>
      <c r="O968" t="inlineStr">
        <is>
          <t>NEW</t>
        </is>
      </c>
      <c r="Q968" t="inlineStr">
        <is>
          <t>GROSS</t>
        </is>
      </c>
    </row>
    <row r="969">
      <c r="A969" t="inlineStr">
        <is>
          <t>794226063698</t>
        </is>
      </c>
      <c r="B969" t="inlineStr">
        <is>
          <t>TCC</t>
        </is>
      </c>
      <c r="C969" t="inlineStr">
        <is>
          <t>BRMD</t>
        </is>
      </c>
      <c r="D969" s="6" t="n">
        <v>46253</v>
      </c>
      <c r="E969" t="inlineStr">
        <is>
          <t>CR</t>
        </is>
      </c>
      <c r="F969" t="inlineStr">
        <is>
          <t>AED</t>
        </is>
      </c>
      <c r="G969" s="7" t="n">
        <v>861515.568</v>
      </c>
      <c r="H969" t="inlineStr">
        <is>
          <t>GBP</t>
        </is>
      </c>
      <c r="I969" s="7" t="n">
        <v>183502.816</v>
      </c>
      <c r="J969" s="8" t="n">
        <v>46253.32868055555</v>
      </c>
      <c r="K969" t="inlineStr">
        <is>
          <t>CF260819 00963</t>
        </is>
      </c>
      <c r="L969" t="inlineStr">
        <is>
          <t>GL.NOSTRO.AED.BRMD.009</t>
        </is>
      </c>
      <c r="M969" t="inlineStr">
        <is>
          <t>Mallow Clearing</t>
        </is>
      </c>
      <c r="N969" t="inlineStr">
        <is>
          <t>BRMDMM</t>
        </is>
      </c>
      <c r="O969" t="inlineStr">
        <is>
          <t>NEW</t>
        </is>
      </c>
      <c r="Q969" t="inlineStr">
        <is>
          <t>GROSS</t>
        </is>
      </c>
    </row>
    <row r="970">
      <c r="A970" t="inlineStr">
        <is>
          <t>284925023085</t>
        </is>
      </c>
      <c r="B970" t="inlineStr">
        <is>
          <t>TCC</t>
        </is>
      </c>
      <c r="C970" t="inlineStr">
        <is>
          <t>BRMD</t>
        </is>
      </c>
      <c r="D970" s="6" t="n">
        <v>46253</v>
      </c>
      <c r="E970" t="inlineStr">
        <is>
          <t>DR</t>
        </is>
      </c>
      <c r="F970" t="inlineStr">
        <is>
          <t>MXN</t>
        </is>
      </c>
      <c r="G970" s="7" t="n">
        <v>-2258430.264</v>
      </c>
      <c r="H970" t="inlineStr">
        <is>
          <t>GBP</t>
        </is>
      </c>
      <c r="I970" s="7" t="n">
        <v>-96660.815</v>
      </c>
      <c r="J970" s="8" t="n">
        <v>46253.65200231481</v>
      </c>
      <c r="K970" t="inlineStr">
        <is>
          <t>CF260819 00964</t>
        </is>
      </c>
      <c r="L970" t="inlineStr">
        <is>
          <t>GL.NOSTRO.MXN.BRMD.004</t>
        </is>
      </c>
      <c r="M970" t="inlineStr">
        <is>
          <t>Sablewood Clearing</t>
        </is>
      </c>
      <c r="N970" t="inlineStr">
        <is>
          <t>BRMD</t>
        </is>
      </c>
      <c r="O970" t="inlineStr">
        <is>
          <t>AMEND</t>
        </is>
      </c>
      <c r="P970" t="inlineStr">
        <is>
          <t>NT26081900667</t>
        </is>
      </c>
      <c r="Q970" t="inlineStr">
        <is>
          <t>NETTER</t>
        </is>
      </c>
    </row>
    <row r="971">
      <c r="A971" t="inlineStr">
        <is>
          <t>265771593142</t>
        </is>
      </c>
      <c r="B971" t="inlineStr">
        <is>
          <t>TCQ</t>
        </is>
      </c>
      <c r="C971" t="inlineStr">
        <is>
          <t>BRYG</t>
        </is>
      </c>
      <c r="D971" s="6" t="n">
        <v>46253</v>
      </c>
      <c r="E971" t="inlineStr">
        <is>
          <t>DR</t>
        </is>
      </c>
      <c r="F971" t="inlineStr">
        <is>
          <t>EUR</t>
        </is>
      </c>
      <c r="G971" s="7" t="n">
        <v>-924567083.638</v>
      </c>
      <c r="H971" t="inlineStr">
        <is>
          <t>GBP</t>
        </is>
      </c>
      <c r="I971" s="7" t="n">
        <v>-793278557.761</v>
      </c>
      <c r="J971" s="8" t="n">
        <v>46253.41327546296</v>
      </c>
      <c r="K971" t="inlineStr">
        <is>
          <t>CF260819 00965</t>
        </is>
      </c>
      <c r="L971" t="inlineStr">
        <is>
          <t>GL.NOSTRO.EUR.BRYG.007</t>
        </is>
      </c>
      <c r="M971" t="inlineStr">
        <is>
          <t>Granite Clearing</t>
        </is>
      </c>
      <c r="N971" t="inlineStr">
        <is>
          <t>BRYGCASH</t>
        </is>
      </c>
      <c r="O971" t="inlineStr">
        <is>
          <t>NEW</t>
        </is>
      </c>
      <c r="Q971" t="inlineStr">
        <is>
          <t>GROSS</t>
        </is>
      </c>
    </row>
    <row r="972">
      <c r="A972" t="inlineStr">
        <is>
          <t>265771593142</t>
        </is>
      </c>
      <c r="B972" t="inlineStr">
        <is>
          <t>TCX</t>
        </is>
      </c>
      <c r="C972" t="inlineStr">
        <is>
          <t>BRYG</t>
        </is>
      </c>
      <c r="D972" s="6" t="n">
        <v>46253</v>
      </c>
      <c r="E972" t="inlineStr">
        <is>
          <t>DR</t>
        </is>
      </c>
      <c r="F972" t="inlineStr">
        <is>
          <t>EUR</t>
        </is>
      </c>
      <c r="G972" s="7" t="n">
        <v>-252959.688</v>
      </c>
      <c r="H972" t="inlineStr">
        <is>
          <t>GBP</t>
        </is>
      </c>
      <c r="I972" s="7" t="n">
        <v>-217039.412</v>
      </c>
      <c r="J972" s="8" t="n">
        <v>46253.34151620371</v>
      </c>
      <c r="K972" t="inlineStr">
        <is>
          <t>CF260819 00966</t>
        </is>
      </c>
      <c r="L972" t="inlineStr">
        <is>
          <t>GL.NOSTRO.EUR.BRYG.004</t>
        </is>
      </c>
      <c r="M972" t="inlineStr">
        <is>
          <t>Oriel Trust</t>
        </is>
      </c>
      <c r="N972" t="inlineStr">
        <is>
          <t>BRYG</t>
        </is>
      </c>
      <c r="O972" t="inlineStr">
        <is>
          <t>NEW</t>
        </is>
      </c>
      <c r="Q972" t="inlineStr">
        <is>
          <t>NETTER</t>
        </is>
      </c>
    </row>
    <row r="973">
      <c r="A973" t="inlineStr">
        <is>
          <t>726928343448</t>
        </is>
      </c>
      <c r="B973" t="inlineStr">
        <is>
          <t>TCP</t>
        </is>
      </c>
      <c r="C973" t="inlineStr">
        <is>
          <t>BRGX</t>
        </is>
      </c>
      <c r="D973" s="6" t="n">
        <v>46253</v>
      </c>
      <c r="E973" t="inlineStr">
        <is>
          <t>CR</t>
        </is>
      </c>
      <c r="F973" t="inlineStr">
        <is>
          <t>EUR</t>
        </is>
      </c>
      <c r="G973" s="7" t="n">
        <v>66707094.584</v>
      </c>
      <c r="H973" t="inlineStr">
        <is>
          <t>GBP</t>
        </is>
      </c>
      <c r="I973" s="7" t="n">
        <v>57234687.153</v>
      </c>
      <c r="J973" s="8" t="n">
        <v>46253.25866898148</v>
      </c>
      <c r="K973" t="inlineStr">
        <is>
          <t>CF260819 00967</t>
        </is>
      </c>
      <c r="L973" t="inlineStr">
        <is>
          <t>GL.NOSTRO.EUR.BRGX.005</t>
        </is>
      </c>
      <c r="M973" t="inlineStr">
        <is>
          <t>Wrenfield Settlement Bank</t>
        </is>
      </c>
      <c r="N973" t="inlineStr">
        <is>
          <t>BRGX</t>
        </is>
      </c>
      <c r="O973" t="inlineStr">
        <is>
          <t>NEW</t>
        </is>
      </c>
      <c r="P973" t="inlineStr">
        <is>
          <t>NT26081900694</t>
        </is>
      </c>
      <c r="Q973" t="inlineStr">
        <is>
          <t>NETTER</t>
        </is>
      </c>
    </row>
    <row r="974">
      <c r="A974" t="inlineStr">
        <is>
          <t>265771593142</t>
        </is>
      </c>
      <c r="B974" t="inlineStr">
        <is>
          <t>TCG</t>
        </is>
      </c>
      <c r="C974" t="inlineStr">
        <is>
          <t>BRYG</t>
        </is>
      </c>
      <c r="D974" s="6" t="n">
        <v>46253</v>
      </c>
      <c r="E974" t="inlineStr">
        <is>
          <t>CR</t>
        </is>
      </c>
      <c r="F974" t="inlineStr">
        <is>
          <t>EUR</t>
        </is>
      </c>
      <c r="G974" s="7" t="n">
        <v>19141973.786</v>
      </c>
      <c r="H974" t="inlineStr">
        <is>
          <t>GBP</t>
        </is>
      </c>
      <c r="I974" s="7" t="n">
        <v>16423813.508</v>
      </c>
      <c r="J974" s="8" t="n">
        <v>46253.71880787037</v>
      </c>
      <c r="K974" t="inlineStr">
        <is>
          <t>CF260819 00968</t>
        </is>
      </c>
      <c r="L974" t="inlineStr">
        <is>
          <t>GL.NOSTRO.EUR.BRYG.003</t>
        </is>
      </c>
      <c r="M974" t="inlineStr">
        <is>
          <t>Elmwood Bank</t>
        </is>
      </c>
      <c r="N974" t="inlineStr">
        <is>
          <t>BRYGCASH</t>
        </is>
      </c>
      <c r="O974" t="inlineStr">
        <is>
          <t>NEW</t>
        </is>
      </c>
      <c r="P974" t="inlineStr">
        <is>
          <t>NT26081900667</t>
        </is>
      </c>
      <c r="Q974" t="inlineStr">
        <is>
          <t>INTERNAL</t>
        </is>
      </c>
    </row>
    <row r="975">
      <c r="A975" t="inlineStr">
        <is>
          <t>265771593142</t>
        </is>
      </c>
      <c r="B975" t="inlineStr">
        <is>
          <t>TCP</t>
        </is>
      </c>
      <c r="C975" t="inlineStr">
        <is>
          <t>BRYG</t>
        </is>
      </c>
      <c r="D975" s="6" t="n">
        <v>46253</v>
      </c>
      <c r="E975" t="inlineStr">
        <is>
          <t>CR</t>
        </is>
      </c>
      <c r="F975" t="inlineStr">
        <is>
          <t>EUR</t>
        </is>
      </c>
      <c r="G975" s="7" t="n">
        <v>118036269.363</v>
      </c>
      <c r="H975" t="inlineStr">
        <is>
          <t>GBP</t>
        </is>
      </c>
      <c r="I975" s="7" t="n">
        <v>101275119.113</v>
      </c>
      <c r="J975" s="8" t="n">
        <v>46253.29231481482</v>
      </c>
      <c r="K975" t="inlineStr">
        <is>
          <t>CF260819 00969</t>
        </is>
      </c>
      <c r="L975" t="inlineStr">
        <is>
          <t>GL.NOSTRO.EUR.BRYG.002</t>
        </is>
      </c>
      <c r="M975" t="inlineStr">
        <is>
          <t>Redstart Commercial Bank</t>
        </is>
      </c>
      <c r="N975" t="inlineStr">
        <is>
          <t>BRYG</t>
        </is>
      </c>
      <c r="O975" t="inlineStr">
        <is>
          <t>NEW</t>
        </is>
      </c>
      <c r="Q975" t="inlineStr">
        <is>
          <t>GROSS</t>
        </is>
      </c>
    </row>
    <row r="976">
      <c r="A976" t="inlineStr">
        <is>
          <t>968942362772</t>
        </is>
      </c>
      <c r="B976" t="inlineStr">
        <is>
          <t>TCC</t>
        </is>
      </c>
      <c r="C976" t="inlineStr">
        <is>
          <t>BRYG</t>
        </is>
      </c>
      <c r="D976" s="6" t="n">
        <v>46253</v>
      </c>
      <c r="E976" t="inlineStr">
        <is>
          <t>CR</t>
        </is>
      </c>
      <c r="F976" t="inlineStr">
        <is>
          <t>EUR</t>
        </is>
      </c>
      <c r="G976" s="7" t="n">
        <v>199854.073</v>
      </c>
      <c r="H976" t="inlineStr">
        <is>
          <t>GBP</t>
        </is>
      </c>
      <c r="I976" s="7" t="n">
        <v>171474.795</v>
      </c>
      <c r="J976" s="8" t="n">
        <v>46253.58012731482</v>
      </c>
      <c r="K976" t="inlineStr">
        <is>
          <t>CF260819 00970</t>
        </is>
      </c>
      <c r="L976" t="inlineStr">
        <is>
          <t>GL.NOSTRO.EUR.BRYG.009</t>
        </is>
      </c>
      <c r="M976" t="inlineStr">
        <is>
          <t>Ironbark Commercial Bank</t>
        </is>
      </c>
      <c r="N976" t="inlineStr">
        <is>
          <t>BRYGMM</t>
        </is>
      </c>
      <c r="O976" t="inlineStr">
        <is>
          <t>NEW</t>
        </is>
      </c>
      <c r="P976" t="inlineStr">
        <is>
          <t>NT26081900656</t>
        </is>
      </c>
      <c r="Q976" t="inlineStr">
        <is>
          <t>NETTER</t>
        </is>
      </c>
    </row>
    <row r="977">
      <c r="A977" t="inlineStr">
        <is>
          <t>359365220160</t>
        </is>
      </c>
      <c r="B977" t="inlineStr">
        <is>
          <t>TCG</t>
        </is>
      </c>
      <c r="C977" t="inlineStr">
        <is>
          <t>BRGX</t>
        </is>
      </c>
      <c r="D977" s="6" t="n">
        <v>46253</v>
      </c>
      <c r="E977" t="inlineStr">
        <is>
          <t>CR</t>
        </is>
      </c>
      <c r="F977" t="inlineStr">
        <is>
          <t>EUR</t>
        </is>
      </c>
      <c r="G977" s="7" t="n">
        <v>24556.393</v>
      </c>
      <c r="H977" t="inlineStr">
        <is>
          <t>GBP</t>
        </is>
      </c>
      <c r="I977" s="7" t="n">
        <v>21069.385</v>
      </c>
      <c r="J977" s="8" t="n">
        <v>46253.36310185185</v>
      </c>
      <c r="K977" t="inlineStr">
        <is>
          <t>CF260819 00971</t>
        </is>
      </c>
      <c r="L977" t="inlineStr">
        <is>
          <t>GL.NOSTRO.EUR.BRGX.009</t>
        </is>
      </c>
      <c r="M977" t="inlineStr">
        <is>
          <t>Ironbark Trust</t>
        </is>
      </c>
      <c r="N977" t="inlineStr">
        <is>
          <t>BRGXCASH</t>
        </is>
      </c>
      <c r="O977" t="inlineStr">
        <is>
          <t>NEW</t>
        </is>
      </c>
      <c r="P977" t="inlineStr">
        <is>
          <t>NT26081900656</t>
        </is>
      </c>
      <c r="Q977" t="inlineStr">
        <is>
          <t>GROSS</t>
        </is>
      </c>
    </row>
    <row r="978">
      <c r="A978" t="inlineStr">
        <is>
          <t>910703979141</t>
        </is>
      </c>
      <c r="B978" t="inlineStr">
        <is>
          <t>TCP</t>
        </is>
      </c>
      <c r="C978" t="inlineStr">
        <is>
          <t>BRCC</t>
        </is>
      </c>
      <c r="D978" s="6" t="n">
        <v>46253</v>
      </c>
      <c r="E978" t="inlineStr">
        <is>
          <t>CR</t>
        </is>
      </c>
      <c r="F978" t="inlineStr">
        <is>
          <t>CHF</t>
        </is>
      </c>
      <c r="G978" s="7" t="n">
        <v>67961.42200000001</v>
      </c>
      <c r="H978" t="inlineStr">
        <is>
          <t>GBP</t>
        </is>
      </c>
      <c r="I978" s="7" t="n">
        <v>60961.396</v>
      </c>
      <c r="J978" s="8" t="n">
        <v>46253.40475694444</v>
      </c>
      <c r="K978" t="inlineStr">
        <is>
          <t>CF260819 00972</t>
        </is>
      </c>
      <c r="L978" t="inlineStr">
        <is>
          <t>GL.NOSTRO.CHF.BRCC.003</t>
        </is>
      </c>
      <c r="M978" t="inlineStr">
        <is>
          <t>Dunlin Bank</t>
        </is>
      </c>
      <c r="N978" t="inlineStr">
        <is>
          <t>BRCCMM</t>
        </is>
      </c>
      <c r="O978" t="inlineStr">
        <is>
          <t>NEW</t>
        </is>
      </c>
      <c r="Q978" t="inlineStr">
        <is>
          <t>GROSS</t>
        </is>
      </c>
    </row>
    <row r="979">
      <c r="A979" t="inlineStr">
        <is>
          <t>132544340094</t>
        </is>
      </c>
      <c r="B979" t="inlineStr">
        <is>
          <t>TCC</t>
        </is>
      </c>
      <c r="C979" t="inlineStr">
        <is>
          <t>BRYG</t>
        </is>
      </c>
      <c r="D979" s="6" t="n">
        <v>46253</v>
      </c>
      <c r="E979" t="inlineStr">
        <is>
          <t>CR</t>
        </is>
      </c>
      <c r="F979" t="inlineStr">
        <is>
          <t>CZK</t>
        </is>
      </c>
      <c r="G979" s="7" t="n">
        <v>10766342209.103</v>
      </c>
      <c r="H979" t="inlineStr">
        <is>
          <t>GBP</t>
        </is>
      </c>
      <c r="I979" s="7" t="n">
        <v>364979000.889</v>
      </c>
      <c r="J979" s="8" t="n">
        <v>46253.44491898148</v>
      </c>
      <c r="K979" t="inlineStr">
        <is>
          <t>CF260819 00973</t>
        </is>
      </c>
      <c r="L979" t="inlineStr">
        <is>
          <t>GL.NOSTRO.CZK.BRYG.007</t>
        </is>
      </c>
      <c r="M979" t="inlineStr">
        <is>
          <t>Cedar Commercial Bank</t>
        </is>
      </c>
      <c r="N979" t="inlineStr">
        <is>
          <t>BRYGMM</t>
        </is>
      </c>
      <c r="O979" t="inlineStr">
        <is>
          <t>NEW</t>
        </is>
      </c>
      <c r="Q979" t="inlineStr">
        <is>
          <t>NETTER</t>
        </is>
      </c>
    </row>
    <row r="980">
      <c r="A980" t="inlineStr">
        <is>
          <t>150316825069</t>
        </is>
      </c>
      <c r="B980" t="inlineStr">
        <is>
          <t>TCG</t>
        </is>
      </c>
      <c r="C980" t="inlineStr">
        <is>
          <t>BRGX</t>
        </is>
      </c>
      <c r="D980" s="6" t="n">
        <v>46253</v>
      </c>
      <c r="E980" t="inlineStr">
        <is>
          <t>DR</t>
        </is>
      </c>
      <c r="F980" t="inlineStr">
        <is>
          <t>GBP</t>
        </is>
      </c>
      <c r="G980" s="7" t="n">
        <v>-844575767.4680001</v>
      </c>
      <c r="H980" t="inlineStr">
        <is>
          <t>GBP</t>
        </is>
      </c>
      <c r="I980" s="7" t="n">
        <v>-844575767.4680001</v>
      </c>
      <c r="J980" s="8" t="n">
        <v>46253.47436342593</v>
      </c>
      <c r="K980" t="inlineStr">
        <is>
          <t>CF260819 00974</t>
        </is>
      </c>
      <c r="L980" t="inlineStr">
        <is>
          <t>GL.NOSTRO.GBP.BRGX.009</t>
        </is>
      </c>
      <c r="M980" t="inlineStr">
        <is>
          <t>Mallow Trust</t>
        </is>
      </c>
      <c r="N980" t="inlineStr">
        <is>
          <t>BRGXMM</t>
        </is>
      </c>
      <c r="O980" t="inlineStr">
        <is>
          <t>NEW</t>
        </is>
      </c>
      <c r="P980" t="inlineStr">
        <is>
          <t>NT26081900689</t>
        </is>
      </c>
      <c r="Q980" t="inlineStr">
        <is>
          <t>INTERNAL</t>
        </is>
      </c>
    </row>
    <row r="981">
      <c r="A981" t="inlineStr">
        <is>
          <t>794226063698</t>
        </is>
      </c>
      <c r="B981" t="inlineStr">
        <is>
          <t>TCQ</t>
        </is>
      </c>
      <c r="C981" t="inlineStr">
        <is>
          <t>BRMD</t>
        </is>
      </c>
      <c r="D981" s="6" t="n">
        <v>46253</v>
      </c>
      <c r="E981" t="inlineStr">
        <is>
          <t>CR</t>
        </is>
      </c>
      <c r="F981" t="inlineStr">
        <is>
          <t>AED</t>
        </is>
      </c>
      <c r="G981" s="7" t="n">
        <v>5879685.96</v>
      </c>
      <c r="H981" t="inlineStr">
        <is>
          <t>GBP</t>
        </is>
      </c>
      <c r="I981" s="7" t="n">
        <v>1252373.109</v>
      </c>
      <c r="J981" s="8" t="n">
        <v>46253.38534722223</v>
      </c>
      <c r="K981" t="inlineStr">
        <is>
          <t>CF260819 00975</t>
        </is>
      </c>
      <c r="L981" t="inlineStr">
        <is>
          <t>GL.NOSTRO.AED.BRMD.004</t>
        </is>
      </c>
      <c r="M981" t="inlineStr">
        <is>
          <t>Thornbury Bank</t>
        </is>
      </c>
      <c r="N981" t="inlineStr">
        <is>
          <t>BRMDTRSY</t>
        </is>
      </c>
      <c r="O981" t="inlineStr">
        <is>
          <t>NEW</t>
        </is>
      </c>
      <c r="Q981" t="inlineStr">
        <is>
          <t>GROSS</t>
        </is>
      </c>
    </row>
    <row r="982">
      <c r="A982" t="inlineStr">
        <is>
          <t>150316825069</t>
        </is>
      </c>
      <c r="B982" t="inlineStr">
        <is>
          <t>TCG</t>
        </is>
      </c>
      <c r="C982" t="inlineStr">
        <is>
          <t>BRGX</t>
        </is>
      </c>
      <c r="D982" s="6" t="n">
        <v>46253</v>
      </c>
      <c r="E982" t="inlineStr">
        <is>
          <t>CR</t>
        </is>
      </c>
      <c r="F982" t="inlineStr">
        <is>
          <t>GBP</t>
        </is>
      </c>
      <c r="G982" s="7" t="n">
        <v>488388776.304</v>
      </c>
      <c r="H982" t="inlineStr">
        <is>
          <t>GBP</t>
        </is>
      </c>
      <c r="I982" s="7" t="n">
        <v>488388776.304</v>
      </c>
      <c r="J982" s="8" t="n">
        <v>46253.62947916667</v>
      </c>
      <c r="K982" t="inlineStr">
        <is>
          <t>CF260819 00976</t>
        </is>
      </c>
      <c r="L982" t="inlineStr">
        <is>
          <t>GL.NOSTRO.GBP.BRGX.009</t>
        </is>
      </c>
      <c r="M982" t="inlineStr">
        <is>
          <t>Fernway Settlement Bank</t>
        </is>
      </c>
      <c r="N982" t="inlineStr">
        <is>
          <t>BRGXMM</t>
        </is>
      </c>
      <c r="O982" t="inlineStr">
        <is>
          <t>NEW</t>
        </is>
      </c>
      <c r="Q982" t="inlineStr">
        <is>
          <t>NETTER</t>
        </is>
      </c>
    </row>
    <row r="983">
      <c r="A983" t="inlineStr">
        <is>
          <t>499062838623</t>
        </is>
      </c>
      <c r="B983" t="inlineStr">
        <is>
          <t>TCP</t>
        </is>
      </c>
      <c r="C983" t="inlineStr">
        <is>
          <t>BRBX</t>
        </is>
      </c>
      <c r="D983" s="6" t="n">
        <v>46253</v>
      </c>
      <c r="E983" t="inlineStr">
        <is>
          <t>CR</t>
        </is>
      </c>
      <c r="F983" t="inlineStr">
        <is>
          <t>USD</t>
        </is>
      </c>
      <c r="G983" s="7" t="n">
        <v>4657304.501</v>
      </c>
      <c r="H983" t="inlineStr">
        <is>
          <t>GBP</t>
        </is>
      </c>
      <c r="I983" s="7" t="n">
        <v>3651326.729</v>
      </c>
      <c r="J983" s="8" t="n">
        <v>46253.3941550926</v>
      </c>
      <c r="K983" t="inlineStr">
        <is>
          <t>CF260819 00977</t>
        </is>
      </c>
      <c r="L983" t="inlineStr">
        <is>
          <t>GL.NOSTRO.USD.BRBX.003</t>
        </is>
      </c>
      <c r="M983" t="inlineStr">
        <is>
          <t>Mallow Commercial Bank</t>
        </is>
      </c>
      <c r="N983" t="inlineStr">
        <is>
          <t>BRBXTRSY</t>
        </is>
      </c>
      <c r="O983" t="inlineStr">
        <is>
          <t>NEW</t>
        </is>
      </c>
      <c r="P983" t="inlineStr">
        <is>
          <t>NT26081900672</t>
        </is>
      </c>
      <c r="Q983" t="inlineStr">
        <is>
          <t>NETTER</t>
        </is>
      </c>
    </row>
    <row r="984">
      <c r="A984" t="inlineStr">
        <is>
          <t>150316825069</t>
        </is>
      </c>
      <c r="B984" t="inlineStr">
        <is>
          <t>TCX</t>
        </is>
      </c>
      <c r="C984" t="inlineStr">
        <is>
          <t>BRGX</t>
        </is>
      </c>
      <c r="D984" s="6" t="n">
        <v>46253</v>
      </c>
      <c r="E984" t="inlineStr">
        <is>
          <t>DR</t>
        </is>
      </c>
      <c r="F984" t="inlineStr">
        <is>
          <t>GBP</t>
        </is>
      </c>
      <c r="G984" s="7" t="n">
        <v>-282952230.43</v>
      </c>
      <c r="H984" t="inlineStr">
        <is>
          <t>GBP</t>
        </is>
      </c>
      <c r="I984" s="7" t="n">
        <v>-282952230.43</v>
      </c>
      <c r="J984" s="8" t="n">
        <v>46253.64875</v>
      </c>
      <c r="K984" t="inlineStr">
        <is>
          <t>CF260819 00978</t>
        </is>
      </c>
      <c r="L984" t="inlineStr">
        <is>
          <t>GL.NOSTRO.GBP.BRGX.007</t>
        </is>
      </c>
      <c r="M984" t="inlineStr">
        <is>
          <t>Nightjar Trust</t>
        </is>
      </c>
      <c r="N984" t="inlineStr">
        <is>
          <t>BRGXTRSY</t>
        </is>
      </c>
      <c r="O984" t="inlineStr">
        <is>
          <t>NEW</t>
        </is>
      </c>
      <c r="Q984" t="inlineStr">
        <is>
          <t>GROSS</t>
        </is>
      </c>
    </row>
    <row r="985">
      <c r="A985" t="inlineStr">
        <is>
          <t>968942362772</t>
        </is>
      </c>
      <c r="B985" t="inlineStr">
        <is>
          <t>TCG</t>
        </is>
      </c>
      <c r="C985" t="inlineStr">
        <is>
          <t>BRYG</t>
        </is>
      </c>
      <c r="D985" s="6" t="n">
        <v>46253</v>
      </c>
      <c r="E985" t="inlineStr">
        <is>
          <t>DR</t>
        </is>
      </c>
      <c r="F985" t="inlineStr">
        <is>
          <t>EUR</t>
        </is>
      </c>
      <c r="G985" s="7" t="n">
        <v>-1311870.627</v>
      </c>
      <c r="H985" t="inlineStr">
        <is>
          <t>GBP</t>
        </is>
      </c>
      <c r="I985" s="7" t="n">
        <v>-1125584.998</v>
      </c>
      <c r="J985" s="8" t="n">
        <v>46253.67101851852</v>
      </c>
      <c r="K985" t="inlineStr">
        <is>
          <t>CF260819 00979</t>
        </is>
      </c>
      <c r="L985" t="inlineStr">
        <is>
          <t>GL.NOSTRO.EUR.BRYG.005</t>
        </is>
      </c>
      <c r="M985" t="inlineStr">
        <is>
          <t>Vetchling Settlement Bank</t>
        </is>
      </c>
      <c r="N985" t="inlineStr">
        <is>
          <t>BRYGCASH</t>
        </is>
      </c>
      <c r="O985" t="inlineStr">
        <is>
          <t>NEW</t>
        </is>
      </c>
      <c r="Q985" t="inlineStr">
        <is>
          <t>NETTER</t>
        </is>
      </c>
    </row>
    <row r="986">
      <c r="A986" t="inlineStr">
        <is>
          <t>927538182434</t>
        </is>
      </c>
      <c r="B986" t="inlineStr">
        <is>
          <t>TCP</t>
        </is>
      </c>
      <c r="C986" t="inlineStr">
        <is>
          <t>BRNK</t>
        </is>
      </c>
      <c r="D986" s="6" t="n">
        <v>46253</v>
      </c>
      <c r="E986" t="inlineStr">
        <is>
          <t>CR</t>
        </is>
      </c>
      <c r="F986" t="inlineStr">
        <is>
          <t>CNY</t>
        </is>
      </c>
      <c r="G986" s="7" t="n">
        <v>404608844.03</v>
      </c>
      <c r="H986" t="inlineStr">
        <is>
          <t>GBP</t>
        </is>
      </c>
      <c r="I986" s="7" t="n">
        <v>44102363.999</v>
      </c>
      <c r="J986" s="8" t="n">
        <v>46253.27030092593</v>
      </c>
      <c r="K986" t="inlineStr">
        <is>
          <t>CF260819 00980</t>
        </is>
      </c>
      <c r="L986" t="inlineStr">
        <is>
          <t>GL.NOSTRO.CNY.BRNK.003</t>
        </is>
      </c>
      <c r="M986" t="inlineStr">
        <is>
          <t>Sablewood Settlement Bank</t>
        </is>
      </c>
      <c r="N986" t="inlineStr">
        <is>
          <t>BRNKCASH</t>
        </is>
      </c>
      <c r="O986" t="inlineStr">
        <is>
          <t>NEW</t>
        </is>
      </c>
      <c r="Q986" t="inlineStr">
        <is>
          <t>NETTER</t>
        </is>
      </c>
    </row>
    <row r="987">
      <c r="A987" t="inlineStr">
        <is>
          <t>150316825069</t>
        </is>
      </c>
      <c r="B987" t="inlineStr">
        <is>
          <t>TCP</t>
        </is>
      </c>
      <c r="C987" t="inlineStr">
        <is>
          <t>BRGX</t>
        </is>
      </c>
      <c r="D987" s="6" t="n">
        <v>46253</v>
      </c>
      <c r="E987" t="inlineStr">
        <is>
          <t>DR</t>
        </is>
      </c>
      <c r="F987" t="inlineStr">
        <is>
          <t>GBP</t>
        </is>
      </c>
      <c r="G987" s="7" t="n">
        <v>-26911438.506</v>
      </c>
      <c r="H987" t="inlineStr">
        <is>
          <t>GBP</t>
        </is>
      </c>
      <c r="I987" s="7" t="n">
        <v>-26911438.506</v>
      </c>
      <c r="J987" s="8" t="n">
        <v>46253.64609953704</v>
      </c>
      <c r="K987" t="inlineStr">
        <is>
          <t>CF260819 00981</t>
        </is>
      </c>
      <c r="L987" t="inlineStr">
        <is>
          <t>GL.NOSTRO.GBP.BRGX.001</t>
        </is>
      </c>
      <c r="M987" t="inlineStr">
        <is>
          <t>Elmwood Bank</t>
        </is>
      </c>
      <c r="N987" t="inlineStr">
        <is>
          <t>BRGXCASH</t>
        </is>
      </c>
      <c r="O987" t="inlineStr">
        <is>
          <t>NEW</t>
        </is>
      </c>
      <c r="Q987" t="inlineStr">
        <is>
          <t>NETTER</t>
        </is>
      </c>
    </row>
    <row r="988">
      <c r="A988" t="inlineStr">
        <is>
          <t>621381112674</t>
        </is>
      </c>
      <c r="B988" t="inlineStr">
        <is>
          <t>TCP</t>
        </is>
      </c>
      <c r="C988" t="inlineStr">
        <is>
          <t>BRAA</t>
        </is>
      </c>
      <c r="D988" s="6" t="n">
        <v>46253</v>
      </c>
      <c r="E988" t="inlineStr">
        <is>
          <t>CR</t>
        </is>
      </c>
      <c r="F988" t="inlineStr">
        <is>
          <t>PLN</t>
        </is>
      </c>
      <c r="G988" s="7" t="n">
        <v>305329.31</v>
      </c>
      <c r="H988" t="inlineStr">
        <is>
          <t>GBP</t>
        </is>
      </c>
      <c r="I988" s="7" t="n">
        <v>60455.203</v>
      </c>
      <c r="J988" s="8" t="n">
        <v>46253.6516550926</v>
      </c>
      <c r="K988" t="inlineStr">
        <is>
          <t>CF260819 00982</t>
        </is>
      </c>
      <c r="L988" t="inlineStr">
        <is>
          <t>GL.NOSTRO.PLN.BRAA.005</t>
        </is>
      </c>
      <c r="M988" t="inlineStr">
        <is>
          <t>Fernway Settlement Bank</t>
        </is>
      </c>
      <c r="N988" t="inlineStr">
        <is>
          <t>BRAACASH</t>
        </is>
      </c>
      <c r="O988" t="inlineStr">
        <is>
          <t>NEW</t>
        </is>
      </c>
      <c r="P988" t="inlineStr">
        <is>
          <t>NT26081900687</t>
        </is>
      </c>
      <c r="Q988" t="inlineStr">
        <is>
          <t>INTERNAL</t>
        </is>
      </c>
    </row>
    <row r="989">
      <c r="A989" t="inlineStr">
        <is>
          <t>700726936098</t>
        </is>
      </c>
      <c r="B989" t="inlineStr">
        <is>
          <t>TCC</t>
        </is>
      </c>
      <c r="C989" t="inlineStr">
        <is>
          <t>BRMD</t>
        </is>
      </c>
      <c r="D989" s="6" t="n">
        <v>46253</v>
      </c>
      <c r="E989" t="inlineStr">
        <is>
          <t>DR</t>
        </is>
      </c>
      <c r="F989" t="inlineStr">
        <is>
          <t>SAR</t>
        </is>
      </c>
      <c r="G989" s="7" t="n">
        <v>-56540123.791</v>
      </c>
      <c r="H989" t="inlineStr">
        <is>
          <t>GBP</t>
        </is>
      </c>
      <c r="I989" s="7" t="n">
        <v>-11816885.872</v>
      </c>
      <c r="J989" s="8" t="n">
        <v>46253.46547453704</v>
      </c>
      <c r="K989" t="inlineStr">
        <is>
          <t>CF260819 00983</t>
        </is>
      </c>
      <c r="L989" t="inlineStr">
        <is>
          <t>GL.NOSTRO.SAR.BRMD.002</t>
        </is>
      </c>
      <c r="M989" t="inlineStr">
        <is>
          <t>Oriel Trust</t>
        </is>
      </c>
      <c r="N989" t="inlineStr">
        <is>
          <t>BRMDTRSY</t>
        </is>
      </c>
      <c r="O989" t="inlineStr">
        <is>
          <t>AMEND</t>
        </is>
      </c>
      <c r="P989" t="inlineStr">
        <is>
          <t>NT26081900658</t>
        </is>
      </c>
      <c r="Q989" t="inlineStr">
        <is>
          <t>INTERNAL</t>
        </is>
      </c>
    </row>
    <row r="990">
      <c r="A990" t="inlineStr">
        <is>
          <t>150316825069</t>
        </is>
      </c>
      <c r="B990" t="inlineStr">
        <is>
          <t>TCG</t>
        </is>
      </c>
      <c r="C990" t="inlineStr">
        <is>
          <t>BRGX</t>
        </is>
      </c>
      <c r="D990" s="6" t="n">
        <v>46253</v>
      </c>
      <c r="E990" t="inlineStr">
        <is>
          <t>CR</t>
        </is>
      </c>
      <c r="F990" t="inlineStr">
        <is>
          <t>GBP</t>
        </is>
      </c>
      <c r="G990" s="7" t="n">
        <v>799799277.845</v>
      </c>
      <c r="H990" t="inlineStr">
        <is>
          <t>GBP</t>
        </is>
      </c>
      <c r="I990" s="7" t="n">
        <v>799799277.845</v>
      </c>
      <c r="J990" s="8" t="n">
        <v>46253.93763888889</v>
      </c>
      <c r="K990" t="inlineStr">
        <is>
          <t>CF260819 00984</t>
        </is>
      </c>
      <c r="L990" t="inlineStr">
        <is>
          <t>GL.NOSTRO.GBP.BRGX.009</t>
        </is>
      </c>
      <c r="M990" t="inlineStr">
        <is>
          <t>Harrow Clearing</t>
        </is>
      </c>
      <c r="N990" t="inlineStr">
        <is>
          <t>BRGXCASH</t>
        </is>
      </c>
      <c r="O990" t="inlineStr">
        <is>
          <t>NEW</t>
        </is>
      </c>
      <c r="Q990" t="inlineStr">
        <is>
          <t>GROSS</t>
        </is>
      </c>
    </row>
    <row r="991">
      <c r="A991" t="inlineStr">
        <is>
          <t>150316825069</t>
        </is>
      </c>
      <c r="B991" t="inlineStr">
        <is>
          <t>TCP</t>
        </is>
      </c>
      <c r="C991" t="inlineStr">
        <is>
          <t>BRGX</t>
        </is>
      </c>
      <c r="D991" s="6" t="n">
        <v>46253</v>
      </c>
      <c r="E991" t="inlineStr">
        <is>
          <t>CR</t>
        </is>
      </c>
      <c r="F991" t="inlineStr">
        <is>
          <t>GBP</t>
        </is>
      </c>
      <c r="G991" s="7" t="n">
        <v>30906799.704</v>
      </c>
      <c r="H991" t="inlineStr">
        <is>
          <t>GBP</t>
        </is>
      </c>
      <c r="I991" s="7" t="n">
        <v>30906799.704</v>
      </c>
      <c r="J991" s="8" t="n">
        <v>46253.62030092593</v>
      </c>
      <c r="K991" t="inlineStr">
        <is>
          <t>CF260819 00985</t>
        </is>
      </c>
      <c r="L991" t="inlineStr">
        <is>
          <t>GL.NOSTRO.GBP.BRGX.003</t>
        </is>
      </c>
      <c r="M991" t="inlineStr">
        <is>
          <t>Yarrow Bank</t>
        </is>
      </c>
      <c r="N991" t="inlineStr">
        <is>
          <t>BRGXMM</t>
        </is>
      </c>
      <c r="O991" t="inlineStr">
        <is>
          <t>NEW</t>
        </is>
      </c>
      <c r="P991" t="inlineStr">
        <is>
          <t>NT26081900656</t>
        </is>
      </c>
      <c r="Q991" t="inlineStr">
        <is>
          <t>GROSS</t>
        </is>
      </c>
    </row>
    <row r="992">
      <c r="A992" t="inlineStr">
        <is>
          <t>953625291146</t>
        </is>
      </c>
      <c r="B992" t="inlineStr">
        <is>
          <t>TCC</t>
        </is>
      </c>
      <c r="C992" t="inlineStr">
        <is>
          <t>BRGL</t>
        </is>
      </c>
      <c r="D992" s="6" t="n">
        <v>46253</v>
      </c>
      <c r="E992" t="inlineStr">
        <is>
          <t>CR</t>
        </is>
      </c>
      <c r="F992" t="inlineStr">
        <is>
          <t>USD</t>
        </is>
      </c>
      <c r="G992" s="7" t="n">
        <v>92586131.50300001</v>
      </c>
      <c r="H992" t="inlineStr">
        <is>
          <t>GBP</t>
        </is>
      </c>
      <c r="I992" s="7" t="n">
        <v>72587527.098</v>
      </c>
      <c r="J992" s="8" t="n">
        <v>46253.36475694444</v>
      </c>
      <c r="K992" t="inlineStr">
        <is>
          <t>CF260819 00986</t>
        </is>
      </c>
      <c r="L992" t="inlineStr">
        <is>
          <t>GL.NOSTRO.USD.BRGL.009</t>
        </is>
      </c>
      <c r="M992" t="inlineStr">
        <is>
          <t>Redstart Trust</t>
        </is>
      </c>
      <c r="N992" t="inlineStr">
        <is>
          <t>BRGL</t>
        </is>
      </c>
      <c r="O992" t="inlineStr">
        <is>
          <t>NEW</t>
        </is>
      </c>
      <c r="Q992" t="inlineStr">
        <is>
          <t>NETTER</t>
        </is>
      </c>
    </row>
    <row r="993">
      <c r="A993" t="inlineStr">
        <is>
          <t>468341071172</t>
        </is>
      </c>
      <c r="B993" t="inlineStr">
        <is>
          <t>TCP</t>
        </is>
      </c>
      <c r="C993" t="inlineStr">
        <is>
          <t>BRCC</t>
        </is>
      </c>
      <c r="D993" s="6" t="n">
        <v>46253</v>
      </c>
      <c r="E993" t="inlineStr">
        <is>
          <t>DR</t>
        </is>
      </c>
      <c r="F993" t="inlineStr">
        <is>
          <t>EUR</t>
        </is>
      </c>
      <c r="G993" s="7" t="n">
        <v>-578699842.752</v>
      </c>
      <c r="H993" t="inlineStr">
        <is>
          <t>GBP</t>
        </is>
      </c>
      <c r="I993" s="7" t="n">
        <v>-496524465.081</v>
      </c>
      <c r="J993" s="8" t="n">
        <v>46253.31951388889</v>
      </c>
      <c r="K993" t="inlineStr">
        <is>
          <t>CF260819 00987</t>
        </is>
      </c>
      <c r="L993" t="inlineStr">
        <is>
          <t>GL.NOSTRO.EUR.BRCC.007</t>
        </is>
      </c>
      <c r="M993" t="inlineStr">
        <is>
          <t>Zephyr Commercial Bank</t>
        </is>
      </c>
      <c r="N993" t="inlineStr">
        <is>
          <t>BRCC</t>
        </is>
      </c>
      <c r="O993" t="inlineStr">
        <is>
          <t>NEW</t>
        </is>
      </c>
      <c r="Q993" t="inlineStr">
        <is>
          <t>NETTER</t>
        </is>
      </c>
    </row>
    <row r="994">
      <c r="A994" t="inlineStr">
        <is>
          <t>499062838623</t>
        </is>
      </c>
      <c r="B994" t="inlineStr">
        <is>
          <t>TCP</t>
        </is>
      </c>
      <c r="C994" t="inlineStr">
        <is>
          <t>BRBX</t>
        </is>
      </c>
      <c r="D994" s="6" t="n">
        <v>46253</v>
      </c>
      <c r="E994" t="inlineStr">
        <is>
          <t>CR</t>
        </is>
      </c>
      <c r="F994" t="inlineStr">
        <is>
          <t>USD</t>
        </is>
      </c>
      <c r="G994" s="7" t="n">
        <v>10487510.184</v>
      </c>
      <c r="H994" t="inlineStr">
        <is>
          <t>GBP</t>
        </is>
      </c>
      <c r="I994" s="7" t="n">
        <v>8222207.984</v>
      </c>
      <c r="J994" s="8" t="n">
        <v>46253.52229166667</v>
      </c>
      <c r="K994" t="inlineStr">
        <is>
          <t>CF260819 00988</t>
        </is>
      </c>
      <c r="L994" t="inlineStr">
        <is>
          <t>GL.NOSTRO.USD.BRBX.005</t>
        </is>
      </c>
      <c r="M994" t="inlineStr">
        <is>
          <t>Juniper Bank</t>
        </is>
      </c>
      <c r="N994" t="inlineStr">
        <is>
          <t>BRBX</t>
        </is>
      </c>
      <c r="O994" t="inlineStr">
        <is>
          <t>NEW</t>
        </is>
      </c>
      <c r="P994" t="inlineStr">
        <is>
          <t>NT26081900684</t>
        </is>
      </c>
      <c r="Q994" t="inlineStr">
        <is>
          <t>GROSS</t>
        </is>
      </c>
    </row>
    <row r="995">
      <c r="A995" t="inlineStr">
        <is>
          <t>150316825069</t>
        </is>
      </c>
      <c r="B995" t="inlineStr">
        <is>
          <t>TCG</t>
        </is>
      </c>
      <c r="C995" t="inlineStr">
        <is>
          <t>BRGX</t>
        </is>
      </c>
      <c r="D995" s="6" t="n">
        <v>46253</v>
      </c>
      <c r="E995" t="inlineStr">
        <is>
          <t>CR</t>
        </is>
      </c>
      <c r="F995" t="inlineStr">
        <is>
          <t>GBP</t>
        </is>
      </c>
      <c r="G995" s="7" t="n">
        <v>7635661.911</v>
      </c>
      <c r="H995" t="inlineStr">
        <is>
          <t>GBP</t>
        </is>
      </c>
      <c r="I995" s="7" t="n">
        <v>7635661.911</v>
      </c>
      <c r="J995" s="8" t="n">
        <v>46253.73486111111</v>
      </c>
      <c r="K995" t="inlineStr">
        <is>
          <t>CF260819 00989</t>
        </is>
      </c>
      <c r="L995" t="inlineStr">
        <is>
          <t>GL.NOSTRO.GBP.BRGX.008</t>
        </is>
      </c>
      <c r="M995" t="inlineStr">
        <is>
          <t>Ironbark Trust</t>
        </is>
      </c>
      <c r="N995" t="inlineStr">
        <is>
          <t>BRGX</t>
        </is>
      </c>
      <c r="O995" t="inlineStr">
        <is>
          <t>NEW</t>
        </is>
      </c>
      <c r="Q995" t="inlineStr">
        <is>
          <t>GROSS</t>
        </is>
      </c>
    </row>
    <row r="996">
      <c r="A996" t="inlineStr">
        <is>
          <t>824840705580</t>
        </is>
      </c>
      <c r="B996" t="inlineStr">
        <is>
          <t>TCG</t>
        </is>
      </c>
      <c r="C996" t="inlineStr">
        <is>
          <t>BRGL</t>
        </is>
      </c>
      <c r="D996" s="6" t="n">
        <v>46253</v>
      </c>
      <c r="E996" t="inlineStr">
        <is>
          <t>DR</t>
        </is>
      </c>
      <c r="F996" t="inlineStr">
        <is>
          <t>EUR</t>
        </is>
      </c>
      <c r="G996" s="7" t="n">
        <v>-6630644977.522</v>
      </c>
      <c r="H996" t="inlineStr">
        <is>
          <t>GBP</t>
        </is>
      </c>
      <c r="I996" s="7" t="n">
        <v>-5689093390.714</v>
      </c>
      <c r="J996" s="8" t="n">
        <v>46253.46896990741</v>
      </c>
      <c r="K996" t="inlineStr">
        <is>
          <t>CF260819 00990</t>
        </is>
      </c>
      <c r="L996" t="inlineStr">
        <is>
          <t>GL.NOSTRO.EUR.BRGL.007</t>
        </is>
      </c>
      <c r="M996" t="inlineStr">
        <is>
          <t>Fernway Settlement Bank</t>
        </is>
      </c>
      <c r="N996" t="inlineStr">
        <is>
          <t>BRGLMM</t>
        </is>
      </c>
      <c r="O996" t="inlineStr">
        <is>
          <t>NEW</t>
        </is>
      </c>
      <c r="Q996" t="inlineStr">
        <is>
          <t>NETTER</t>
        </is>
      </c>
    </row>
    <row r="997">
      <c r="A997" t="inlineStr">
        <is>
          <t>794226063698</t>
        </is>
      </c>
      <c r="B997" t="inlineStr">
        <is>
          <t>TCX</t>
        </is>
      </c>
      <c r="C997" t="inlineStr">
        <is>
          <t>BRMD</t>
        </is>
      </c>
      <c r="D997" s="6" t="n">
        <v>46253</v>
      </c>
      <c r="E997" t="inlineStr">
        <is>
          <t>CR</t>
        </is>
      </c>
      <c r="F997" t="inlineStr">
        <is>
          <t>AED</t>
        </is>
      </c>
      <c r="G997" s="7" t="n">
        <v>16285105404.939</v>
      </c>
      <c r="H997" t="inlineStr">
        <is>
          <t>GBP</t>
        </is>
      </c>
      <c r="I997" s="7" t="n">
        <v>3468727451.252</v>
      </c>
      <c r="J997" s="8" t="n">
        <v>46253.38952546296</v>
      </c>
      <c r="K997" t="inlineStr">
        <is>
          <t>CF260819 00991</t>
        </is>
      </c>
      <c r="L997" t="inlineStr">
        <is>
          <t>GL.NOSTRO.AED.BRMD.009</t>
        </is>
      </c>
      <c r="M997" t="inlineStr">
        <is>
          <t>Wrenfield Settlement Bank</t>
        </is>
      </c>
      <c r="N997" t="inlineStr">
        <is>
          <t>BRMDMM</t>
        </is>
      </c>
      <c r="O997" t="inlineStr">
        <is>
          <t>NEW</t>
        </is>
      </c>
      <c r="Q997" t="inlineStr">
        <is>
          <t>INTERNAL</t>
        </is>
      </c>
    </row>
    <row r="998">
      <c r="A998" t="inlineStr">
        <is>
          <t>824840705580</t>
        </is>
      </c>
      <c r="B998" t="inlineStr">
        <is>
          <t>TCP</t>
        </is>
      </c>
      <c r="C998" t="inlineStr">
        <is>
          <t>BRGL</t>
        </is>
      </c>
      <c r="D998" s="6" t="n">
        <v>46253</v>
      </c>
      <c r="E998" t="inlineStr">
        <is>
          <t>DR</t>
        </is>
      </c>
      <c r="F998" t="inlineStr">
        <is>
          <t>EUR</t>
        </is>
      </c>
      <c r="G998" s="7" t="n">
        <v>-7055443.675</v>
      </c>
      <c r="H998" t="inlineStr">
        <is>
          <t>GBP</t>
        </is>
      </c>
      <c r="I998" s="7" t="n">
        <v>-6053570.673</v>
      </c>
      <c r="J998" s="8" t="n">
        <v>46253.23791666667</v>
      </c>
      <c r="K998" t="inlineStr">
        <is>
          <t>CF260819 00992</t>
        </is>
      </c>
      <c r="L998" t="inlineStr">
        <is>
          <t>GL.NOSTRO.EUR.BRGL.007</t>
        </is>
      </c>
      <c r="M998" t="inlineStr">
        <is>
          <t>Thornbury Bank</t>
        </is>
      </c>
      <c r="N998" t="inlineStr">
        <is>
          <t>BRGLMM</t>
        </is>
      </c>
      <c r="O998" t="inlineStr">
        <is>
          <t>NEW</t>
        </is>
      </c>
      <c r="P998" t="inlineStr">
        <is>
          <t>NT26081900664</t>
        </is>
      </c>
      <c r="Q998" t="inlineStr">
        <is>
          <t>GROSS</t>
        </is>
      </c>
    </row>
    <row r="999">
      <c r="A999" t="inlineStr">
        <is>
          <t>700726936098</t>
        </is>
      </c>
      <c r="B999" t="inlineStr">
        <is>
          <t>TCQ</t>
        </is>
      </c>
      <c r="C999" t="inlineStr">
        <is>
          <t>BRMD</t>
        </is>
      </c>
      <c r="D999" s="6" t="n">
        <v>46253</v>
      </c>
      <c r="E999" t="inlineStr">
        <is>
          <t>DR</t>
        </is>
      </c>
      <c r="F999" t="inlineStr">
        <is>
          <t>SAR</t>
        </is>
      </c>
      <c r="G999" s="7" t="n">
        <v>-3064490.54</v>
      </c>
      <c r="H999" t="inlineStr">
        <is>
          <t>GBP</t>
        </is>
      </c>
      <c r="I999" s="7" t="n">
        <v>-640478.523</v>
      </c>
      <c r="J999" s="8" t="n">
        <v>46253.55518518519</v>
      </c>
      <c r="K999" t="inlineStr">
        <is>
          <t>CF260819 00993</t>
        </is>
      </c>
      <c r="L999" t="inlineStr">
        <is>
          <t>GL.NOSTRO.SAR.BRMD.007</t>
        </is>
      </c>
      <c r="M999" t="inlineStr">
        <is>
          <t>Dunlin Clearing</t>
        </is>
      </c>
      <c r="N999" t="inlineStr">
        <is>
          <t>BRMDMM</t>
        </is>
      </c>
      <c r="O999" t="inlineStr">
        <is>
          <t>NEW</t>
        </is>
      </c>
      <c r="Q999" t="inlineStr">
        <is>
          <t>GROSS</t>
        </is>
      </c>
    </row>
    <row r="1000">
      <c r="A1000" t="inlineStr">
        <is>
          <t>499062838623</t>
        </is>
      </c>
      <c r="B1000" t="inlineStr">
        <is>
          <t>TCP</t>
        </is>
      </c>
      <c r="C1000" t="inlineStr">
        <is>
          <t>BRBX</t>
        </is>
      </c>
      <c r="D1000" s="6" t="n">
        <v>46253</v>
      </c>
      <c r="E1000" t="inlineStr">
        <is>
          <t>CR</t>
        </is>
      </c>
      <c r="F1000" t="inlineStr">
        <is>
          <t>USD</t>
        </is>
      </c>
      <c r="G1000" s="7" t="n">
        <v>70191269.192</v>
      </c>
      <c r="H1000" t="inlineStr">
        <is>
          <t>GBP</t>
        </is>
      </c>
      <c r="I1000" s="7" t="n">
        <v>55029955.047</v>
      </c>
      <c r="J1000" s="8" t="n">
        <v>46253.44173611111</v>
      </c>
      <c r="K1000" t="inlineStr">
        <is>
          <t>CF260819 00994</t>
        </is>
      </c>
      <c r="L1000" t="inlineStr">
        <is>
          <t>GL.NOSTRO.USD.BRBX.004</t>
        </is>
      </c>
      <c r="M1000" t="inlineStr">
        <is>
          <t>Elmwood Trust</t>
        </is>
      </c>
      <c r="N1000" t="inlineStr">
        <is>
          <t>BRBX</t>
        </is>
      </c>
      <c r="O1000" t="inlineStr">
        <is>
          <t>NEW</t>
        </is>
      </c>
      <c r="Q1000" t="inlineStr">
        <is>
          <t>GROSS</t>
        </is>
      </c>
    </row>
    <row r="1001">
      <c r="A1001" t="inlineStr">
        <is>
          <t>132544340094</t>
        </is>
      </c>
      <c r="B1001" t="inlineStr">
        <is>
          <t>TCC</t>
        </is>
      </c>
      <c r="C1001" t="inlineStr">
        <is>
          <t>BRYG</t>
        </is>
      </c>
      <c r="D1001" s="6" t="n">
        <v>46253</v>
      </c>
      <c r="E1001" t="inlineStr">
        <is>
          <t>DR</t>
        </is>
      </c>
      <c r="F1001" t="inlineStr">
        <is>
          <t>CZK</t>
        </is>
      </c>
      <c r="G1001" s="7" t="n">
        <v>-1372439.208</v>
      </c>
      <c r="H1001" t="inlineStr">
        <is>
          <t>GBP</t>
        </is>
      </c>
      <c r="I1001" s="7" t="n">
        <v>-46525.689</v>
      </c>
      <c r="J1001" s="8" t="n">
        <v>46253.31127314815</v>
      </c>
      <c r="K1001" t="inlineStr">
        <is>
          <t>CF260819 00995</t>
        </is>
      </c>
      <c r="L1001" t="inlineStr">
        <is>
          <t>GL.NOSTRO.CZK.BRYG.007</t>
        </is>
      </c>
      <c r="M1001" t="inlineStr">
        <is>
          <t>Granite Bank</t>
        </is>
      </c>
      <c r="N1001" t="inlineStr">
        <is>
          <t>BRYGMM</t>
        </is>
      </c>
      <c r="O1001" t="inlineStr">
        <is>
          <t>CANCEL</t>
        </is>
      </c>
      <c r="Q1001" t="inlineStr">
        <is>
          <t>GROSS</t>
        </is>
      </c>
    </row>
    <row r="1002">
      <c r="A1002" t="inlineStr">
        <is>
          <t>927538182434</t>
        </is>
      </c>
      <c r="B1002" t="inlineStr">
        <is>
          <t>TCC</t>
        </is>
      </c>
      <c r="C1002" t="inlineStr">
        <is>
          <t>BRNK</t>
        </is>
      </c>
      <c r="D1002" s="6" t="n">
        <v>46253</v>
      </c>
      <c r="E1002" t="inlineStr">
        <is>
          <t>DR</t>
        </is>
      </c>
      <c r="F1002" t="inlineStr">
        <is>
          <t>CNY</t>
        </is>
      </c>
      <c r="G1002" s="7" t="n">
        <v>-3168497.535</v>
      </c>
      <c r="H1002" t="inlineStr">
        <is>
          <t>GBP</t>
        </is>
      </c>
      <c r="I1002" s="7" t="n">
        <v>-345366.231</v>
      </c>
      <c r="J1002" s="8" t="n">
        <v>46253.72039351852</v>
      </c>
      <c r="K1002" t="inlineStr">
        <is>
          <t>CF260819 00996</t>
        </is>
      </c>
      <c r="L1002" t="inlineStr">
        <is>
          <t>GL.NOSTRO.CNY.BRNK.003</t>
        </is>
      </c>
      <c r="M1002" t="inlineStr">
        <is>
          <t>Harrow Clearing</t>
        </is>
      </c>
      <c r="N1002" t="inlineStr">
        <is>
          <t>BRNK</t>
        </is>
      </c>
      <c r="O1002" t="inlineStr">
        <is>
          <t>AMEND</t>
        </is>
      </c>
      <c r="Q1002" t="inlineStr">
        <is>
          <t>INTERNAL</t>
        </is>
      </c>
    </row>
    <row r="1003">
      <c r="A1003" t="inlineStr">
        <is>
          <t>968942362772</t>
        </is>
      </c>
      <c r="B1003" t="inlineStr">
        <is>
          <t>TCQ</t>
        </is>
      </c>
      <c r="C1003" t="inlineStr">
        <is>
          <t>BRYG</t>
        </is>
      </c>
      <c r="D1003" s="6" t="n">
        <v>46253</v>
      </c>
      <c r="E1003" t="inlineStr">
        <is>
          <t>CR</t>
        </is>
      </c>
      <c r="F1003" t="inlineStr">
        <is>
          <t>EUR</t>
        </is>
      </c>
      <c r="G1003" s="7" t="n">
        <v>97021100.873</v>
      </c>
      <c r="H1003" t="inlineStr">
        <is>
          <t>GBP</t>
        </is>
      </c>
      <c r="I1003" s="7" t="n">
        <v>83244104.54899999</v>
      </c>
      <c r="J1003" s="8" t="n">
        <v>46253.43532407407</v>
      </c>
      <c r="K1003" t="inlineStr">
        <is>
          <t>CF260819 00997</t>
        </is>
      </c>
      <c r="L1003" t="inlineStr">
        <is>
          <t>GL.NOSTRO.EUR.BRYG.005</t>
        </is>
      </c>
      <c r="M1003" t="inlineStr">
        <is>
          <t>Granite Bank</t>
        </is>
      </c>
      <c r="N1003" t="inlineStr">
        <is>
          <t>BRYG</t>
        </is>
      </c>
      <c r="O1003" t="inlineStr">
        <is>
          <t>NEW</t>
        </is>
      </c>
      <c r="Q1003" t="inlineStr">
        <is>
          <t>NETTER</t>
        </is>
      </c>
    </row>
    <row r="1004">
      <c r="A1004" t="inlineStr">
        <is>
          <t>968942362772</t>
        </is>
      </c>
      <c r="B1004" t="inlineStr">
        <is>
          <t>TCG</t>
        </is>
      </c>
      <c r="C1004" t="inlineStr">
        <is>
          <t>BRYG</t>
        </is>
      </c>
      <c r="D1004" s="6" t="n">
        <v>46253</v>
      </c>
      <c r="E1004" t="inlineStr">
        <is>
          <t>CR</t>
        </is>
      </c>
      <c r="F1004" t="inlineStr">
        <is>
          <t>EUR</t>
        </is>
      </c>
      <c r="G1004" s="7" t="n">
        <v>49031511.71</v>
      </c>
      <c r="H1004" t="inlineStr">
        <is>
          <t>GBP</t>
        </is>
      </c>
      <c r="I1004" s="7" t="n">
        <v>42069037.047</v>
      </c>
      <c r="J1004" s="8" t="n">
        <v>46253.67100694445</v>
      </c>
      <c r="K1004" t="inlineStr">
        <is>
          <t>CF260819 00998</t>
        </is>
      </c>
      <c r="L1004" t="inlineStr">
        <is>
          <t>GL.NOSTRO.EUR.BRYG.005</t>
        </is>
      </c>
      <c r="M1004" t="inlineStr">
        <is>
          <t>Nightjar Bank</t>
        </is>
      </c>
      <c r="N1004" t="inlineStr">
        <is>
          <t>BRYGCASH</t>
        </is>
      </c>
      <c r="O1004" t="inlineStr">
        <is>
          <t>NEW</t>
        </is>
      </c>
      <c r="P1004" t="inlineStr">
        <is>
          <t>NT26081900657</t>
        </is>
      </c>
      <c r="Q1004" t="inlineStr">
        <is>
          <t>NETTER</t>
        </is>
      </c>
    </row>
    <row r="1005">
      <c r="A1005" t="inlineStr">
        <is>
          <t>150316825069</t>
        </is>
      </c>
      <c r="B1005" t="inlineStr">
        <is>
          <t>TCG</t>
        </is>
      </c>
      <c r="C1005" t="inlineStr">
        <is>
          <t>BRGX</t>
        </is>
      </c>
      <c r="D1005" s="6" t="n">
        <v>46253</v>
      </c>
      <c r="E1005" t="inlineStr">
        <is>
          <t>DR</t>
        </is>
      </c>
      <c r="F1005" t="inlineStr">
        <is>
          <t>GBP</t>
        </is>
      </c>
      <c r="G1005" s="7" t="n">
        <v>-231800.991</v>
      </c>
      <c r="H1005" t="inlineStr">
        <is>
          <t>GBP</t>
        </is>
      </c>
      <c r="I1005" s="7" t="n">
        <v>-231800.991</v>
      </c>
      <c r="J1005" s="8" t="n">
        <v>46253.52527777778</v>
      </c>
      <c r="K1005" t="inlineStr">
        <is>
          <t>CF260819 00999</t>
        </is>
      </c>
      <c r="L1005" t="inlineStr">
        <is>
          <t>GL.NOSTRO.GBP.BRGX.009</t>
        </is>
      </c>
      <c r="M1005" t="inlineStr">
        <is>
          <t>Juniper Settlement Bank</t>
        </is>
      </c>
      <c r="N1005" t="inlineStr">
        <is>
          <t>BRGXTRSY</t>
        </is>
      </c>
      <c r="O1005" t="inlineStr">
        <is>
          <t>NEW</t>
        </is>
      </c>
      <c r="Q1005" t="inlineStr">
        <is>
          <t>GROSS</t>
        </is>
      </c>
    </row>
    <row r="1006">
      <c r="A1006" t="inlineStr">
        <is>
          <t>794226063698</t>
        </is>
      </c>
      <c r="B1006" t="inlineStr">
        <is>
          <t>TCQ</t>
        </is>
      </c>
      <c r="C1006" t="inlineStr">
        <is>
          <t>BRMD</t>
        </is>
      </c>
      <c r="D1006" s="6" t="n">
        <v>46253</v>
      </c>
      <c r="E1006" t="inlineStr">
        <is>
          <t>CR</t>
        </is>
      </c>
      <c r="F1006" t="inlineStr">
        <is>
          <t>AED</t>
        </is>
      </c>
      <c r="G1006" s="7" t="n">
        <v>530005889.89</v>
      </c>
      <c r="H1006" t="inlineStr">
        <is>
          <t>GBP</t>
        </is>
      </c>
      <c r="I1006" s="7" t="n">
        <v>112891254.547</v>
      </c>
      <c r="J1006" s="8" t="n">
        <v>46253.59214120371</v>
      </c>
      <c r="K1006" t="inlineStr">
        <is>
          <t>CF260819 01000</t>
        </is>
      </c>
      <c r="L1006" t="inlineStr">
        <is>
          <t>GL.NOSTRO.AED.BRMD.003</t>
        </is>
      </c>
      <c r="M1006" t="inlineStr">
        <is>
          <t>Sablewood Commercial Bank</t>
        </is>
      </c>
      <c r="N1006" t="inlineStr">
        <is>
          <t>BRMDTRSY</t>
        </is>
      </c>
      <c r="O1006" t="inlineStr">
        <is>
          <t>NEW</t>
        </is>
      </c>
      <c r="Q1006" t="inlineStr">
        <is>
          <t>GROSS</t>
        </is>
      </c>
    </row>
    <row r="1007">
      <c r="A1007" t="inlineStr">
        <is>
          <t>910703979141</t>
        </is>
      </c>
      <c r="B1007" t="inlineStr">
        <is>
          <t>TCG</t>
        </is>
      </c>
      <c r="C1007" t="inlineStr">
        <is>
          <t>BRCC</t>
        </is>
      </c>
      <c r="D1007" s="6" t="n">
        <v>46253</v>
      </c>
      <c r="E1007" t="inlineStr">
        <is>
          <t>DR</t>
        </is>
      </c>
      <c r="F1007" t="inlineStr">
        <is>
          <t>CHF</t>
        </is>
      </c>
      <c r="G1007" s="7" t="n">
        <v>-81464007.68099999</v>
      </c>
      <c r="H1007" t="inlineStr">
        <is>
          <t>GBP</t>
        </is>
      </c>
      <c r="I1007" s="7" t="n">
        <v>-73073214.89</v>
      </c>
      <c r="J1007" s="8" t="n">
        <v>46253.66287037037</v>
      </c>
      <c r="K1007" t="inlineStr">
        <is>
          <t>CF260819 01001</t>
        </is>
      </c>
      <c r="L1007" t="inlineStr">
        <is>
          <t>GL.NOSTRO.CHF.BRCC.004</t>
        </is>
      </c>
      <c r="M1007" t="inlineStr">
        <is>
          <t>Sablewood Commercial Bank</t>
        </is>
      </c>
      <c r="N1007" t="inlineStr">
        <is>
          <t>BRCCMM</t>
        </is>
      </c>
      <c r="O1007" t="inlineStr">
        <is>
          <t>NEW</t>
        </is>
      </c>
      <c r="Q1007" t="inlineStr">
        <is>
          <t>INTERNAL</t>
        </is>
      </c>
    </row>
    <row r="1008">
      <c r="A1008" t="inlineStr">
        <is>
          <t>898317028833</t>
        </is>
      </c>
      <c r="B1008" t="inlineStr">
        <is>
          <t>TCP</t>
        </is>
      </c>
      <c r="C1008" t="inlineStr">
        <is>
          <t>BRAA</t>
        </is>
      </c>
      <c r="D1008" s="6" t="n">
        <v>46253</v>
      </c>
      <c r="E1008" t="inlineStr">
        <is>
          <t>CR</t>
        </is>
      </c>
      <c r="F1008" t="inlineStr">
        <is>
          <t>GBP</t>
        </is>
      </c>
      <c r="G1008" s="7" t="n">
        <v>5789378.098</v>
      </c>
      <c r="H1008" t="inlineStr">
        <is>
          <t>GBP</t>
        </is>
      </c>
      <c r="I1008" s="7" t="n">
        <v>5789378.098</v>
      </c>
      <c r="J1008" s="8" t="n">
        <v>46253.44962962963</v>
      </c>
      <c r="K1008" t="inlineStr">
        <is>
          <t>CF260819 01002</t>
        </is>
      </c>
      <c r="L1008" t="inlineStr">
        <is>
          <t>GL.NOSTRO.GBP.BRAA.007</t>
        </is>
      </c>
      <c r="M1008" t="inlineStr">
        <is>
          <t>Redstart Trust</t>
        </is>
      </c>
      <c r="N1008" t="inlineStr">
        <is>
          <t>BRAAMM</t>
        </is>
      </c>
      <c r="O1008" t="inlineStr">
        <is>
          <t>NEW</t>
        </is>
      </c>
      <c r="Q1008" t="inlineStr">
        <is>
          <t>NETTER</t>
        </is>
      </c>
    </row>
    <row r="1009">
      <c r="A1009" t="inlineStr">
        <is>
          <t>953625291146</t>
        </is>
      </c>
      <c r="B1009" t="inlineStr">
        <is>
          <t>TCQ</t>
        </is>
      </c>
      <c r="C1009" t="inlineStr">
        <is>
          <t>BRGL</t>
        </is>
      </c>
      <c r="D1009" s="6" t="n">
        <v>46253</v>
      </c>
      <c r="E1009" t="inlineStr">
        <is>
          <t>DR</t>
        </is>
      </c>
      <c r="F1009" t="inlineStr">
        <is>
          <t>USD</t>
        </is>
      </c>
      <c r="G1009" s="7" t="n">
        <v>-17196915.387</v>
      </c>
      <c r="H1009" t="inlineStr">
        <is>
          <t>GBP</t>
        </is>
      </c>
      <c r="I1009" s="7" t="n">
        <v>-13482381.663</v>
      </c>
      <c r="J1009" s="8" t="n">
        <v>46253.63774305556</v>
      </c>
      <c r="K1009" t="inlineStr">
        <is>
          <t>CF260819 01003</t>
        </is>
      </c>
      <c r="L1009" t="inlineStr">
        <is>
          <t>GL.NOSTRO.USD.BRGL.004</t>
        </is>
      </c>
      <c r="M1009" t="inlineStr">
        <is>
          <t>Bramble Bank</t>
        </is>
      </c>
      <c r="N1009" t="inlineStr">
        <is>
          <t>BRGL</t>
        </is>
      </c>
      <c r="O1009" t="inlineStr">
        <is>
          <t>NEW</t>
        </is>
      </c>
      <c r="P1009" t="inlineStr">
        <is>
          <t>NT26081900673</t>
        </is>
      </c>
      <c r="Q1009" t="inlineStr">
        <is>
          <t>GROSS</t>
        </is>
      </c>
    </row>
    <row r="1010">
      <c r="A1010" t="inlineStr">
        <is>
          <t>621381112674</t>
        </is>
      </c>
      <c r="B1010" t="inlineStr">
        <is>
          <t>TCG</t>
        </is>
      </c>
      <c r="C1010" t="inlineStr">
        <is>
          <t>BRAA</t>
        </is>
      </c>
      <c r="D1010" s="6" t="n">
        <v>46253</v>
      </c>
      <c r="E1010" t="inlineStr">
        <is>
          <t>CR</t>
        </is>
      </c>
      <c r="F1010" t="inlineStr">
        <is>
          <t>PLN</t>
        </is>
      </c>
      <c r="G1010" s="7" t="n">
        <v>301630005.568</v>
      </c>
      <c r="H1010" t="inlineStr">
        <is>
          <t>GBP</t>
        </is>
      </c>
      <c r="I1010" s="7" t="n">
        <v>59722741.102</v>
      </c>
      <c r="J1010" s="8" t="n">
        <v>46253.38452546296</v>
      </c>
      <c r="K1010" t="inlineStr">
        <is>
          <t>CF260819 01004</t>
        </is>
      </c>
      <c r="L1010" t="inlineStr">
        <is>
          <t>GL.NOSTRO.PLN.BRAA.001</t>
        </is>
      </c>
      <c r="M1010" t="inlineStr">
        <is>
          <t>Alder Clearing</t>
        </is>
      </c>
      <c r="N1010" t="inlineStr">
        <is>
          <t>BRAACASH</t>
        </is>
      </c>
      <c r="O1010" t="inlineStr">
        <is>
          <t>NEW</t>
        </is>
      </c>
      <c r="P1010" t="inlineStr">
        <is>
          <t>NT26081900675</t>
        </is>
      </c>
      <c r="Q1010" t="inlineStr">
        <is>
          <t>NETTER</t>
        </is>
      </c>
    </row>
    <row r="1011">
      <c r="A1011" t="inlineStr">
        <is>
          <t>499062838623</t>
        </is>
      </c>
      <c r="B1011" t="inlineStr">
        <is>
          <t>TCX</t>
        </is>
      </c>
      <c r="C1011" t="inlineStr">
        <is>
          <t>BRBX</t>
        </is>
      </c>
      <c r="D1011" s="6" t="n">
        <v>46253</v>
      </c>
      <c r="E1011" t="inlineStr">
        <is>
          <t>CR</t>
        </is>
      </c>
      <c r="F1011" t="inlineStr">
        <is>
          <t>USD</t>
        </is>
      </c>
      <c r="G1011" s="7" t="n">
        <v>68983.647</v>
      </c>
      <c r="H1011" t="inlineStr">
        <is>
          <t>GBP</t>
        </is>
      </c>
      <c r="I1011" s="7" t="n">
        <v>54083.179</v>
      </c>
      <c r="J1011" s="8" t="n">
        <v>46253.305</v>
      </c>
      <c r="K1011" t="inlineStr">
        <is>
          <t>CF260819 01005</t>
        </is>
      </c>
      <c r="L1011" t="inlineStr">
        <is>
          <t>GL.NOSTRO.USD.BRBX.001</t>
        </is>
      </c>
      <c r="M1011" t="inlineStr">
        <is>
          <t>Elmwood Trust</t>
        </is>
      </c>
      <c r="N1011" t="inlineStr">
        <is>
          <t>BRBXMM</t>
        </is>
      </c>
      <c r="O1011" t="inlineStr">
        <is>
          <t>NEW</t>
        </is>
      </c>
      <c r="P1011" t="inlineStr">
        <is>
          <t>NT26081900678</t>
        </is>
      </c>
      <c r="Q1011" t="inlineStr">
        <is>
          <t>NETTER</t>
        </is>
      </c>
    </row>
    <row r="1012">
      <c r="A1012" t="inlineStr">
        <is>
          <t>468341071172</t>
        </is>
      </c>
      <c r="B1012" t="inlineStr">
        <is>
          <t>TCX</t>
        </is>
      </c>
      <c r="C1012" t="inlineStr">
        <is>
          <t>BRCC</t>
        </is>
      </c>
      <c r="D1012" s="6" t="n">
        <v>46253</v>
      </c>
      <c r="E1012" t="inlineStr">
        <is>
          <t>CR</t>
        </is>
      </c>
      <c r="F1012" t="inlineStr">
        <is>
          <t>EUR</t>
        </is>
      </c>
      <c r="G1012" s="7" t="n">
        <v>2425506.596</v>
      </c>
      <c r="H1012" t="inlineStr">
        <is>
          <t>GBP</t>
        </is>
      </c>
      <c r="I1012" s="7" t="n">
        <v>2081084.659</v>
      </c>
      <c r="J1012" s="8" t="n">
        <v>46253.42898148148</v>
      </c>
      <c r="K1012" t="inlineStr">
        <is>
          <t>CF260819 01006</t>
        </is>
      </c>
      <c r="L1012" t="inlineStr">
        <is>
          <t>GL.NOSTRO.EUR.BRCC.004</t>
        </is>
      </c>
      <c r="M1012" t="inlineStr">
        <is>
          <t>Granite Bank</t>
        </is>
      </c>
      <c r="N1012" t="inlineStr">
        <is>
          <t>BRCC</t>
        </is>
      </c>
      <c r="O1012" t="inlineStr">
        <is>
          <t>AMEND</t>
        </is>
      </c>
      <c r="P1012" t="inlineStr">
        <is>
          <t>NT26081900692</t>
        </is>
      </c>
      <c r="Q1012" t="inlineStr">
        <is>
          <t>GROSS</t>
        </is>
      </c>
    </row>
    <row r="1013">
      <c r="A1013" t="inlineStr">
        <is>
          <t>171857983160</t>
        </is>
      </c>
      <c r="B1013" t="inlineStr">
        <is>
          <t>TCQ</t>
        </is>
      </c>
      <c r="C1013" t="inlineStr">
        <is>
          <t>BRBX</t>
        </is>
      </c>
      <c r="D1013" s="6" t="n">
        <v>46253</v>
      </c>
      <c r="E1013" t="inlineStr">
        <is>
          <t>CR</t>
        </is>
      </c>
      <c r="F1013" t="inlineStr">
        <is>
          <t>AUD</t>
        </is>
      </c>
      <c r="G1013" s="7" t="n">
        <v>12628125.922</v>
      </c>
      <c r="H1013" t="inlineStr">
        <is>
          <t>GBP</t>
        </is>
      </c>
      <c r="I1013" s="7" t="n">
        <v>6478228.598</v>
      </c>
      <c r="J1013" s="8" t="n">
        <v>46253.54152777778</v>
      </c>
      <c r="K1013" t="inlineStr">
        <is>
          <t>CF260819 01007</t>
        </is>
      </c>
      <c r="L1013" t="inlineStr">
        <is>
          <t>GL.NOSTRO.AUD.BRBX.002</t>
        </is>
      </c>
      <c r="M1013" t="inlineStr">
        <is>
          <t>Cedar Commercial Bank</t>
        </is>
      </c>
      <c r="N1013" t="inlineStr">
        <is>
          <t>BRBXMM</t>
        </is>
      </c>
      <c r="O1013" t="inlineStr">
        <is>
          <t>NEW</t>
        </is>
      </c>
      <c r="Q1013" t="inlineStr">
        <is>
          <t>INTERNAL</t>
        </is>
      </c>
    </row>
    <row r="1014">
      <c r="A1014" t="inlineStr">
        <is>
          <t>499062838623</t>
        </is>
      </c>
      <c r="B1014" t="inlineStr">
        <is>
          <t>TCC</t>
        </is>
      </c>
      <c r="C1014" t="inlineStr">
        <is>
          <t>BRBX</t>
        </is>
      </c>
      <c r="D1014" s="6" t="n">
        <v>46253</v>
      </c>
      <c r="E1014" t="inlineStr">
        <is>
          <t>CR</t>
        </is>
      </c>
      <c r="F1014" t="inlineStr">
        <is>
          <t>USD</t>
        </is>
      </c>
      <c r="G1014" s="7" t="n">
        <v>971330203.112</v>
      </c>
      <c r="H1014" t="inlineStr">
        <is>
          <t>GBP</t>
        </is>
      </c>
      <c r="I1014" s="7" t="n">
        <v>761522879.24</v>
      </c>
      <c r="J1014" s="8" t="n">
        <v>46253.39686342593</v>
      </c>
      <c r="K1014" t="inlineStr">
        <is>
          <t>CF260819 01008</t>
        </is>
      </c>
      <c r="L1014" t="inlineStr">
        <is>
          <t>GL.NOSTRO.USD.BRBX.008</t>
        </is>
      </c>
      <c r="M1014" t="inlineStr">
        <is>
          <t>Yarrow Clearing</t>
        </is>
      </c>
      <c r="N1014" t="inlineStr">
        <is>
          <t>BRBXTRSY</t>
        </is>
      </c>
      <c r="O1014" t="inlineStr">
        <is>
          <t>NEW</t>
        </is>
      </c>
      <c r="Q1014" t="inlineStr">
        <is>
          <t>NETTER</t>
        </is>
      </c>
    </row>
    <row r="1015">
      <c r="A1015" t="inlineStr">
        <is>
          <t>468341071172</t>
        </is>
      </c>
      <c r="B1015" t="inlineStr">
        <is>
          <t>TCC</t>
        </is>
      </c>
      <c r="C1015" t="inlineStr">
        <is>
          <t>BRCC</t>
        </is>
      </c>
      <c r="D1015" s="6" t="n">
        <v>46253</v>
      </c>
      <c r="E1015" t="inlineStr">
        <is>
          <t>CR</t>
        </is>
      </c>
      <c r="F1015" t="inlineStr">
        <is>
          <t>EUR</t>
        </is>
      </c>
      <c r="G1015" s="7" t="n">
        <v>8932578.831</v>
      </c>
      <c r="H1015" t="inlineStr">
        <is>
          <t>GBP</t>
        </is>
      </c>
      <c r="I1015" s="7" t="n">
        <v>7664152.637</v>
      </c>
      <c r="J1015" s="8" t="n">
        <v>46253.44425925926</v>
      </c>
      <c r="K1015" t="inlineStr">
        <is>
          <t>CF260819 01009</t>
        </is>
      </c>
      <c r="L1015" t="inlineStr">
        <is>
          <t>GL.NOSTRO.EUR.BRCC.005</t>
        </is>
      </c>
      <c r="M1015" t="inlineStr">
        <is>
          <t>Granite Bank</t>
        </is>
      </c>
      <c r="N1015" t="inlineStr">
        <is>
          <t>BRCCMM</t>
        </is>
      </c>
      <c r="O1015" t="inlineStr">
        <is>
          <t>NEW</t>
        </is>
      </c>
      <c r="P1015" t="inlineStr">
        <is>
          <t>NT26081900682</t>
        </is>
      </c>
      <c r="Q1015" t="inlineStr">
        <is>
          <t>NETTER</t>
        </is>
      </c>
    </row>
    <row r="1016">
      <c r="A1016" t="inlineStr">
        <is>
          <t>265771593142</t>
        </is>
      </c>
      <c r="B1016" t="inlineStr">
        <is>
          <t>TCQ</t>
        </is>
      </c>
      <c r="C1016" t="inlineStr">
        <is>
          <t>BRYG</t>
        </is>
      </c>
      <c r="D1016" s="6" t="n">
        <v>46253</v>
      </c>
      <c r="E1016" t="inlineStr">
        <is>
          <t>CR</t>
        </is>
      </c>
      <c r="F1016" t="inlineStr">
        <is>
          <t>EUR</t>
        </is>
      </c>
      <c r="G1016" s="7" t="n">
        <v>306000.814</v>
      </c>
      <c r="H1016" t="inlineStr">
        <is>
          <t>GBP</t>
        </is>
      </c>
      <c r="I1016" s="7" t="n">
        <v>262548.698</v>
      </c>
      <c r="J1016" s="8" t="n">
        <v>46253.33840277778</v>
      </c>
      <c r="K1016" t="inlineStr">
        <is>
          <t>CF260819 01010</t>
        </is>
      </c>
      <c r="L1016" t="inlineStr">
        <is>
          <t>GL.NOSTRO.EUR.BRYG.006</t>
        </is>
      </c>
      <c r="M1016" t="inlineStr">
        <is>
          <t>Nightjar Trust</t>
        </is>
      </c>
      <c r="N1016" t="inlineStr">
        <is>
          <t>BRYGMM</t>
        </is>
      </c>
      <c r="O1016" t="inlineStr">
        <is>
          <t>NEW</t>
        </is>
      </c>
      <c r="Q1016" t="inlineStr">
        <is>
          <t>GROSS</t>
        </is>
      </c>
    </row>
    <row r="1017">
      <c r="A1017" t="inlineStr">
        <is>
          <t>150316825069</t>
        </is>
      </c>
      <c r="B1017" t="inlineStr">
        <is>
          <t>TCX</t>
        </is>
      </c>
      <c r="C1017" t="inlineStr">
        <is>
          <t>BRGX</t>
        </is>
      </c>
      <c r="D1017" s="6" t="n">
        <v>46253</v>
      </c>
      <c r="E1017" t="inlineStr">
        <is>
          <t>DR</t>
        </is>
      </c>
      <c r="F1017" t="inlineStr">
        <is>
          <t>GBP</t>
        </is>
      </c>
      <c r="G1017" s="7" t="n">
        <v>-170411822.012</v>
      </c>
      <c r="H1017" t="inlineStr">
        <is>
          <t>GBP</t>
        </is>
      </c>
      <c r="I1017" s="7" t="n">
        <v>-170411822.012</v>
      </c>
      <c r="J1017" s="8" t="n">
        <v>46253.24364583333</v>
      </c>
      <c r="K1017" t="inlineStr">
        <is>
          <t>CF260819 01011</t>
        </is>
      </c>
      <c r="L1017" t="inlineStr">
        <is>
          <t>GL.NOSTRO.GBP.BRGX.004</t>
        </is>
      </c>
      <c r="M1017" t="inlineStr">
        <is>
          <t>Dunlin Trust</t>
        </is>
      </c>
      <c r="N1017" t="inlineStr">
        <is>
          <t>BRGXCASH</t>
        </is>
      </c>
      <c r="O1017" t="inlineStr">
        <is>
          <t>NEW</t>
        </is>
      </c>
      <c r="P1017" t="inlineStr">
        <is>
          <t>NT26081900679</t>
        </is>
      </c>
      <c r="Q1017" t="inlineStr">
        <is>
          <t>GROSS</t>
        </is>
      </c>
    </row>
    <row r="1018">
      <c r="A1018" t="inlineStr">
        <is>
          <t>968942362772</t>
        </is>
      </c>
      <c r="B1018" t="inlineStr">
        <is>
          <t>TCQ</t>
        </is>
      </c>
      <c r="C1018" t="inlineStr">
        <is>
          <t>BRYG</t>
        </is>
      </c>
      <c r="D1018" s="6" t="n">
        <v>46253</v>
      </c>
      <c r="E1018" t="inlineStr">
        <is>
          <t>CR</t>
        </is>
      </c>
      <c r="F1018" t="inlineStr">
        <is>
          <t>EUR</t>
        </is>
      </c>
      <c r="G1018" s="7" t="n">
        <v>11781576.56</v>
      </c>
      <c r="H1018" t="inlineStr">
        <is>
          <t>GBP</t>
        </is>
      </c>
      <c r="I1018" s="7" t="n">
        <v>10108592.688</v>
      </c>
      <c r="J1018" s="8" t="n">
        <v>46253.79620370371</v>
      </c>
      <c r="K1018" t="inlineStr">
        <is>
          <t>CF260819 01012</t>
        </is>
      </c>
      <c r="L1018" t="inlineStr">
        <is>
          <t>GL.NOSTRO.EUR.BRYG.009</t>
        </is>
      </c>
      <c r="M1018" t="inlineStr">
        <is>
          <t>Sablewood Settlement Bank</t>
        </is>
      </c>
      <c r="N1018" t="inlineStr">
        <is>
          <t>BRYGCASH</t>
        </is>
      </c>
      <c r="O1018" t="inlineStr">
        <is>
          <t>NEW</t>
        </is>
      </c>
      <c r="Q1018" t="inlineStr">
        <is>
          <t>GROSS</t>
        </is>
      </c>
    </row>
    <row r="1019">
      <c r="A1019" t="inlineStr">
        <is>
          <t>171857983160</t>
        </is>
      </c>
      <c r="B1019" t="inlineStr">
        <is>
          <t>TCP</t>
        </is>
      </c>
      <c r="C1019" t="inlineStr">
        <is>
          <t>BRBX</t>
        </is>
      </c>
      <c r="D1019" s="6" t="n">
        <v>46253</v>
      </c>
      <c r="E1019" t="inlineStr">
        <is>
          <t>CR</t>
        </is>
      </c>
      <c r="F1019" t="inlineStr">
        <is>
          <t>AUD</t>
        </is>
      </c>
      <c r="G1019" s="7" t="n">
        <v>317784046.323</v>
      </c>
      <c r="H1019" t="inlineStr">
        <is>
          <t>GBP</t>
        </is>
      </c>
      <c r="I1019" s="7" t="n">
        <v>163023215.764</v>
      </c>
      <c r="J1019" s="8" t="n">
        <v>46253.31497685185</v>
      </c>
      <c r="K1019" t="inlineStr">
        <is>
          <t>CF260819 01013</t>
        </is>
      </c>
      <c r="L1019" t="inlineStr">
        <is>
          <t>GL.NOSTRO.AUD.BRBX.006</t>
        </is>
      </c>
      <c r="M1019" t="inlineStr">
        <is>
          <t>Yarrow Clearing</t>
        </is>
      </c>
      <c r="N1019" t="inlineStr">
        <is>
          <t>BRBX</t>
        </is>
      </c>
      <c r="O1019" t="inlineStr">
        <is>
          <t>NEW</t>
        </is>
      </c>
      <c r="P1019" t="inlineStr">
        <is>
          <t>NT26081900694</t>
        </is>
      </c>
      <c r="Q1019" t="inlineStr">
        <is>
          <t>NETTER</t>
        </is>
      </c>
    </row>
    <row r="1020">
      <c r="A1020" t="inlineStr">
        <is>
          <t>700726936098</t>
        </is>
      </c>
      <c r="B1020" t="inlineStr">
        <is>
          <t>TCC</t>
        </is>
      </c>
      <c r="C1020" t="inlineStr">
        <is>
          <t>BRMD</t>
        </is>
      </c>
      <c r="D1020" s="6" t="n">
        <v>46253</v>
      </c>
      <c r="E1020" t="inlineStr">
        <is>
          <t>CR</t>
        </is>
      </c>
      <c r="F1020" t="inlineStr">
        <is>
          <t>SAR</t>
        </is>
      </c>
      <c r="G1020" s="7" t="n">
        <v>10357.474</v>
      </c>
      <c r="H1020" t="inlineStr">
        <is>
          <t>GBP</t>
        </is>
      </c>
      <c r="I1020" s="7" t="n">
        <v>2164.712</v>
      </c>
      <c r="J1020" s="8" t="n">
        <v>46253.38778935185</v>
      </c>
      <c r="K1020" t="inlineStr">
        <is>
          <t>CF260819 01014</t>
        </is>
      </c>
      <c r="L1020" t="inlineStr">
        <is>
          <t>GL.NOSTRO.SAR.BRMD.002</t>
        </is>
      </c>
      <c r="M1020" t="inlineStr">
        <is>
          <t>Oriel Trust</t>
        </is>
      </c>
      <c r="N1020" t="inlineStr">
        <is>
          <t>BRMD</t>
        </is>
      </c>
      <c r="O1020" t="inlineStr">
        <is>
          <t>NEW</t>
        </is>
      </c>
      <c r="P1020" t="inlineStr">
        <is>
          <t>NT26081900664</t>
        </is>
      </c>
      <c r="Q1020" t="inlineStr">
        <is>
          <t>GROSS</t>
        </is>
      </c>
    </row>
    <row r="1021">
      <c r="A1021" t="inlineStr">
        <is>
          <t>968942362772</t>
        </is>
      </c>
      <c r="B1021" t="inlineStr">
        <is>
          <t>TCG</t>
        </is>
      </c>
      <c r="C1021" t="inlineStr">
        <is>
          <t>BRYG</t>
        </is>
      </c>
      <c r="D1021" s="6" t="n">
        <v>46253</v>
      </c>
      <c r="E1021" t="inlineStr">
        <is>
          <t>DR</t>
        </is>
      </c>
      <c r="F1021" t="inlineStr">
        <is>
          <t>EUR</t>
        </is>
      </c>
      <c r="G1021" s="7" t="n">
        <v>-859520141.433</v>
      </c>
      <c r="H1021" t="inlineStr">
        <is>
          <t>GBP</t>
        </is>
      </c>
      <c r="I1021" s="7" t="n">
        <v>-737468281.35</v>
      </c>
      <c r="J1021" s="8" t="n">
        <v>46253.46625</v>
      </c>
      <c r="K1021" t="inlineStr">
        <is>
          <t>CF260819 01015</t>
        </is>
      </c>
      <c r="L1021" t="inlineStr">
        <is>
          <t>GL.NOSTRO.EUR.BRYG.001</t>
        </is>
      </c>
      <c r="M1021" t="inlineStr">
        <is>
          <t>Granite Clearing</t>
        </is>
      </c>
      <c r="N1021" t="inlineStr">
        <is>
          <t>BRYGMM</t>
        </is>
      </c>
      <c r="O1021" t="inlineStr">
        <is>
          <t>NEW</t>
        </is>
      </c>
      <c r="P1021" t="inlineStr">
        <is>
          <t>NT26081900664</t>
        </is>
      </c>
      <c r="Q1021" t="inlineStr">
        <is>
          <t>GROSS</t>
        </is>
      </c>
    </row>
    <row r="1022">
      <c r="A1022" t="inlineStr">
        <is>
          <t>499062838623</t>
        </is>
      </c>
      <c r="B1022" t="inlineStr">
        <is>
          <t>TCC</t>
        </is>
      </c>
      <c r="C1022" t="inlineStr">
        <is>
          <t>BRBX</t>
        </is>
      </c>
      <c r="D1022" s="6" t="n">
        <v>46253</v>
      </c>
      <c r="E1022" t="inlineStr">
        <is>
          <t>DR</t>
        </is>
      </c>
      <c r="F1022" t="inlineStr">
        <is>
          <t>USD</t>
        </is>
      </c>
      <c r="G1022" s="7" t="n">
        <v>-3242133.509</v>
      </c>
      <c r="H1022" t="inlineStr">
        <is>
          <t>GBP</t>
        </is>
      </c>
      <c r="I1022" s="7" t="n">
        <v>-2541832.671</v>
      </c>
      <c r="J1022" s="8" t="n">
        <v>46253.39702546296</v>
      </c>
      <c r="K1022" t="inlineStr">
        <is>
          <t>CF260819 01016</t>
        </is>
      </c>
      <c r="L1022" t="inlineStr">
        <is>
          <t>GL.NOSTRO.USD.BRBX.007</t>
        </is>
      </c>
      <c r="M1022" t="inlineStr">
        <is>
          <t>Vetchling Bank</t>
        </is>
      </c>
      <c r="N1022" t="inlineStr">
        <is>
          <t>BRBX</t>
        </is>
      </c>
      <c r="O1022" t="inlineStr">
        <is>
          <t>NEW</t>
        </is>
      </c>
      <c r="Q1022" t="inlineStr">
        <is>
          <t>NETTER</t>
        </is>
      </c>
    </row>
    <row r="1023">
      <c r="A1023" t="inlineStr">
        <is>
          <t>171857983160</t>
        </is>
      </c>
      <c r="B1023" t="inlineStr">
        <is>
          <t>TCP</t>
        </is>
      </c>
      <c r="C1023" t="inlineStr">
        <is>
          <t>BRBX</t>
        </is>
      </c>
      <c r="D1023" s="6" t="n">
        <v>46253</v>
      </c>
      <c r="E1023" t="inlineStr">
        <is>
          <t>DR</t>
        </is>
      </c>
      <c r="F1023" t="inlineStr">
        <is>
          <t>AUD</t>
        </is>
      </c>
      <c r="G1023" s="7" t="n">
        <v>-124228010.008</v>
      </c>
      <c r="H1023" t="inlineStr">
        <is>
          <t>GBP</t>
        </is>
      </c>
      <c r="I1023" s="7" t="n">
        <v>-63728969.134</v>
      </c>
      <c r="J1023" s="8" t="n">
        <v>46253.71337962963</v>
      </c>
      <c r="K1023" t="inlineStr">
        <is>
          <t>CF260819 01017</t>
        </is>
      </c>
      <c r="L1023" t="inlineStr">
        <is>
          <t>GL.NOSTRO.AUD.BRBX.006</t>
        </is>
      </c>
      <c r="M1023" t="inlineStr">
        <is>
          <t>Mallow Commercial Bank</t>
        </is>
      </c>
      <c r="N1023" t="inlineStr">
        <is>
          <t>BRBXCASH</t>
        </is>
      </c>
      <c r="O1023" t="inlineStr">
        <is>
          <t>NEW</t>
        </is>
      </c>
      <c r="P1023" t="inlineStr">
        <is>
          <t>NT26081900690</t>
        </is>
      </c>
      <c r="Q1023" t="inlineStr">
        <is>
          <t>GROSS</t>
        </is>
      </c>
    </row>
    <row r="1024">
      <c r="A1024" t="inlineStr">
        <is>
          <t>150316825069</t>
        </is>
      </c>
      <c r="B1024" t="inlineStr">
        <is>
          <t>TCG</t>
        </is>
      </c>
      <c r="C1024" t="inlineStr">
        <is>
          <t>BRGX</t>
        </is>
      </c>
      <c r="D1024" s="6" t="n">
        <v>46253</v>
      </c>
      <c r="E1024" t="inlineStr">
        <is>
          <t>DR</t>
        </is>
      </c>
      <c r="F1024" t="inlineStr">
        <is>
          <t>GBP</t>
        </is>
      </c>
      <c r="G1024" s="7" t="n">
        <v>-14256762.627</v>
      </c>
      <c r="H1024" t="inlineStr">
        <is>
          <t>GBP</t>
        </is>
      </c>
      <c r="I1024" s="7" t="n">
        <v>-14256762.627</v>
      </c>
      <c r="J1024" s="8" t="n">
        <v>46253.430625</v>
      </c>
      <c r="K1024" t="inlineStr">
        <is>
          <t>CF260819 01018</t>
        </is>
      </c>
      <c r="L1024" t="inlineStr">
        <is>
          <t>GL.NOSTRO.GBP.BRGX.006</t>
        </is>
      </c>
      <c r="M1024" t="inlineStr">
        <is>
          <t>Umberton Clearing</t>
        </is>
      </c>
      <c r="N1024" t="inlineStr">
        <is>
          <t>BRGXMM</t>
        </is>
      </c>
      <c r="O1024" t="inlineStr">
        <is>
          <t>NEW</t>
        </is>
      </c>
      <c r="P1024" t="inlineStr">
        <is>
          <t>NT26081900669</t>
        </is>
      </c>
      <c r="Q1024" t="inlineStr">
        <is>
          <t>NETTER</t>
        </is>
      </c>
    </row>
    <row r="1025">
      <c r="A1025" t="inlineStr">
        <is>
          <t>794226063698</t>
        </is>
      </c>
      <c r="B1025" t="inlineStr">
        <is>
          <t>TCQ</t>
        </is>
      </c>
      <c r="C1025" t="inlineStr">
        <is>
          <t>BRMD</t>
        </is>
      </c>
      <c r="D1025" s="6" t="n">
        <v>46253</v>
      </c>
      <c r="E1025" t="inlineStr">
        <is>
          <t>DR</t>
        </is>
      </c>
      <c r="F1025" t="inlineStr">
        <is>
          <t>AED</t>
        </is>
      </c>
      <c r="G1025" s="7" t="n">
        <v>-260910999.956</v>
      </c>
      <c r="H1025" t="inlineStr">
        <is>
          <t>GBP</t>
        </is>
      </c>
      <c r="I1025" s="7" t="n">
        <v>-55574042.991</v>
      </c>
      <c r="J1025" s="8" t="n">
        <v>46253.47144675926</v>
      </c>
      <c r="K1025" t="inlineStr">
        <is>
          <t>CF260819 01019</t>
        </is>
      </c>
      <c r="L1025" t="inlineStr">
        <is>
          <t>GL.NOSTRO.AED.BRMD.004</t>
        </is>
      </c>
      <c r="M1025" t="inlineStr">
        <is>
          <t>Nightjar Bank</t>
        </is>
      </c>
      <c r="N1025" t="inlineStr">
        <is>
          <t>BRMDTRSY</t>
        </is>
      </c>
      <c r="O1025" t="inlineStr">
        <is>
          <t>NEW</t>
        </is>
      </c>
      <c r="Q1025" t="inlineStr">
        <is>
          <t>INTERNAL</t>
        </is>
      </c>
    </row>
    <row r="1026">
      <c r="A1026" t="inlineStr">
        <is>
          <t>150316825069</t>
        </is>
      </c>
      <c r="B1026" t="inlineStr">
        <is>
          <t>TCQ</t>
        </is>
      </c>
      <c r="C1026" t="inlineStr">
        <is>
          <t>BRGX</t>
        </is>
      </c>
      <c r="D1026" s="6" t="n">
        <v>46253</v>
      </c>
      <c r="E1026" t="inlineStr">
        <is>
          <t>CR</t>
        </is>
      </c>
      <c r="F1026" t="inlineStr">
        <is>
          <t>GBP</t>
        </is>
      </c>
      <c r="G1026" s="7" t="n">
        <v>44486645.489</v>
      </c>
      <c r="H1026" t="inlineStr">
        <is>
          <t>GBP</t>
        </is>
      </c>
      <c r="I1026" s="7" t="n">
        <v>44486645.489</v>
      </c>
      <c r="J1026" s="8" t="n">
        <v>46253.34405092592</v>
      </c>
      <c r="K1026" t="inlineStr">
        <is>
          <t>CF260819 01020</t>
        </is>
      </c>
      <c r="L1026" t="inlineStr">
        <is>
          <t>GL.NOSTRO.GBP.BRGX.007</t>
        </is>
      </c>
      <c r="M1026" t="inlineStr">
        <is>
          <t>Ironbark Commercial Bank</t>
        </is>
      </c>
      <c r="N1026" t="inlineStr">
        <is>
          <t>BRGX</t>
        </is>
      </c>
      <c r="O1026" t="inlineStr">
        <is>
          <t>NEW</t>
        </is>
      </c>
      <c r="P1026" t="inlineStr">
        <is>
          <t>NT26081900657</t>
        </is>
      </c>
      <c r="Q1026" t="inlineStr">
        <is>
          <t>NETTER</t>
        </is>
      </c>
    </row>
    <row r="1027">
      <c r="A1027" t="inlineStr">
        <is>
          <t>120047354818</t>
        </is>
      </c>
      <c r="B1027" t="inlineStr">
        <is>
          <t>TCQ</t>
        </is>
      </c>
      <c r="C1027" t="inlineStr">
        <is>
          <t>BRNK</t>
        </is>
      </c>
      <c r="D1027" s="6" t="n">
        <v>46253</v>
      </c>
      <c r="E1027" t="inlineStr">
        <is>
          <t>CR</t>
        </is>
      </c>
      <c r="F1027" t="inlineStr">
        <is>
          <t>USD</t>
        </is>
      </c>
      <c r="G1027" s="7" t="n">
        <v>853692.713</v>
      </c>
      <c r="H1027" t="inlineStr">
        <is>
          <t>GBP</t>
        </is>
      </c>
      <c r="I1027" s="7" t="n">
        <v>669295.0870000001</v>
      </c>
      <c r="J1027" s="8" t="n">
        <v>46253.4637037037</v>
      </c>
      <c r="K1027" t="inlineStr">
        <is>
          <t>CF260819 01021</t>
        </is>
      </c>
      <c r="L1027" t="inlineStr">
        <is>
          <t>GL.NOSTRO.USD.BRNK.005</t>
        </is>
      </c>
      <c r="M1027" t="inlineStr">
        <is>
          <t>Yarrow Clearing</t>
        </is>
      </c>
      <c r="N1027" t="inlineStr">
        <is>
          <t>BRNK</t>
        </is>
      </c>
      <c r="O1027" t="inlineStr">
        <is>
          <t>NEW</t>
        </is>
      </c>
      <c r="Q1027" t="inlineStr">
        <is>
          <t>INTERNAL</t>
        </is>
      </c>
    </row>
    <row r="1028">
      <c r="A1028" t="inlineStr">
        <is>
          <t>284925023085</t>
        </is>
      </c>
      <c r="B1028" t="inlineStr">
        <is>
          <t>TCC</t>
        </is>
      </c>
      <c r="C1028" t="inlineStr">
        <is>
          <t>BRMD</t>
        </is>
      </c>
      <c r="D1028" s="6" t="n">
        <v>46253</v>
      </c>
      <c r="E1028" t="inlineStr">
        <is>
          <t>CR</t>
        </is>
      </c>
      <c r="F1028" t="inlineStr">
        <is>
          <t>MXN</t>
        </is>
      </c>
      <c r="G1028" s="7" t="n">
        <v>161944076.507</v>
      </c>
      <c r="H1028" t="inlineStr">
        <is>
          <t>GBP</t>
        </is>
      </c>
      <c r="I1028" s="7" t="n">
        <v>6931206.474</v>
      </c>
      <c r="J1028" s="8" t="n">
        <v>46253.66988425926</v>
      </c>
      <c r="K1028" t="inlineStr">
        <is>
          <t>CF260819 01022</t>
        </is>
      </c>
      <c r="L1028" t="inlineStr">
        <is>
          <t>GL.NOSTRO.MXN.BRMD.002</t>
        </is>
      </c>
      <c r="M1028" t="inlineStr">
        <is>
          <t>Alder Clearing</t>
        </is>
      </c>
      <c r="N1028" t="inlineStr">
        <is>
          <t>BRMDCASH</t>
        </is>
      </c>
      <c r="O1028" t="inlineStr">
        <is>
          <t>NEW</t>
        </is>
      </c>
      <c r="P1028" t="inlineStr">
        <is>
          <t>NT26081900682</t>
        </is>
      </c>
      <c r="Q1028" t="inlineStr">
        <is>
          <t>NETTER</t>
        </is>
      </c>
    </row>
    <row r="1029">
      <c r="A1029" t="inlineStr">
        <is>
          <t>700726936098</t>
        </is>
      </c>
      <c r="B1029" t="inlineStr">
        <is>
          <t>TCG</t>
        </is>
      </c>
      <c r="C1029" t="inlineStr">
        <is>
          <t>BRMD</t>
        </is>
      </c>
      <c r="D1029" s="6" t="n">
        <v>46253</v>
      </c>
      <c r="E1029" t="inlineStr">
        <is>
          <t>CR</t>
        </is>
      </c>
      <c r="F1029" t="inlineStr">
        <is>
          <t>SAR</t>
        </is>
      </c>
      <c r="G1029" s="7" t="n">
        <v>13570187.053</v>
      </c>
      <c r="H1029" t="inlineStr">
        <is>
          <t>GBP</t>
        </is>
      </c>
      <c r="I1029" s="7" t="n">
        <v>2836169.094</v>
      </c>
      <c r="J1029" s="8" t="n">
        <v>46253.18763888889</v>
      </c>
      <c r="K1029" t="inlineStr">
        <is>
          <t>CF260819 01023</t>
        </is>
      </c>
      <c r="L1029" t="inlineStr">
        <is>
          <t>GL.NOSTRO.SAR.BRMD.004</t>
        </is>
      </c>
      <c r="M1029" t="inlineStr">
        <is>
          <t>Vetchling Bank</t>
        </is>
      </c>
      <c r="N1029" t="inlineStr">
        <is>
          <t>BRMDCASH</t>
        </is>
      </c>
      <c r="O1029" t="inlineStr">
        <is>
          <t>NEW</t>
        </is>
      </c>
      <c r="Q1029" t="inlineStr">
        <is>
          <t>NETTER</t>
        </is>
      </c>
    </row>
    <row r="1030">
      <c r="A1030" t="inlineStr">
        <is>
          <t>794226063698</t>
        </is>
      </c>
      <c r="B1030" t="inlineStr">
        <is>
          <t>TCX</t>
        </is>
      </c>
      <c r="C1030" t="inlineStr">
        <is>
          <t>BRMD</t>
        </is>
      </c>
      <c r="D1030" s="6" t="n">
        <v>46253</v>
      </c>
      <c r="E1030" t="inlineStr">
        <is>
          <t>CR</t>
        </is>
      </c>
      <c r="F1030" t="inlineStr">
        <is>
          <t>AED</t>
        </is>
      </c>
      <c r="G1030" s="7" t="n">
        <v>2081252.8</v>
      </c>
      <c r="H1030" t="inlineStr">
        <is>
          <t>GBP</t>
        </is>
      </c>
      <c r="I1030" s="7" t="n">
        <v>443306.846</v>
      </c>
      <c r="J1030" s="8" t="n">
        <v>46253.3081712963</v>
      </c>
      <c r="K1030" t="inlineStr">
        <is>
          <t>CF260819 01024</t>
        </is>
      </c>
      <c r="L1030" t="inlineStr">
        <is>
          <t>GL.NOSTRO.AED.BRMD.002</t>
        </is>
      </c>
      <c r="M1030" t="inlineStr">
        <is>
          <t>Redstart Commercial Bank</t>
        </is>
      </c>
      <c r="N1030" t="inlineStr">
        <is>
          <t>BRMD</t>
        </is>
      </c>
      <c r="O1030" t="inlineStr">
        <is>
          <t>NEW</t>
        </is>
      </c>
      <c r="Q1030" t="inlineStr">
        <is>
          <t>NETTER</t>
        </is>
      </c>
    </row>
    <row r="1031">
      <c r="A1031" t="inlineStr">
        <is>
          <t>113829985108</t>
        </is>
      </c>
      <c r="B1031" t="inlineStr">
        <is>
          <t>TCC</t>
        </is>
      </c>
      <c r="C1031" t="inlineStr">
        <is>
          <t>BRGL</t>
        </is>
      </c>
      <c r="D1031" s="6" t="n">
        <v>46253</v>
      </c>
      <c r="E1031" t="inlineStr">
        <is>
          <t>DR</t>
        </is>
      </c>
      <c r="F1031" t="inlineStr">
        <is>
          <t>EUR</t>
        </is>
      </c>
      <c r="G1031" s="7" t="n">
        <v>-138353.489</v>
      </c>
      <c r="H1031" t="inlineStr">
        <is>
          <t>GBP</t>
        </is>
      </c>
      <c r="I1031" s="7" t="n">
        <v>-118707.294</v>
      </c>
      <c r="J1031" s="8" t="n">
        <v>46253.45599537037</v>
      </c>
      <c r="K1031" t="inlineStr">
        <is>
          <t>CF260819 01025</t>
        </is>
      </c>
      <c r="L1031" t="inlineStr">
        <is>
          <t>GL.NOSTRO.EUR.BRGL.002</t>
        </is>
      </c>
      <c r="M1031" t="inlineStr">
        <is>
          <t>Alder Clearing</t>
        </is>
      </c>
      <c r="N1031" t="inlineStr">
        <is>
          <t>BRGLCASH</t>
        </is>
      </c>
      <c r="O1031" t="inlineStr">
        <is>
          <t>NEW</t>
        </is>
      </c>
      <c r="Q1031" t="inlineStr">
        <is>
          <t>NETTER</t>
        </is>
      </c>
    </row>
    <row r="1032">
      <c r="A1032" t="inlineStr">
        <is>
          <t>726928343448</t>
        </is>
      </c>
      <c r="B1032" t="inlineStr">
        <is>
          <t>TCQ</t>
        </is>
      </c>
      <c r="C1032" t="inlineStr">
        <is>
          <t>BRGX</t>
        </is>
      </c>
      <c r="D1032" s="6" t="n">
        <v>46253</v>
      </c>
      <c r="E1032" t="inlineStr">
        <is>
          <t>DR</t>
        </is>
      </c>
      <c r="F1032" t="inlineStr">
        <is>
          <t>EUR</t>
        </is>
      </c>
      <c r="G1032" s="7" t="n">
        <v>-79958573.06299999</v>
      </c>
      <c r="H1032" t="inlineStr">
        <is>
          <t>GBP</t>
        </is>
      </c>
      <c r="I1032" s="7" t="n">
        <v>-68604455.68799999</v>
      </c>
      <c r="J1032" s="8" t="n">
        <v>46253.10019675926</v>
      </c>
      <c r="K1032" t="inlineStr">
        <is>
          <t>CF260819 01026</t>
        </is>
      </c>
      <c r="L1032" t="inlineStr">
        <is>
          <t>GL.NOSTRO.EUR.BRGX.008</t>
        </is>
      </c>
      <c r="M1032" t="inlineStr">
        <is>
          <t>Umberton Clearing</t>
        </is>
      </c>
      <c r="N1032" t="inlineStr">
        <is>
          <t>BRGXTRSY</t>
        </is>
      </c>
      <c r="O1032" t="inlineStr">
        <is>
          <t>AMEND</t>
        </is>
      </c>
      <c r="Q1032" t="inlineStr">
        <is>
          <t>GROSS</t>
        </is>
      </c>
    </row>
    <row r="1033">
      <c r="A1033" t="inlineStr">
        <is>
          <t>910703979141</t>
        </is>
      </c>
      <c r="B1033" t="inlineStr">
        <is>
          <t>TCG</t>
        </is>
      </c>
      <c r="C1033" t="inlineStr">
        <is>
          <t>BRCC</t>
        </is>
      </c>
      <c r="D1033" s="6" t="n">
        <v>46253</v>
      </c>
      <c r="E1033" t="inlineStr">
        <is>
          <t>DR</t>
        </is>
      </c>
      <c r="F1033" t="inlineStr">
        <is>
          <t>CHF</t>
        </is>
      </c>
      <c r="G1033" s="7" t="n">
        <v>-16732644.836</v>
      </c>
      <c r="H1033" t="inlineStr">
        <is>
          <t>GBP</t>
        </is>
      </c>
      <c r="I1033" s="7" t="n">
        <v>-15009182.418</v>
      </c>
      <c r="J1033" s="8" t="n">
        <v>46253.64219907407</v>
      </c>
      <c r="K1033" t="inlineStr">
        <is>
          <t>CF260819 01027</t>
        </is>
      </c>
      <c r="L1033" t="inlineStr">
        <is>
          <t>GL.NOSTRO.CHF.BRCC.003</t>
        </is>
      </c>
      <c r="M1033" t="inlineStr">
        <is>
          <t>Sablewood Clearing</t>
        </is>
      </c>
      <c r="N1033" t="inlineStr">
        <is>
          <t>BRCCTRSY</t>
        </is>
      </c>
      <c r="O1033" t="inlineStr">
        <is>
          <t>NEW</t>
        </is>
      </c>
      <c r="Q1033" t="inlineStr">
        <is>
          <t>NETTER</t>
        </is>
      </c>
    </row>
    <row r="1034">
      <c r="A1034" t="inlineStr">
        <is>
          <t>150316825069</t>
        </is>
      </c>
      <c r="B1034" t="inlineStr">
        <is>
          <t>TCP</t>
        </is>
      </c>
      <c r="C1034" t="inlineStr">
        <is>
          <t>BRGX</t>
        </is>
      </c>
      <c r="D1034" s="6" t="n">
        <v>46253</v>
      </c>
      <c r="E1034" t="inlineStr">
        <is>
          <t>CR</t>
        </is>
      </c>
      <c r="F1034" t="inlineStr">
        <is>
          <t>GBP</t>
        </is>
      </c>
      <c r="G1034" s="7" t="n">
        <v>46061526.822</v>
      </c>
      <c r="H1034" t="inlineStr">
        <is>
          <t>GBP</t>
        </is>
      </c>
      <c r="I1034" s="7" t="n">
        <v>46061526.822</v>
      </c>
      <c r="J1034" s="8" t="n">
        <v>46253.58157407407</v>
      </c>
      <c r="K1034" t="inlineStr">
        <is>
          <t>CF260819 01028</t>
        </is>
      </c>
      <c r="L1034" t="inlineStr">
        <is>
          <t>GL.NOSTRO.GBP.BRGX.003</t>
        </is>
      </c>
      <c r="M1034" t="inlineStr">
        <is>
          <t>Pinehurst Clearing</t>
        </is>
      </c>
      <c r="N1034" t="inlineStr">
        <is>
          <t>BRGXMM</t>
        </is>
      </c>
      <c r="O1034" t="inlineStr">
        <is>
          <t>NEW</t>
        </is>
      </c>
      <c r="Q1034" t="inlineStr">
        <is>
          <t>INTERNAL</t>
        </is>
      </c>
    </row>
    <row r="1035">
      <c r="A1035" t="inlineStr">
        <is>
          <t>468341071172</t>
        </is>
      </c>
      <c r="B1035" t="inlineStr">
        <is>
          <t>TCC</t>
        </is>
      </c>
      <c r="C1035" t="inlineStr">
        <is>
          <t>BRCC</t>
        </is>
      </c>
      <c r="D1035" s="6" t="n">
        <v>46253</v>
      </c>
      <c r="E1035" t="inlineStr">
        <is>
          <t>CR</t>
        </is>
      </c>
      <c r="F1035" t="inlineStr">
        <is>
          <t>EUR</t>
        </is>
      </c>
      <c r="G1035" s="7" t="n">
        <v>90290931.249</v>
      </c>
      <c r="H1035" t="inlineStr">
        <is>
          <t>GBP</t>
        </is>
      </c>
      <c r="I1035" s="7" t="n">
        <v>77469619.01199999</v>
      </c>
      <c r="J1035" s="8" t="n">
        <v>46253.55105324074</v>
      </c>
      <c r="K1035" t="inlineStr">
        <is>
          <t>CF260819 01029</t>
        </is>
      </c>
      <c r="L1035" t="inlineStr">
        <is>
          <t>GL.NOSTRO.EUR.BRCC.002</t>
        </is>
      </c>
      <c r="M1035" t="inlineStr">
        <is>
          <t>Sablewood Bank</t>
        </is>
      </c>
      <c r="N1035" t="inlineStr">
        <is>
          <t>BRCCTRSY</t>
        </is>
      </c>
      <c r="O1035" t="inlineStr">
        <is>
          <t>NEW</t>
        </is>
      </c>
      <c r="Q1035" t="inlineStr">
        <is>
          <t>INTERNAL</t>
        </is>
      </c>
    </row>
    <row r="1036">
      <c r="A1036" t="inlineStr">
        <is>
          <t>898317028833</t>
        </is>
      </c>
      <c r="B1036" t="inlineStr">
        <is>
          <t>TCP</t>
        </is>
      </c>
      <c r="C1036" t="inlineStr">
        <is>
          <t>BRAA</t>
        </is>
      </c>
      <c r="D1036" s="6" t="n">
        <v>46253</v>
      </c>
      <c r="E1036" t="inlineStr">
        <is>
          <t>CR</t>
        </is>
      </c>
      <c r="F1036" t="inlineStr">
        <is>
          <t>GBP</t>
        </is>
      </c>
      <c r="G1036" s="7" t="n">
        <v>33655457.095</v>
      </c>
      <c r="H1036" t="inlineStr">
        <is>
          <t>GBP</t>
        </is>
      </c>
      <c r="I1036" s="7" t="n">
        <v>33655457.095</v>
      </c>
      <c r="J1036" s="8" t="n">
        <v>46253.66875</v>
      </c>
      <c r="K1036" t="inlineStr">
        <is>
          <t>CF260819 01030</t>
        </is>
      </c>
      <c r="L1036" t="inlineStr">
        <is>
          <t>GL.NOSTRO.GBP.BRAA.003</t>
        </is>
      </c>
      <c r="M1036" t="inlineStr">
        <is>
          <t>Ironbark Commercial Bank</t>
        </is>
      </c>
      <c r="N1036" t="inlineStr">
        <is>
          <t>BRAACASH</t>
        </is>
      </c>
      <c r="O1036" t="inlineStr">
        <is>
          <t>NEW</t>
        </is>
      </c>
      <c r="P1036" t="inlineStr">
        <is>
          <t>NT26081900689</t>
        </is>
      </c>
      <c r="Q1036" t="inlineStr">
        <is>
          <t>NETTER</t>
        </is>
      </c>
    </row>
    <row r="1037">
      <c r="A1037" t="inlineStr">
        <is>
          <t>468341071172</t>
        </is>
      </c>
      <c r="B1037" t="inlineStr">
        <is>
          <t>TCQ</t>
        </is>
      </c>
      <c r="C1037" t="inlineStr">
        <is>
          <t>BRCC</t>
        </is>
      </c>
      <c r="D1037" s="6" t="n">
        <v>46253</v>
      </c>
      <c r="E1037" t="inlineStr">
        <is>
          <t>DR</t>
        </is>
      </c>
      <c r="F1037" t="inlineStr">
        <is>
          <t>EUR</t>
        </is>
      </c>
      <c r="G1037" s="7" t="n">
        <v>-1021050.671</v>
      </c>
      <c r="H1037" t="inlineStr">
        <is>
          <t>GBP</t>
        </is>
      </c>
      <c r="I1037" s="7" t="n">
        <v>-876061.476</v>
      </c>
      <c r="J1037" s="8" t="n">
        <v>46253.07010416667</v>
      </c>
      <c r="K1037" t="inlineStr">
        <is>
          <t>CF260819 01031</t>
        </is>
      </c>
      <c r="L1037" t="inlineStr">
        <is>
          <t>GL.NOSTRO.EUR.BRCC.002</t>
        </is>
      </c>
      <c r="M1037" t="inlineStr">
        <is>
          <t>Umberton Commercial Bank</t>
        </is>
      </c>
      <c r="N1037" t="inlineStr">
        <is>
          <t>BRCCCASH</t>
        </is>
      </c>
      <c r="O1037" t="inlineStr">
        <is>
          <t>AMEND</t>
        </is>
      </c>
      <c r="Q1037" t="inlineStr">
        <is>
          <t>NETTER</t>
        </is>
      </c>
    </row>
    <row r="1038">
      <c r="A1038" t="inlineStr">
        <is>
          <t>968942362772</t>
        </is>
      </c>
      <c r="B1038" t="inlineStr">
        <is>
          <t>TCC</t>
        </is>
      </c>
      <c r="C1038" t="inlineStr">
        <is>
          <t>BRYG</t>
        </is>
      </c>
      <c r="D1038" s="6" t="n">
        <v>46253</v>
      </c>
      <c r="E1038" t="inlineStr">
        <is>
          <t>DR</t>
        </is>
      </c>
      <c r="F1038" t="inlineStr">
        <is>
          <t>EUR</t>
        </is>
      </c>
      <c r="G1038" s="7" t="n">
        <v>-13572980.114</v>
      </c>
      <c r="H1038" t="inlineStr">
        <is>
          <t>GBP</t>
        </is>
      </c>
      <c r="I1038" s="7" t="n">
        <v>-11645616.938</v>
      </c>
      <c r="J1038" s="8" t="n">
        <v>46253.57711805555</v>
      </c>
      <c r="K1038" t="inlineStr">
        <is>
          <t>CF260819 01032</t>
        </is>
      </c>
      <c r="L1038" t="inlineStr">
        <is>
          <t>GL.NOSTRO.EUR.BRYG.007</t>
        </is>
      </c>
      <c r="M1038" t="inlineStr">
        <is>
          <t>Sablewood Settlement Bank</t>
        </is>
      </c>
      <c r="N1038" t="inlineStr">
        <is>
          <t>BRYGMM</t>
        </is>
      </c>
      <c r="O1038" t="inlineStr">
        <is>
          <t>NEW</t>
        </is>
      </c>
      <c r="P1038" t="inlineStr">
        <is>
          <t>NT26081900668</t>
        </is>
      </c>
      <c r="Q1038" t="inlineStr">
        <is>
          <t>GROSS</t>
        </is>
      </c>
    </row>
    <row r="1039">
      <c r="A1039" t="inlineStr">
        <is>
          <t>726928343448</t>
        </is>
      </c>
      <c r="B1039" t="inlineStr">
        <is>
          <t>TCC</t>
        </is>
      </c>
      <c r="C1039" t="inlineStr">
        <is>
          <t>BRGX</t>
        </is>
      </c>
      <c r="D1039" s="6" t="n">
        <v>46253</v>
      </c>
      <c r="E1039" t="inlineStr">
        <is>
          <t>CR</t>
        </is>
      </c>
      <c r="F1039" t="inlineStr">
        <is>
          <t>EUR</t>
        </is>
      </c>
      <c r="G1039" s="7" t="n">
        <v>7077324583.63</v>
      </c>
      <c r="H1039" t="inlineStr">
        <is>
          <t>GBP</t>
        </is>
      </c>
      <c r="I1039" s="7" t="n">
        <v>6072344492.755</v>
      </c>
      <c r="J1039" s="8" t="n">
        <v>46253.49748842593</v>
      </c>
      <c r="K1039" t="inlineStr">
        <is>
          <t>CF260819 01033</t>
        </is>
      </c>
      <c r="L1039" t="inlineStr">
        <is>
          <t>GL.NOSTRO.EUR.BRGX.005</t>
        </is>
      </c>
      <c r="M1039" t="inlineStr">
        <is>
          <t>Fernway Settlement Bank</t>
        </is>
      </c>
      <c r="N1039" t="inlineStr">
        <is>
          <t>BRGXTRSY</t>
        </is>
      </c>
      <c r="O1039" t="inlineStr">
        <is>
          <t>NEW</t>
        </is>
      </c>
      <c r="Q1039" t="inlineStr">
        <is>
          <t>NETTER</t>
        </is>
      </c>
    </row>
    <row r="1040">
      <c r="A1040" t="inlineStr">
        <is>
          <t>910703979141</t>
        </is>
      </c>
      <c r="B1040" t="inlineStr">
        <is>
          <t>TCC</t>
        </is>
      </c>
      <c r="C1040" t="inlineStr">
        <is>
          <t>BRCC</t>
        </is>
      </c>
      <c r="D1040" s="6" t="n">
        <v>46253</v>
      </c>
      <c r="E1040" t="inlineStr">
        <is>
          <t>CR</t>
        </is>
      </c>
      <c r="F1040" t="inlineStr">
        <is>
          <t>CHF</t>
        </is>
      </c>
      <c r="G1040" s="7" t="n">
        <v>14477473.621</v>
      </c>
      <c r="H1040" t="inlineStr">
        <is>
          <t>GBP</t>
        </is>
      </c>
      <c r="I1040" s="7" t="n">
        <v>12986293.838</v>
      </c>
      <c r="J1040" s="8" t="n">
        <v>46253.45224537037</v>
      </c>
      <c r="K1040" t="inlineStr">
        <is>
          <t>CF260819 01034</t>
        </is>
      </c>
      <c r="L1040" t="inlineStr">
        <is>
          <t>GL.NOSTRO.CHF.BRCC.001</t>
        </is>
      </c>
      <c r="M1040" t="inlineStr">
        <is>
          <t>Alder Clearing</t>
        </is>
      </c>
      <c r="N1040" t="inlineStr">
        <is>
          <t>BRCCMM</t>
        </is>
      </c>
      <c r="O1040" t="inlineStr">
        <is>
          <t>NEW</t>
        </is>
      </c>
      <c r="Q1040" t="inlineStr">
        <is>
          <t>GROSS</t>
        </is>
      </c>
    </row>
    <row r="1041">
      <c r="A1041" t="inlineStr">
        <is>
          <t>794226063698</t>
        </is>
      </c>
      <c r="B1041" t="inlineStr">
        <is>
          <t>TCQ</t>
        </is>
      </c>
      <c r="C1041" t="inlineStr">
        <is>
          <t>BRMD</t>
        </is>
      </c>
      <c r="D1041" s="6" t="n">
        <v>46253</v>
      </c>
      <c r="E1041" t="inlineStr">
        <is>
          <t>DR</t>
        </is>
      </c>
      <c r="F1041" t="inlineStr">
        <is>
          <t>AED</t>
        </is>
      </c>
      <c r="G1041" s="7" t="n">
        <v>-43375476.211</v>
      </c>
      <c r="H1041" t="inlineStr">
        <is>
          <t>GBP</t>
        </is>
      </c>
      <c r="I1041" s="7" t="n">
        <v>-9238976.433</v>
      </c>
      <c r="J1041" s="8" t="n">
        <v>46253.6481712963</v>
      </c>
      <c r="K1041" t="inlineStr">
        <is>
          <t>CF260819 01035</t>
        </is>
      </c>
      <c r="L1041" t="inlineStr">
        <is>
          <t>GL.NOSTRO.AED.BRMD.002</t>
        </is>
      </c>
      <c r="M1041" t="inlineStr">
        <is>
          <t>Dunlin Trust</t>
        </is>
      </c>
      <c r="N1041" t="inlineStr">
        <is>
          <t>BRMDCASH</t>
        </is>
      </c>
      <c r="O1041" t="inlineStr">
        <is>
          <t>NEW</t>
        </is>
      </c>
      <c r="Q1041" t="inlineStr">
        <is>
          <t>NETTER</t>
        </is>
      </c>
    </row>
    <row r="1042">
      <c r="A1042" t="inlineStr">
        <is>
          <t>968942362772</t>
        </is>
      </c>
      <c r="B1042" t="inlineStr">
        <is>
          <t>TCQ</t>
        </is>
      </c>
      <c r="C1042" t="inlineStr">
        <is>
          <t>BRYG</t>
        </is>
      </c>
      <c r="D1042" s="6" t="n">
        <v>46253</v>
      </c>
      <c r="E1042" t="inlineStr">
        <is>
          <t>CR</t>
        </is>
      </c>
      <c r="F1042" t="inlineStr">
        <is>
          <t>EUR</t>
        </is>
      </c>
      <c r="G1042" s="7" t="n">
        <v>571223014.822</v>
      </c>
      <c r="H1042" t="inlineStr">
        <is>
          <t>GBP</t>
        </is>
      </c>
      <c r="I1042" s="7" t="n">
        <v>490109346.717</v>
      </c>
      <c r="J1042" s="8" t="n">
        <v>46253.68434027778</v>
      </c>
      <c r="K1042" t="inlineStr">
        <is>
          <t>CF260819 01036</t>
        </is>
      </c>
      <c r="L1042" t="inlineStr">
        <is>
          <t>GL.NOSTRO.EUR.BRYG.009</t>
        </is>
      </c>
      <c r="M1042" t="inlineStr">
        <is>
          <t>Pinehurst Bank</t>
        </is>
      </c>
      <c r="N1042" t="inlineStr">
        <is>
          <t>BRYG</t>
        </is>
      </c>
      <c r="O1042" t="inlineStr">
        <is>
          <t>NEW</t>
        </is>
      </c>
      <c r="P1042" t="inlineStr">
        <is>
          <t>NT26081900673</t>
        </is>
      </c>
      <c r="Q1042" t="inlineStr">
        <is>
          <t>GROSS</t>
        </is>
      </c>
    </row>
    <row r="1043">
      <c r="A1043" t="inlineStr">
        <is>
          <t>968942362772</t>
        </is>
      </c>
      <c r="B1043" t="inlineStr">
        <is>
          <t>TCQ</t>
        </is>
      </c>
      <c r="C1043" t="inlineStr">
        <is>
          <t>BRYG</t>
        </is>
      </c>
      <c r="D1043" s="6" t="n">
        <v>46253</v>
      </c>
      <c r="E1043" t="inlineStr">
        <is>
          <t>CR</t>
        </is>
      </c>
      <c r="F1043" t="inlineStr">
        <is>
          <t>EUR</t>
        </is>
      </c>
      <c r="G1043" s="7" t="n">
        <v>66679068.015</v>
      </c>
      <c r="H1043" t="inlineStr">
        <is>
          <t>GBP</t>
        </is>
      </c>
      <c r="I1043" s="7" t="n">
        <v>57210640.357</v>
      </c>
      <c r="J1043" s="8" t="n">
        <v>46253.33501157408</v>
      </c>
      <c r="K1043" t="inlineStr">
        <is>
          <t>CF260819 01037</t>
        </is>
      </c>
      <c r="L1043" t="inlineStr">
        <is>
          <t>GL.NOSTRO.EUR.BRYG.008</t>
        </is>
      </c>
      <c r="M1043" t="inlineStr">
        <is>
          <t>Pinehurst Bank</t>
        </is>
      </c>
      <c r="N1043" t="inlineStr">
        <is>
          <t>BRYGMM</t>
        </is>
      </c>
      <c r="O1043" t="inlineStr">
        <is>
          <t>NEW</t>
        </is>
      </c>
      <c r="P1043" t="inlineStr">
        <is>
          <t>NT26081900658</t>
        </is>
      </c>
      <c r="Q1043" t="inlineStr">
        <is>
          <t>NETTER</t>
        </is>
      </c>
    </row>
    <row r="1044">
      <c r="A1044" t="inlineStr">
        <is>
          <t>468341071172</t>
        </is>
      </c>
      <c r="B1044" t="inlineStr">
        <is>
          <t>TCQ</t>
        </is>
      </c>
      <c r="C1044" t="inlineStr">
        <is>
          <t>BRCC</t>
        </is>
      </c>
      <c r="D1044" s="6" t="n">
        <v>46253</v>
      </c>
      <c r="E1044" t="inlineStr">
        <is>
          <t>CR</t>
        </is>
      </c>
      <c r="F1044" t="inlineStr">
        <is>
          <t>EUR</t>
        </is>
      </c>
      <c r="G1044" s="7" t="n">
        <v>12207.056</v>
      </c>
      <c r="H1044" t="inlineStr">
        <is>
          <t>GBP</t>
        </is>
      </c>
      <c r="I1044" s="7" t="n">
        <v>10473.654</v>
      </c>
      <c r="J1044" s="8" t="n">
        <v>46253.56846064814</v>
      </c>
      <c r="K1044" t="inlineStr">
        <is>
          <t>CF260819 01038</t>
        </is>
      </c>
      <c r="L1044" t="inlineStr">
        <is>
          <t>GL.NOSTRO.EUR.BRCC.003</t>
        </is>
      </c>
      <c r="M1044" t="inlineStr">
        <is>
          <t>Alder Clearing</t>
        </is>
      </c>
      <c r="N1044" t="inlineStr">
        <is>
          <t>BRCCMM</t>
        </is>
      </c>
      <c r="O1044" t="inlineStr">
        <is>
          <t>NEW</t>
        </is>
      </c>
      <c r="P1044" t="inlineStr">
        <is>
          <t>NT26081900660</t>
        </is>
      </c>
      <c r="Q1044" t="inlineStr">
        <is>
          <t>NETTER</t>
        </is>
      </c>
    </row>
    <row r="1045">
      <c r="A1045" t="inlineStr">
        <is>
          <t>927538182434</t>
        </is>
      </c>
      <c r="B1045" t="inlineStr">
        <is>
          <t>TCQ</t>
        </is>
      </c>
      <c r="C1045" t="inlineStr">
        <is>
          <t>BRNK</t>
        </is>
      </c>
      <c r="D1045" s="6" t="n">
        <v>46253</v>
      </c>
      <c r="E1045" t="inlineStr">
        <is>
          <t>DR</t>
        </is>
      </c>
      <c r="F1045" t="inlineStr">
        <is>
          <t>CNY</t>
        </is>
      </c>
      <c r="G1045" s="7" t="n">
        <v>-60455499.742</v>
      </c>
      <c r="H1045" t="inlineStr">
        <is>
          <t>GBP</t>
        </is>
      </c>
      <c r="I1045" s="7" t="n">
        <v>-6589649.472</v>
      </c>
      <c r="J1045" s="8" t="n">
        <v>46253.38641203703</v>
      </c>
      <c r="K1045" t="inlineStr">
        <is>
          <t>CF260819 01039</t>
        </is>
      </c>
      <c r="L1045" t="inlineStr">
        <is>
          <t>GL.NOSTRO.CNY.BRNK.005</t>
        </is>
      </c>
      <c r="M1045" t="inlineStr">
        <is>
          <t>Dunlin Clearing</t>
        </is>
      </c>
      <c r="N1045" t="inlineStr">
        <is>
          <t>BRNKCASH</t>
        </is>
      </c>
      <c r="O1045" t="inlineStr">
        <is>
          <t>NEW</t>
        </is>
      </c>
      <c r="P1045" t="inlineStr">
        <is>
          <t>NT26081900686</t>
        </is>
      </c>
      <c r="Q1045" t="inlineStr">
        <is>
          <t>NETTER</t>
        </is>
      </c>
    </row>
    <row r="1046">
      <c r="A1046" t="inlineStr">
        <is>
          <t>794226063698</t>
        </is>
      </c>
      <c r="B1046" t="inlineStr">
        <is>
          <t>TCC</t>
        </is>
      </c>
      <c r="C1046" t="inlineStr">
        <is>
          <t>BRMD</t>
        </is>
      </c>
      <c r="D1046" s="6" t="n">
        <v>46253</v>
      </c>
      <c r="E1046" t="inlineStr">
        <is>
          <t>DR</t>
        </is>
      </c>
      <c r="F1046" t="inlineStr">
        <is>
          <t>AED</t>
        </is>
      </c>
      <c r="G1046" s="7" t="n">
        <v>-138983771.015</v>
      </c>
      <c r="H1046" t="inlineStr">
        <is>
          <t>GBP</t>
        </is>
      </c>
      <c r="I1046" s="7" t="n">
        <v>-29603543.226</v>
      </c>
      <c r="J1046" s="8" t="n">
        <v>46253.45767361111</v>
      </c>
      <c r="K1046" t="inlineStr">
        <is>
          <t>CF260819 01040</t>
        </is>
      </c>
      <c r="L1046" t="inlineStr">
        <is>
          <t>GL.NOSTRO.AED.BRMD.008</t>
        </is>
      </c>
      <c r="M1046" t="inlineStr">
        <is>
          <t>Ironbark Trust</t>
        </is>
      </c>
      <c r="N1046" t="inlineStr">
        <is>
          <t>BRMDMM</t>
        </is>
      </c>
      <c r="O1046" t="inlineStr">
        <is>
          <t>NEW</t>
        </is>
      </c>
      <c r="P1046" t="inlineStr">
        <is>
          <t>NT26081900665</t>
        </is>
      </c>
      <c r="Q1046" t="inlineStr">
        <is>
          <t>NETTER</t>
        </is>
      </c>
    </row>
    <row r="1047">
      <c r="A1047" t="inlineStr">
        <is>
          <t>150316825069</t>
        </is>
      </c>
      <c r="B1047" t="inlineStr">
        <is>
          <t>TCP</t>
        </is>
      </c>
      <c r="C1047" t="inlineStr">
        <is>
          <t>BRGX</t>
        </is>
      </c>
      <c r="D1047" s="6" t="n">
        <v>46253</v>
      </c>
      <c r="E1047" t="inlineStr">
        <is>
          <t>DR</t>
        </is>
      </c>
      <c r="F1047" t="inlineStr">
        <is>
          <t>GBP</t>
        </is>
      </c>
      <c r="G1047" s="7" t="n">
        <v>-1311022.943</v>
      </c>
      <c r="H1047" t="inlineStr">
        <is>
          <t>GBP</t>
        </is>
      </c>
      <c r="I1047" s="7" t="n">
        <v>-1311022.943</v>
      </c>
      <c r="J1047" s="8" t="n">
        <v>46253.42268518519</v>
      </c>
      <c r="K1047" t="inlineStr">
        <is>
          <t>CF260819 01041</t>
        </is>
      </c>
      <c r="L1047" t="inlineStr">
        <is>
          <t>GL.NOSTRO.GBP.BRGX.002</t>
        </is>
      </c>
      <c r="M1047" t="inlineStr">
        <is>
          <t>Elmwood Clearing</t>
        </is>
      </c>
      <c r="N1047" t="inlineStr">
        <is>
          <t>BRGXTRSY</t>
        </is>
      </c>
      <c r="O1047" t="inlineStr">
        <is>
          <t>AMEND</t>
        </is>
      </c>
      <c r="Q1047" t="inlineStr">
        <is>
          <t>NETTER</t>
        </is>
      </c>
    </row>
    <row r="1048">
      <c r="A1048" t="inlineStr">
        <is>
          <t>621381112674</t>
        </is>
      </c>
      <c r="B1048" t="inlineStr">
        <is>
          <t>TCC</t>
        </is>
      </c>
      <c r="C1048" t="inlineStr">
        <is>
          <t>BRAA</t>
        </is>
      </c>
      <c r="D1048" s="6" t="n">
        <v>46253</v>
      </c>
      <c r="E1048" t="inlineStr">
        <is>
          <t>CR</t>
        </is>
      </c>
      <c r="F1048" t="inlineStr">
        <is>
          <t>PLN</t>
        </is>
      </c>
      <c r="G1048" s="7" t="n">
        <v>245918.703</v>
      </c>
      <c r="H1048" t="inlineStr">
        <is>
          <t>GBP</t>
        </is>
      </c>
      <c r="I1048" s="7" t="n">
        <v>48691.903</v>
      </c>
      <c r="J1048" s="8" t="n">
        <v>46253.35252314815</v>
      </c>
      <c r="K1048" t="inlineStr">
        <is>
          <t>CF260819 01042</t>
        </is>
      </c>
      <c r="L1048" t="inlineStr">
        <is>
          <t>GL.NOSTRO.PLN.BRAA.001</t>
        </is>
      </c>
      <c r="M1048" t="inlineStr">
        <is>
          <t>Dunlin Bank</t>
        </is>
      </c>
      <c r="N1048" t="inlineStr">
        <is>
          <t>BRAA</t>
        </is>
      </c>
      <c r="O1048" t="inlineStr">
        <is>
          <t>NEW</t>
        </is>
      </c>
      <c r="Q1048" t="inlineStr">
        <is>
          <t>NETTER</t>
        </is>
      </c>
    </row>
    <row r="1049">
      <c r="A1049" t="inlineStr">
        <is>
          <t>794226063698</t>
        </is>
      </c>
      <c r="B1049" t="inlineStr">
        <is>
          <t>TCC</t>
        </is>
      </c>
      <c r="C1049" t="inlineStr">
        <is>
          <t>BRMD</t>
        </is>
      </c>
      <c r="D1049" s="6" t="n">
        <v>46253</v>
      </c>
      <c r="E1049" t="inlineStr">
        <is>
          <t>CR</t>
        </is>
      </c>
      <c r="F1049" t="inlineStr">
        <is>
          <t>AED</t>
        </is>
      </c>
      <c r="G1049" s="7" t="n">
        <v>174565193.216</v>
      </c>
      <c r="H1049" t="inlineStr">
        <is>
          <t>GBP</t>
        </is>
      </c>
      <c r="I1049" s="7" t="n">
        <v>37182386.155</v>
      </c>
      <c r="J1049" s="8" t="n">
        <v>46253.38407407407</v>
      </c>
      <c r="K1049" t="inlineStr">
        <is>
          <t>CF260819 01043</t>
        </is>
      </c>
      <c r="L1049" t="inlineStr">
        <is>
          <t>GL.NOSTRO.AED.BRMD.003</t>
        </is>
      </c>
      <c r="M1049" t="inlineStr">
        <is>
          <t>Umberton Clearing</t>
        </is>
      </c>
      <c r="N1049" t="inlineStr">
        <is>
          <t>BRMDCASH</t>
        </is>
      </c>
      <c r="O1049" t="inlineStr">
        <is>
          <t>NEW</t>
        </is>
      </c>
      <c r="Q1049" t="inlineStr">
        <is>
          <t>NETTER</t>
        </is>
      </c>
    </row>
    <row r="1050">
      <c r="A1050" t="inlineStr">
        <is>
          <t>968942362772</t>
        </is>
      </c>
      <c r="B1050" t="inlineStr">
        <is>
          <t>TCC</t>
        </is>
      </c>
      <c r="C1050" t="inlineStr">
        <is>
          <t>BRYG</t>
        </is>
      </c>
      <c r="D1050" s="6" t="n">
        <v>46253</v>
      </c>
      <c r="E1050" t="inlineStr">
        <is>
          <t>CR</t>
        </is>
      </c>
      <c r="F1050" t="inlineStr">
        <is>
          <t>EUR</t>
        </is>
      </c>
      <c r="G1050" s="7" t="n">
        <v>302468478.968</v>
      </c>
      <c r="H1050" t="inlineStr">
        <is>
          <t>GBP</t>
        </is>
      </c>
      <c r="I1050" s="7" t="n">
        <v>259517954.955</v>
      </c>
      <c r="J1050" s="8" t="n">
        <v>46253.59769675926</v>
      </c>
      <c r="K1050" t="inlineStr">
        <is>
          <t>CF260819 01044</t>
        </is>
      </c>
      <c r="L1050" t="inlineStr">
        <is>
          <t>GL.NOSTRO.EUR.BRYG.004</t>
        </is>
      </c>
      <c r="M1050" t="inlineStr">
        <is>
          <t>Pinehurst Bank</t>
        </is>
      </c>
      <c r="N1050" t="inlineStr">
        <is>
          <t>BRYG</t>
        </is>
      </c>
      <c r="O1050" t="inlineStr">
        <is>
          <t>NEW</t>
        </is>
      </c>
      <c r="Q1050" t="inlineStr">
        <is>
          <t>NETTER</t>
        </is>
      </c>
    </row>
    <row r="1051">
      <c r="A1051" t="inlineStr">
        <is>
          <t>794226063698</t>
        </is>
      </c>
      <c r="B1051" t="inlineStr">
        <is>
          <t>TCG</t>
        </is>
      </c>
      <c r="C1051" t="inlineStr">
        <is>
          <t>BRMD</t>
        </is>
      </c>
      <c r="D1051" s="6" t="n">
        <v>46253</v>
      </c>
      <c r="E1051" t="inlineStr">
        <is>
          <t>DR</t>
        </is>
      </c>
      <c r="F1051" t="inlineStr">
        <is>
          <t>AED</t>
        </is>
      </c>
      <c r="G1051" s="7" t="n">
        <v>-2157069.501</v>
      </c>
      <c r="H1051" t="inlineStr">
        <is>
          <t>GBP</t>
        </is>
      </c>
      <c r="I1051" s="7" t="n">
        <v>-459455.804</v>
      </c>
      <c r="J1051" s="8" t="n">
        <v>46253.62398148148</v>
      </c>
      <c r="K1051" t="inlineStr">
        <is>
          <t>CF260819 01045</t>
        </is>
      </c>
      <c r="L1051" t="inlineStr">
        <is>
          <t>GL.NOSTRO.AED.BRMD.009</t>
        </is>
      </c>
      <c r="M1051" t="inlineStr">
        <is>
          <t>Wrenfield Commercial Bank</t>
        </is>
      </c>
      <c r="N1051" t="inlineStr">
        <is>
          <t>BRMD</t>
        </is>
      </c>
      <c r="O1051" t="inlineStr">
        <is>
          <t>NEW</t>
        </is>
      </c>
      <c r="P1051" t="inlineStr">
        <is>
          <t>NT26081900686</t>
        </is>
      </c>
      <c r="Q1051" t="inlineStr">
        <is>
          <t>GROSS</t>
        </is>
      </c>
    </row>
    <row r="1052">
      <c r="A1052" t="inlineStr">
        <is>
          <t>824840705580</t>
        </is>
      </c>
      <c r="B1052" t="inlineStr">
        <is>
          <t>TCQ</t>
        </is>
      </c>
      <c r="C1052" t="inlineStr">
        <is>
          <t>BRGL</t>
        </is>
      </c>
      <c r="D1052" s="6" t="n">
        <v>46253</v>
      </c>
      <c r="E1052" t="inlineStr">
        <is>
          <t>DR</t>
        </is>
      </c>
      <c r="F1052" t="inlineStr">
        <is>
          <t>EUR</t>
        </is>
      </c>
      <c r="G1052" s="7" t="n">
        <v>-121906.724</v>
      </c>
      <c r="H1052" t="inlineStr">
        <is>
          <t>GBP</t>
        </is>
      </c>
      <c r="I1052" s="7" t="n">
        <v>-104595.969</v>
      </c>
      <c r="J1052" s="8" t="n">
        <v>46253.72672453704</v>
      </c>
      <c r="K1052" t="inlineStr">
        <is>
          <t>CF260819 01046</t>
        </is>
      </c>
      <c r="L1052" t="inlineStr">
        <is>
          <t>GL.NOSTRO.EUR.BRGL.005</t>
        </is>
      </c>
      <c r="M1052" t="inlineStr">
        <is>
          <t>Elmwood Trust</t>
        </is>
      </c>
      <c r="N1052" t="inlineStr">
        <is>
          <t>BRGLMM</t>
        </is>
      </c>
      <c r="O1052" t="inlineStr">
        <is>
          <t>NEW</t>
        </is>
      </c>
      <c r="Q1052" t="inlineStr">
        <is>
          <t>NETTER</t>
        </is>
      </c>
    </row>
    <row r="1053">
      <c r="A1053" t="inlineStr">
        <is>
          <t>359365220160</t>
        </is>
      </c>
      <c r="B1053" t="inlineStr">
        <is>
          <t>TCP</t>
        </is>
      </c>
      <c r="C1053" t="inlineStr">
        <is>
          <t>BRGX</t>
        </is>
      </c>
      <c r="D1053" s="6" t="n">
        <v>46253</v>
      </c>
      <c r="E1053" t="inlineStr">
        <is>
          <t>CR</t>
        </is>
      </c>
      <c r="F1053" t="inlineStr">
        <is>
          <t>EUR</t>
        </is>
      </c>
      <c r="G1053" s="7" t="n">
        <v>33087889.092</v>
      </c>
      <c r="H1053" t="inlineStr">
        <is>
          <t>GBP</t>
        </is>
      </c>
      <c r="I1053" s="7" t="n">
        <v>28389408.841</v>
      </c>
      <c r="J1053" s="8" t="n">
        <v>46253.29679398148</v>
      </c>
      <c r="K1053" t="inlineStr">
        <is>
          <t>CF260819 01047</t>
        </is>
      </c>
      <c r="L1053" t="inlineStr">
        <is>
          <t>GL.NOSTRO.EUR.BRGX.004</t>
        </is>
      </c>
      <c r="M1053" t="inlineStr">
        <is>
          <t>Mallow Clearing</t>
        </is>
      </c>
      <c r="N1053" t="inlineStr">
        <is>
          <t>BRGXMM</t>
        </is>
      </c>
      <c r="O1053" t="inlineStr">
        <is>
          <t>NEW</t>
        </is>
      </c>
      <c r="Q1053" t="inlineStr">
        <is>
          <t>GROSS</t>
        </is>
      </c>
    </row>
    <row r="1054">
      <c r="A1054" t="inlineStr">
        <is>
          <t>953625291146</t>
        </is>
      </c>
      <c r="B1054" t="inlineStr">
        <is>
          <t>TCG</t>
        </is>
      </c>
      <c r="C1054" t="inlineStr">
        <is>
          <t>BRGL</t>
        </is>
      </c>
      <c r="D1054" s="6" t="n">
        <v>46253</v>
      </c>
      <c r="E1054" t="inlineStr">
        <is>
          <t>CR</t>
        </is>
      </c>
      <c r="F1054" t="inlineStr">
        <is>
          <t>USD</t>
        </is>
      </c>
      <c r="G1054" s="7" t="n">
        <v>2921027.768</v>
      </c>
      <c r="H1054" t="inlineStr">
        <is>
          <t>GBP</t>
        </is>
      </c>
      <c r="I1054" s="7" t="n">
        <v>2290085.77</v>
      </c>
      <c r="J1054" s="8" t="n">
        <v>46253.54131944444</v>
      </c>
      <c r="K1054" t="inlineStr">
        <is>
          <t>CF260819 01048</t>
        </is>
      </c>
      <c r="L1054" t="inlineStr">
        <is>
          <t>GL.NOSTRO.USD.BRGL.004</t>
        </is>
      </c>
      <c r="M1054" t="inlineStr">
        <is>
          <t>Wrenfield Commercial Bank</t>
        </is>
      </c>
      <c r="N1054" t="inlineStr">
        <is>
          <t>BRGLCASH</t>
        </is>
      </c>
      <c r="O1054" t="inlineStr">
        <is>
          <t>NEW</t>
        </is>
      </c>
      <c r="Q1054" t="inlineStr">
        <is>
          <t>INTERNAL</t>
        </is>
      </c>
    </row>
    <row r="1055">
      <c r="A1055" t="inlineStr">
        <is>
          <t>621381112674</t>
        </is>
      </c>
      <c r="B1055" t="inlineStr">
        <is>
          <t>TCQ</t>
        </is>
      </c>
      <c r="C1055" t="inlineStr">
        <is>
          <t>BRAA</t>
        </is>
      </c>
      <c r="D1055" s="6" t="n">
        <v>46253</v>
      </c>
      <c r="E1055" t="inlineStr">
        <is>
          <t>DR</t>
        </is>
      </c>
      <c r="F1055" t="inlineStr">
        <is>
          <t>PLN</t>
        </is>
      </c>
      <c r="G1055" s="7" t="n">
        <v>-42204985.578</v>
      </c>
      <c r="H1055" t="inlineStr">
        <is>
          <t>GBP</t>
        </is>
      </c>
      <c r="I1055" s="7" t="n">
        <v>-8356587.144</v>
      </c>
      <c r="J1055" s="8" t="n">
        <v>46253.46784722222</v>
      </c>
      <c r="K1055" t="inlineStr">
        <is>
          <t>CF260819 01049</t>
        </is>
      </c>
      <c r="L1055" t="inlineStr">
        <is>
          <t>GL.NOSTRO.PLN.BRAA.003</t>
        </is>
      </c>
      <c r="M1055" t="inlineStr">
        <is>
          <t>Yarrow Bank</t>
        </is>
      </c>
      <c r="N1055" t="inlineStr">
        <is>
          <t>BRAATRSY</t>
        </is>
      </c>
      <c r="O1055" t="inlineStr">
        <is>
          <t>AMEND</t>
        </is>
      </c>
      <c r="P1055" t="inlineStr">
        <is>
          <t>NT26081900669</t>
        </is>
      </c>
      <c r="Q1055" t="inlineStr">
        <is>
          <t>GROSS</t>
        </is>
      </c>
    </row>
    <row r="1056">
      <c r="A1056" t="inlineStr">
        <is>
          <t>794226063698</t>
        </is>
      </c>
      <c r="B1056" t="inlineStr">
        <is>
          <t>TCG</t>
        </is>
      </c>
      <c r="C1056" t="inlineStr">
        <is>
          <t>BRMD</t>
        </is>
      </c>
      <c r="D1056" s="6" t="n">
        <v>46253</v>
      </c>
      <c r="E1056" t="inlineStr">
        <is>
          <t>CR</t>
        </is>
      </c>
      <c r="F1056" t="inlineStr">
        <is>
          <t>AED</t>
        </is>
      </c>
      <c r="G1056" s="7" t="n">
        <v>447529799.069</v>
      </c>
      <c r="H1056" t="inlineStr">
        <is>
          <t>GBP</t>
        </is>
      </c>
      <c r="I1056" s="7" t="n">
        <v>95323847.20200001</v>
      </c>
      <c r="J1056" s="8" t="n">
        <v>46253.70701388889</v>
      </c>
      <c r="K1056" t="inlineStr">
        <is>
          <t>CF260819 01050</t>
        </is>
      </c>
      <c r="L1056" t="inlineStr">
        <is>
          <t>GL.NOSTRO.AED.BRMD.008</t>
        </is>
      </c>
      <c r="M1056" t="inlineStr">
        <is>
          <t>Wrenfield Settlement Bank</t>
        </is>
      </c>
      <c r="N1056" t="inlineStr">
        <is>
          <t>BRMDMM</t>
        </is>
      </c>
      <c r="O1056" t="inlineStr">
        <is>
          <t>NEW</t>
        </is>
      </c>
      <c r="Q1056" t="inlineStr">
        <is>
          <t>GROSS</t>
        </is>
      </c>
    </row>
    <row r="1057">
      <c r="A1057" t="inlineStr">
        <is>
          <t>794226063698</t>
        </is>
      </c>
      <c r="B1057" t="inlineStr">
        <is>
          <t>TCX</t>
        </is>
      </c>
      <c r="C1057" t="inlineStr">
        <is>
          <t>BRMD</t>
        </is>
      </c>
      <c r="D1057" s="6" t="n">
        <v>46253</v>
      </c>
      <c r="E1057" t="inlineStr">
        <is>
          <t>DR</t>
        </is>
      </c>
      <c r="F1057" t="inlineStr">
        <is>
          <t>AED</t>
        </is>
      </c>
      <c r="G1057" s="7" t="n">
        <v>-4983932.5</v>
      </c>
      <c r="H1057" t="inlineStr">
        <is>
          <t>GBP</t>
        </is>
      </c>
      <c r="I1057" s="7" t="n">
        <v>-1061577.623</v>
      </c>
      <c r="J1057" s="8" t="n">
        <v>46253.74018518518</v>
      </c>
      <c r="K1057" t="inlineStr">
        <is>
          <t>CF260819 01051</t>
        </is>
      </c>
      <c r="L1057" t="inlineStr">
        <is>
          <t>GL.NOSTRO.AED.BRMD.005</t>
        </is>
      </c>
      <c r="M1057" t="inlineStr">
        <is>
          <t>Harrow Clearing</t>
        </is>
      </c>
      <c r="N1057" t="inlineStr">
        <is>
          <t>BRMDMM</t>
        </is>
      </c>
      <c r="O1057" t="inlineStr">
        <is>
          <t>NEW</t>
        </is>
      </c>
      <c r="Q1057" t="inlineStr">
        <is>
          <t>GROSS</t>
        </is>
      </c>
    </row>
    <row r="1058">
      <c r="A1058" t="inlineStr">
        <is>
          <t>265771593142</t>
        </is>
      </c>
      <c r="B1058" t="inlineStr">
        <is>
          <t>TCG</t>
        </is>
      </c>
      <c r="C1058" t="inlineStr">
        <is>
          <t>BRYG</t>
        </is>
      </c>
      <c r="D1058" s="6" t="n">
        <v>46253</v>
      </c>
      <c r="E1058" t="inlineStr">
        <is>
          <t>DR</t>
        </is>
      </c>
      <c r="F1058" t="inlineStr">
        <is>
          <t>EUR</t>
        </is>
      </c>
      <c r="G1058" s="7" t="n">
        <v>-186604.233</v>
      </c>
      <c r="H1058" t="inlineStr">
        <is>
          <t>GBP</t>
        </is>
      </c>
      <c r="I1058" s="7" t="n">
        <v>-160106.432</v>
      </c>
      <c r="J1058" s="8" t="n">
        <v>46253.66398148148</v>
      </c>
      <c r="K1058" t="inlineStr">
        <is>
          <t>CF260819 01052</t>
        </is>
      </c>
      <c r="L1058" t="inlineStr">
        <is>
          <t>GL.NOSTRO.EUR.BRYG.007</t>
        </is>
      </c>
      <c r="M1058" t="inlineStr">
        <is>
          <t>Ironbark Trust</t>
        </is>
      </c>
      <c r="N1058" t="inlineStr">
        <is>
          <t>BRYGTRSY</t>
        </is>
      </c>
      <c r="O1058" t="inlineStr">
        <is>
          <t>NEW</t>
        </is>
      </c>
      <c r="Q1058" t="inlineStr">
        <is>
          <t>NETTER</t>
        </is>
      </c>
    </row>
    <row r="1059">
      <c r="A1059" t="inlineStr">
        <is>
          <t>499062838623</t>
        </is>
      </c>
      <c r="B1059" t="inlineStr">
        <is>
          <t>TCC</t>
        </is>
      </c>
      <c r="C1059" t="inlineStr">
        <is>
          <t>BRBX</t>
        </is>
      </c>
      <c r="D1059" s="6" t="n">
        <v>46253</v>
      </c>
      <c r="E1059" t="inlineStr">
        <is>
          <t>CR</t>
        </is>
      </c>
      <c r="F1059" t="inlineStr">
        <is>
          <t>USD</t>
        </is>
      </c>
      <c r="G1059" s="7" t="n">
        <v>377585361.835</v>
      </c>
      <c r="H1059" t="inlineStr">
        <is>
          <t>GBP</t>
        </is>
      </c>
      <c r="I1059" s="7" t="n">
        <v>296026923.679</v>
      </c>
      <c r="J1059" s="8" t="n">
        <v>46253.531875</v>
      </c>
      <c r="K1059" t="inlineStr">
        <is>
          <t>CF260819 01053</t>
        </is>
      </c>
      <c r="L1059" t="inlineStr">
        <is>
          <t>GL.NOSTRO.USD.BRBX.002</t>
        </is>
      </c>
      <c r="M1059" t="inlineStr">
        <is>
          <t>Dunlin Trust</t>
        </is>
      </c>
      <c r="N1059" t="inlineStr">
        <is>
          <t>BRBXCASH</t>
        </is>
      </c>
      <c r="O1059" t="inlineStr">
        <is>
          <t>NEW</t>
        </is>
      </c>
      <c r="P1059" t="inlineStr">
        <is>
          <t>NT26081900668</t>
        </is>
      </c>
      <c r="Q1059" t="inlineStr">
        <is>
          <t>GROSS</t>
        </is>
      </c>
    </row>
    <row r="1060">
      <c r="A1060" t="inlineStr">
        <is>
          <t>150316825069</t>
        </is>
      </c>
      <c r="B1060" t="inlineStr">
        <is>
          <t>TCP</t>
        </is>
      </c>
      <c r="C1060" t="inlineStr">
        <is>
          <t>BRGX</t>
        </is>
      </c>
      <c r="D1060" s="6" t="n">
        <v>46253</v>
      </c>
      <c r="E1060" t="inlineStr">
        <is>
          <t>DR</t>
        </is>
      </c>
      <c r="F1060" t="inlineStr">
        <is>
          <t>GBP</t>
        </is>
      </c>
      <c r="G1060" s="7" t="n">
        <v>-70964145.38699999</v>
      </c>
      <c r="H1060" t="inlineStr">
        <is>
          <t>GBP</t>
        </is>
      </c>
      <c r="I1060" s="7" t="n">
        <v>-70964145.38699999</v>
      </c>
      <c r="J1060" s="8" t="n">
        <v>46253.57719907408</v>
      </c>
      <c r="K1060" t="inlineStr">
        <is>
          <t>CF260819 01054</t>
        </is>
      </c>
      <c r="L1060" t="inlineStr">
        <is>
          <t>GL.NOSTRO.GBP.BRGX.005</t>
        </is>
      </c>
      <c r="M1060" t="inlineStr">
        <is>
          <t>Dunlin Trust</t>
        </is>
      </c>
      <c r="N1060" t="inlineStr">
        <is>
          <t>BRGXTRSY</t>
        </is>
      </c>
      <c r="O1060" t="inlineStr">
        <is>
          <t>NEW</t>
        </is>
      </c>
      <c r="P1060" t="inlineStr">
        <is>
          <t>NT26081900664</t>
        </is>
      </c>
      <c r="Q1060" t="inlineStr">
        <is>
          <t>NETTER</t>
        </is>
      </c>
    </row>
    <row r="1061">
      <c r="A1061" t="inlineStr">
        <is>
          <t>284925023085</t>
        </is>
      </c>
      <c r="B1061" t="inlineStr">
        <is>
          <t>TCP</t>
        </is>
      </c>
      <c r="C1061" t="inlineStr">
        <is>
          <t>BRMD</t>
        </is>
      </c>
      <c r="D1061" s="6" t="n">
        <v>46253</v>
      </c>
      <c r="E1061" t="inlineStr">
        <is>
          <t>CR</t>
        </is>
      </c>
      <c r="F1061" t="inlineStr">
        <is>
          <t>MXN</t>
        </is>
      </c>
      <c r="G1061" s="7" t="n">
        <v>24166886480.02</v>
      </c>
      <c r="H1061" t="inlineStr">
        <is>
          <t>GBP</t>
        </is>
      </c>
      <c r="I1061" s="7" t="n">
        <v>1034342741.345</v>
      </c>
      <c r="J1061" s="8" t="n">
        <v>46253.32313657407</v>
      </c>
      <c r="K1061" t="inlineStr">
        <is>
          <t>CF260819 01055</t>
        </is>
      </c>
      <c r="L1061" t="inlineStr">
        <is>
          <t>GL.NOSTRO.MXN.BRMD.001</t>
        </is>
      </c>
      <c r="M1061" t="inlineStr">
        <is>
          <t>Pinehurst Bank</t>
        </is>
      </c>
      <c r="N1061" t="inlineStr">
        <is>
          <t>BRMDTRSY</t>
        </is>
      </c>
      <c r="O1061" t="inlineStr">
        <is>
          <t>NEW</t>
        </is>
      </c>
      <c r="P1061" t="inlineStr">
        <is>
          <t>NT26081900656</t>
        </is>
      </c>
      <c r="Q1061" t="inlineStr">
        <is>
          <t>GROSS</t>
        </is>
      </c>
    </row>
    <row r="1062">
      <c r="A1062" t="inlineStr">
        <is>
          <t>150316825069</t>
        </is>
      </c>
      <c r="B1062" t="inlineStr">
        <is>
          <t>TCC</t>
        </is>
      </c>
      <c r="C1062" t="inlineStr">
        <is>
          <t>BRGX</t>
        </is>
      </c>
      <c r="D1062" s="6" t="n">
        <v>46253</v>
      </c>
      <c r="E1062" t="inlineStr">
        <is>
          <t>DR</t>
        </is>
      </c>
      <c r="F1062" t="inlineStr">
        <is>
          <t>GBP</t>
        </is>
      </c>
      <c r="G1062" s="7" t="n">
        <v>-2062.29</v>
      </c>
      <c r="H1062" t="inlineStr">
        <is>
          <t>GBP</t>
        </is>
      </c>
      <c r="I1062" s="7" t="n">
        <v>-2062.29</v>
      </c>
      <c r="J1062" s="8" t="n">
        <v>46253.37572916667</v>
      </c>
      <c r="K1062" t="inlineStr">
        <is>
          <t>CF260819 01056</t>
        </is>
      </c>
      <c r="L1062" t="inlineStr">
        <is>
          <t>GL.NOSTRO.GBP.BRGX.003</t>
        </is>
      </c>
      <c r="M1062" t="inlineStr">
        <is>
          <t>Dunlin Bank</t>
        </is>
      </c>
      <c r="N1062" t="inlineStr">
        <is>
          <t>BRGXMM</t>
        </is>
      </c>
      <c r="O1062" t="inlineStr">
        <is>
          <t>NEW</t>
        </is>
      </c>
      <c r="P1062" t="inlineStr">
        <is>
          <t>NT26081900683</t>
        </is>
      </c>
      <c r="Q1062" t="inlineStr">
        <is>
          <t>NETTER</t>
        </is>
      </c>
    </row>
    <row r="1063">
      <c r="A1063" t="inlineStr">
        <is>
          <t>150316825069</t>
        </is>
      </c>
      <c r="B1063" t="inlineStr">
        <is>
          <t>TCP</t>
        </is>
      </c>
      <c r="C1063" t="inlineStr">
        <is>
          <t>BRGX</t>
        </is>
      </c>
      <c r="D1063" s="6" t="n">
        <v>46253</v>
      </c>
      <c r="E1063" t="inlineStr">
        <is>
          <t>DR</t>
        </is>
      </c>
      <c r="F1063" t="inlineStr">
        <is>
          <t>GBP</t>
        </is>
      </c>
      <c r="G1063" s="7" t="n">
        <v>-574096376.743</v>
      </c>
      <c r="H1063" t="inlineStr">
        <is>
          <t>GBP</t>
        </is>
      </c>
      <c r="I1063" s="7" t="n">
        <v>-574096376.743</v>
      </c>
      <c r="J1063" s="8" t="n">
        <v>46253.59081018518</v>
      </c>
      <c r="K1063" t="inlineStr">
        <is>
          <t>CF260819 01057</t>
        </is>
      </c>
      <c r="L1063" t="inlineStr">
        <is>
          <t>GL.NOSTRO.GBP.BRGX.009</t>
        </is>
      </c>
      <c r="M1063" t="inlineStr">
        <is>
          <t>Yarrow Commercial Bank</t>
        </is>
      </c>
      <c r="N1063" t="inlineStr">
        <is>
          <t>BRGXCASH</t>
        </is>
      </c>
      <c r="O1063" t="inlineStr">
        <is>
          <t>NEW</t>
        </is>
      </c>
      <c r="Q1063" t="inlineStr">
        <is>
          <t>GROSS</t>
        </is>
      </c>
    </row>
    <row r="1064">
      <c r="A1064" t="inlineStr">
        <is>
          <t>794226063698</t>
        </is>
      </c>
      <c r="B1064" t="inlineStr">
        <is>
          <t>TCX</t>
        </is>
      </c>
      <c r="C1064" t="inlineStr">
        <is>
          <t>BRMD</t>
        </is>
      </c>
      <c r="D1064" s="6" t="n">
        <v>46253</v>
      </c>
      <c r="E1064" t="inlineStr">
        <is>
          <t>DR</t>
        </is>
      </c>
      <c r="F1064" t="inlineStr">
        <is>
          <t>AED</t>
        </is>
      </c>
      <c r="G1064" s="7" t="n">
        <v>-461732333.457</v>
      </c>
      <c r="H1064" t="inlineStr">
        <is>
          <t>GBP</t>
        </is>
      </c>
      <c r="I1064" s="7" t="n">
        <v>-98348987.02599999</v>
      </c>
      <c r="J1064" s="8" t="n">
        <v>46253.45214120371</v>
      </c>
      <c r="K1064" t="inlineStr">
        <is>
          <t>CF260819 01058</t>
        </is>
      </c>
      <c r="L1064" t="inlineStr">
        <is>
          <t>GL.NOSTRO.AED.BRMD.009</t>
        </is>
      </c>
      <c r="M1064" t="inlineStr">
        <is>
          <t>Ironbark Trust</t>
        </is>
      </c>
      <c r="N1064" t="inlineStr">
        <is>
          <t>BRMDCASH</t>
        </is>
      </c>
      <c r="O1064" t="inlineStr">
        <is>
          <t>NEW</t>
        </is>
      </c>
      <c r="Q1064" t="inlineStr">
        <is>
          <t>NETTER</t>
        </is>
      </c>
    </row>
    <row r="1065">
      <c r="A1065" t="inlineStr">
        <is>
          <t>794226063698</t>
        </is>
      </c>
      <c r="B1065" t="inlineStr">
        <is>
          <t>TCX</t>
        </is>
      </c>
      <c r="C1065" t="inlineStr">
        <is>
          <t>BRMD</t>
        </is>
      </c>
      <c r="D1065" s="6" t="n">
        <v>46253</v>
      </c>
      <c r="E1065" t="inlineStr">
        <is>
          <t>CR</t>
        </is>
      </c>
      <c r="F1065" t="inlineStr">
        <is>
          <t>AED</t>
        </is>
      </c>
      <c r="G1065" s="7" t="n">
        <v>645901679.7640001</v>
      </c>
      <c r="H1065" t="inlineStr">
        <is>
          <t>GBP</t>
        </is>
      </c>
      <c r="I1065" s="7" t="n">
        <v>137577057.79</v>
      </c>
      <c r="J1065" s="8" t="n">
        <v>46253.71615740741</v>
      </c>
      <c r="K1065" t="inlineStr">
        <is>
          <t>CF260819 01059</t>
        </is>
      </c>
      <c r="L1065" t="inlineStr">
        <is>
          <t>GL.NOSTRO.AED.BRMD.003</t>
        </is>
      </c>
      <c r="M1065" t="inlineStr">
        <is>
          <t>Harrow Clearing</t>
        </is>
      </c>
      <c r="N1065" t="inlineStr">
        <is>
          <t>BRMD</t>
        </is>
      </c>
      <c r="O1065" t="inlineStr">
        <is>
          <t>NEW</t>
        </is>
      </c>
      <c r="Q1065" t="inlineStr">
        <is>
          <t>NETTER</t>
        </is>
      </c>
    </row>
    <row r="1066">
      <c r="A1066" t="inlineStr">
        <is>
          <t>953625291146</t>
        </is>
      </c>
      <c r="B1066" t="inlineStr">
        <is>
          <t>TCQ</t>
        </is>
      </c>
      <c r="C1066" t="inlineStr">
        <is>
          <t>BRGL</t>
        </is>
      </c>
      <c r="D1066" s="6" t="n">
        <v>46253</v>
      </c>
      <c r="E1066" t="inlineStr">
        <is>
          <t>DR</t>
        </is>
      </c>
      <c r="F1066" t="inlineStr">
        <is>
          <t>USD</t>
        </is>
      </c>
      <c r="G1066" s="7" t="n">
        <v>-2335257.619</v>
      </c>
      <c r="H1066" t="inlineStr">
        <is>
          <t>GBP</t>
        </is>
      </c>
      <c r="I1066" s="7" t="n">
        <v>-1830841.973</v>
      </c>
      <c r="J1066" s="8" t="n">
        <v>46253.57127314815</v>
      </c>
      <c r="K1066" t="inlineStr">
        <is>
          <t>CF260819 01060</t>
        </is>
      </c>
      <c r="L1066" t="inlineStr">
        <is>
          <t>GL.NOSTRO.USD.BRGL.001</t>
        </is>
      </c>
      <c r="M1066" t="inlineStr">
        <is>
          <t>Zephyr Bank</t>
        </is>
      </c>
      <c r="N1066" t="inlineStr">
        <is>
          <t>BRGL</t>
        </is>
      </c>
      <c r="O1066" t="inlineStr">
        <is>
          <t>AMEND</t>
        </is>
      </c>
      <c r="P1066" t="inlineStr">
        <is>
          <t>NT26081900686</t>
        </is>
      </c>
      <c r="Q1066" t="inlineStr">
        <is>
          <t>INTERNAL</t>
        </is>
      </c>
    </row>
    <row r="1067">
      <c r="A1067" t="inlineStr">
        <is>
          <t>150316825069</t>
        </is>
      </c>
      <c r="B1067" t="inlineStr">
        <is>
          <t>TCP</t>
        </is>
      </c>
      <c r="C1067" t="inlineStr">
        <is>
          <t>BRGX</t>
        </is>
      </c>
      <c r="D1067" s="6" t="n">
        <v>46253</v>
      </c>
      <c r="E1067" t="inlineStr">
        <is>
          <t>CR</t>
        </is>
      </c>
      <c r="F1067" t="inlineStr">
        <is>
          <t>GBP</t>
        </is>
      </c>
      <c r="G1067" s="7" t="n">
        <v>140805.832</v>
      </c>
      <c r="H1067" t="inlineStr">
        <is>
          <t>GBP</t>
        </is>
      </c>
      <c r="I1067" s="7" t="n">
        <v>140805.832</v>
      </c>
      <c r="J1067" s="8" t="n">
        <v>46253.4396412037</v>
      </c>
      <c r="K1067" t="inlineStr">
        <is>
          <t>CF260819 01061</t>
        </is>
      </c>
      <c r="L1067" t="inlineStr">
        <is>
          <t>GL.NOSTRO.GBP.BRGX.006</t>
        </is>
      </c>
      <c r="M1067" t="inlineStr">
        <is>
          <t>Nightjar Bank</t>
        </is>
      </c>
      <c r="N1067" t="inlineStr">
        <is>
          <t>BRGXTRSY</t>
        </is>
      </c>
      <c r="O1067" t="inlineStr">
        <is>
          <t>NEW</t>
        </is>
      </c>
      <c r="Q1067" t="inlineStr">
        <is>
          <t>NETTER</t>
        </is>
      </c>
    </row>
    <row r="1068">
      <c r="A1068" t="inlineStr">
        <is>
          <t>171857983160</t>
        </is>
      </c>
      <c r="B1068" t="inlineStr">
        <is>
          <t>TCG</t>
        </is>
      </c>
      <c r="C1068" t="inlineStr">
        <is>
          <t>BRBX</t>
        </is>
      </c>
      <c r="D1068" s="6" t="n">
        <v>46253</v>
      </c>
      <c r="E1068" t="inlineStr">
        <is>
          <t>DR</t>
        </is>
      </c>
      <c r="F1068" t="inlineStr">
        <is>
          <t>AUD</t>
        </is>
      </c>
      <c r="G1068" s="7" t="n">
        <v>-1080692.887</v>
      </c>
      <c r="H1068" t="inlineStr">
        <is>
          <t>GBP</t>
        </is>
      </c>
      <c r="I1068" s="7" t="n">
        <v>-554395.451</v>
      </c>
      <c r="J1068" s="8" t="n">
        <v>46253.36651620371</v>
      </c>
      <c r="K1068" t="inlineStr">
        <is>
          <t>CF260819 01062</t>
        </is>
      </c>
      <c r="L1068" t="inlineStr">
        <is>
          <t>GL.NOSTRO.AUD.BRBX.001</t>
        </is>
      </c>
      <c r="M1068" t="inlineStr">
        <is>
          <t>Oriel Trust</t>
        </is>
      </c>
      <c r="N1068" t="inlineStr">
        <is>
          <t>BRBXCASH</t>
        </is>
      </c>
      <c r="O1068" t="inlineStr">
        <is>
          <t>NEW</t>
        </is>
      </c>
      <c r="Q1068" t="inlineStr">
        <is>
          <t>INTERNAL</t>
        </is>
      </c>
    </row>
    <row r="1069">
      <c r="A1069" t="inlineStr">
        <is>
          <t>265771593142</t>
        </is>
      </c>
      <c r="B1069" t="inlineStr">
        <is>
          <t>TCC</t>
        </is>
      </c>
      <c r="C1069" t="inlineStr">
        <is>
          <t>BRYG</t>
        </is>
      </c>
      <c r="D1069" s="6" t="n">
        <v>46253</v>
      </c>
      <c r="E1069" t="inlineStr">
        <is>
          <t>DR</t>
        </is>
      </c>
      <c r="F1069" t="inlineStr">
        <is>
          <t>EUR</t>
        </is>
      </c>
      <c r="G1069" s="7" t="n">
        <v>-1766144.857</v>
      </c>
      <c r="H1069" t="inlineStr">
        <is>
          <t>GBP</t>
        </is>
      </c>
      <c r="I1069" s="7" t="n">
        <v>-1515352.287</v>
      </c>
      <c r="J1069" s="8" t="n">
        <v>46253.50710648148</v>
      </c>
      <c r="K1069" t="inlineStr">
        <is>
          <t>CF260819 01063</t>
        </is>
      </c>
      <c r="L1069" t="inlineStr">
        <is>
          <t>GL.NOSTRO.EUR.BRYG.005</t>
        </is>
      </c>
      <c r="M1069" t="inlineStr">
        <is>
          <t>Umberton Commercial Bank</t>
        </is>
      </c>
      <c r="N1069" t="inlineStr">
        <is>
          <t>BRYGMM</t>
        </is>
      </c>
      <c r="O1069" t="inlineStr">
        <is>
          <t>NEW</t>
        </is>
      </c>
      <c r="P1069" t="inlineStr">
        <is>
          <t>NT26081900666</t>
        </is>
      </c>
      <c r="Q1069" t="inlineStr">
        <is>
          <t>NETTER</t>
        </is>
      </c>
    </row>
    <row r="1070">
      <c r="A1070" t="inlineStr">
        <is>
          <t>468341071172</t>
        </is>
      </c>
      <c r="B1070" t="inlineStr">
        <is>
          <t>TCX</t>
        </is>
      </c>
      <c r="C1070" t="inlineStr">
        <is>
          <t>BRCC</t>
        </is>
      </c>
      <c r="D1070" s="6" t="n">
        <v>46253</v>
      </c>
      <c r="E1070" t="inlineStr">
        <is>
          <t>CR</t>
        </is>
      </c>
      <c r="F1070" t="inlineStr">
        <is>
          <t>EUR</t>
        </is>
      </c>
      <c r="G1070" s="7" t="n">
        <v>1.757</v>
      </c>
      <c r="H1070" t="inlineStr">
        <is>
          <t>GBP</t>
        </is>
      </c>
      <c r="I1070" s="7" t="n">
        <v>1.508</v>
      </c>
      <c r="J1070" s="8" t="n">
        <v>46253.37756944444</v>
      </c>
      <c r="K1070" t="inlineStr">
        <is>
          <t>CF260819 01064</t>
        </is>
      </c>
      <c r="L1070" t="inlineStr">
        <is>
          <t>GL.NOSTRO.EUR.BRCC.005</t>
        </is>
      </c>
      <c r="M1070" t="inlineStr">
        <is>
          <t>Nightjar Bank</t>
        </is>
      </c>
      <c r="N1070" t="inlineStr">
        <is>
          <t>BRCCCASH</t>
        </is>
      </c>
      <c r="O1070" t="inlineStr">
        <is>
          <t>NEW</t>
        </is>
      </c>
      <c r="P1070" t="inlineStr">
        <is>
          <t>NT26081900676</t>
        </is>
      </c>
      <c r="Q1070" t="inlineStr">
        <is>
          <t>GROSS</t>
        </is>
      </c>
    </row>
    <row r="1071">
      <c r="A1071" t="inlineStr">
        <is>
          <t>927538182434</t>
        </is>
      </c>
      <c r="B1071" t="inlineStr">
        <is>
          <t>TCX</t>
        </is>
      </c>
      <c r="C1071" t="inlineStr">
        <is>
          <t>BRNK</t>
        </is>
      </c>
      <c r="D1071" s="6" t="n">
        <v>46253</v>
      </c>
      <c r="E1071" t="inlineStr">
        <is>
          <t>DR</t>
        </is>
      </c>
      <c r="F1071" t="inlineStr">
        <is>
          <t>CNY</t>
        </is>
      </c>
      <c r="G1071" s="7" t="n">
        <v>-102461.956</v>
      </c>
      <c r="H1071" t="inlineStr">
        <is>
          <t>GBP</t>
        </is>
      </c>
      <c r="I1071" s="7" t="n">
        <v>-11168.353</v>
      </c>
      <c r="J1071" s="8" t="n">
        <v>46253.45591435185</v>
      </c>
      <c r="K1071" t="inlineStr">
        <is>
          <t>CF260819 01065</t>
        </is>
      </c>
      <c r="L1071" t="inlineStr">
        <is>
          <t>GL.NOSTRO.CNY.BRNK.004</t>
        </is>
      </c>
      <c r="M1071" t="inlineStr">
        <is>
          <t>Pinehurst Bank</t>
        </is>
      </c>
      <c r="N1071" t="inlineStr">
        <is>
          <t>BRNKTRSY</t>
        </is>
      </c>
      <c r="O1071" t="inlineStr">
        <is>
          <t>NEW</t>
        </is>
      </c>
      <c r="Q1071" t="inlineStr">
        <is>
          <t>GROSS</t>
        </is>
      </c>
    </row>
    <row r="1072">
      <c r="A1072" t="inlineStr">
        <is>
          <t>359365220160</t>
        </is>
      </c>
      <c r="B1072" t="inlineStr">
        <is>
          <t>TCP</t>
        </is>
      </c>
      <c r="C1072" t="inlineStr">
        <is>
          <t>BRGX</t>
        </is>
      </c>
      <c r="D1072" s="6" t="n">
        <v>46253</v>
      </c>
      <c r="E1072" t="inlineStr">
        <is>
          <t>DR</t>
        </is>
      </c>
      <c r="F1072" t="inlineStr">
        <is>
          <t>EUR</t>
        </is>
      </c>
      <c r="G1072" s="7" t="n">
        <v>-3601.277</v>
      </c>
      <c r="H1072" t="inlineStr">
        <is>
          <t>GBP</t>
        </is>
      </c>
      <c r="I1072" s="7" t="n">
        <v>-3089.896</v>
      </c>
      <c r="J1072" s="8" t="n">
        <v>46253.59325231481</v>
      </c>
      <c r="K1072" t="inlineStr">
        <is>
          <t>CF260819 01066</t>
        </is>
      </c>
      <c r="L1072" t="inlineStr">
        <is>
          <t>GL.NOSTRO.EUR.BRGX.001</t>
        </is>
      </c>
      <c r="M1072" t="inlineStr">
        <is>
          <t>Sablewood Clearing</t>
        </is>
      </c>
      <c r="N1072" t="inlineStr">
        <is>
          <t>BRGX</t>
        </is>
      </c>
      <c r="O1072" t="inlineStr">
        <is>
          <t>NEW</t>
        </is>
      </c>
      <c r="Q1072" t="inlineStr">
        <is>
          <t>INTERNAL</t>
        </is>
      </c>
    </row>
    <row r="1073">
      <c r="A1073" t="inlineStr">
        <is>
          <t>171857983160</t>
        </is>
      </c>
      <c r="B1073" t="inlineStr">
        <is>
          <t>TCQ</t>
        </is>
      </c>
      <c r="C1073" t="inlineStr">
        <is>
          <t>BRBX</t>
        </is>
      </c>
      <c r="D1073" s="6" t="n">
        <v>46253</v>
      </c>
      <c r="E1073" t="inlineStr">
        <is>
          <t>DR</t>
        </is>
      </c>
      <c r="F1073" t="inlineStr">
        <is>
          <t>AUD</t>
        </is>
      </c>
      <c r="G1073" s="7" t="n">
        <v>-499700414.012</v>
      </c>
      <c r="H1073" t="inlineStr">
        <is>
          <t>GBP</t>
        </is>
      </c>
      <c r="I1073" s="7" t="n">
        <v>-256346312.388</v>
      </c>
      <c r="J1073" s="8" t="n">
        <v>46253.37633101852</v>
      </c>
      <c r="K1073" t="inlineStr">
        <is>
          <t>CF260819 01067</t>
        </is>
      </c>
      <c r="L1073" t="inlineStr">
        <is>
          <t>GL.NOSTRO.AUD.BRBX.002</t>
        </is>
      </c>
      <c r="M1073" t="inlineStr">
        <is>
          <t>Wrenfield Settlement Bank</t>
        </is>
      </c>
      <c r="N1073" t="inlineStr">
        <is>
          <t>BRBXTRSY</t>
        </is>
      </c>
      <c r="O1073" t="inlineStr">
        <is>
          <t>NEW</t>
        </is>
      </c>
      <c r="P1073" t="inlineStr">
        <is>
          <t>NT26081900694</t>
        </is>
      </c>
      <c r="Q1073" t="inlineStr">
        <is>
          <t>NETTER</t>
        </is>
      </c>
    </row>
    <row r="1074">
      <c r="A1074" t="inlineStr">
        <is>
          <t>265771593142</t>
        </is>
      </c>
      <c r="B1074" t="inlineStr">
        <is>
          <t>TCG</t>
        </is>
      </c>
      <c r="C1074" t="inlineStr">
        <is>
          <t>BRYG</t>
        </is>
      </c>
      <c r="D1074" s="6" t="n">
        <v>46253</v>
      </c>
      <c r="E1074" t="inlineStr">
        <is>
          <t>CR</t>
        </is>
      </c>
      <c r="F1074" t="inlineStr">
        <is>
          <t>EUR</t>
        </is>
      </c>
      <c r="G1074" s="7" t="n">
        <v>18315686.398</v>
      </c>
      <c r="H1074" t="inlineStr">
        <is>
          <t>GBP</t>
        </is>
      </c>
      <c r="I1074" s="7" t="n">
        <v>15714858.929</v>
      </c>
      <c r="J1074" s="8" t="n">
        <v>46253.47802083333</v>
      </c>
      <c r="K1074" t="inlineStr">
        <is>
          <t>CF260819 01068</t>
        </is>
      </c>
      <c r="L1074" t="inlineStr">
        <is>
          <t>GL.NOSTRO.EUR.BRYG.007</t>
        </is>
      </c>
      <c r="M1074" t="inlineStr">
        <is>
          <t>Dunlin Trust</t>
        </is>
      </c>
      <c r="N1074" t="inlineStr">
        <is>
          <t>BRYGCASH</t>
        </is>
      </c>
      <c r="O1074" t="inlineStr">
        <is>
          <t>NEW</t>
        </is>
      </c>
      <c r="Q1074" t="inlineStr">
        <is>
          <t>NETTER</t>
        </is>
      </c>
    </row>
    <row r="1075">
      <c r="A1075" t="inlineStr">
        <is>
          <t>468341071172</t>
        </is>
      </c>
      <c r="B1075" t="inlineStr">
        <is>
          <t>TCP</t>
        </is>
      </c>
      <c r="C1075" t="inlineStr">
        <is>
          <t>BRCC</t>
        </is>
      </c>
      <c r="D1075" s="6" t="n">
        <v>46253</v>
      </c>
      <c r="E1075" t="inlineStr">
        <is>
          <t>CR</t>
        </is>
      </c>
      <c r="F1075" t="inlineStr">
        <is>
          <t>EUR</t>
        </is>
      </c>
      <c r="G1075" s="7" t="n">
        <v>25187390.184</v>
      </c>
      <c r="H1075" t="inlineStr">
        <is>
          <t>GBP</t>
        </is>
      </c>
      <c r="I1075" s="7" t="n">
        <v>21610780.778</v>
      </c>
      <c r="J1075" s="8" t="n">
        <v>46253.43194444444</v>
      </c>
      <c r="K1075" t="inlineStr">
        <is>
          <t>CF260819 01069</t>
        </is>
      </c>
      <c r="L1075" t="inlineStr">
        <is>
          <t>GL.NOSTRO.EUR.BRCC.002</t>
        </is>
      </c>
      <c r="M1075" t="inlineStr">
        <is>
          <t>Zephyr Commercial Bank</t>
        </is>
      </c>
      <c r="N1075" t="inlineStr">
        <is>
          <t>BRCCTRSY</t>
        </is>
      </c>
      <c r="O1075" t="inlineStr">
        <is>
          <t>AMEND</t>
        </is>
      </c>
      <c r="P1075" t="inlineStr">
        <is>
          <t>NT26081900685</t>
        </is>
      </c>
      <c r="Q1075" t="inlineStr">
        <is>
          <t>NETTER</t>
        </is>
      </c>
    </row>
    <row r="1076">
      <c r="A1076" t="inlineStr">
        <is>
          <t>794226063698</t>
        </is>
      </c>
      <c r="B1076" t="inlineStr">
        <is>
          <t>TCG</t>
        </is>
      </c>
      <c r="C1076" t="inlineStr">
        <is>
          <t>BRMD</t>
        </is>
      </c>
      <c r="D1076" s="6" t="n">
        <v>46253</v>
      </c>
      <c r="E1076" t="inlineStr">
        <is>
          <t>CR</t>
        </is>
      </c>
      <c r="F1076" t="inlineStr">
        <is>
          <t>AED</t>
        </is>
      </c>
      <c r="G1076" s="7" t="n">
        <v>22850164.012</v>
      </c>
      <c r="H1076" t="inlineStr">
        <is>
          <t>GBP</t>
        </is>
      </c>
      <c r="I1076" s="7" t="n">
        <v>4867084.935</v>
      </c>
      <c r="J1076" s="8" t="n">
        <v>46253.37528935185</v>
      </c>
      <c r="K1076" t="inlineStr">
        <is>
          <t>CF260819 01070</t>
        </is>
      </c>
      <c r="L1076" t="inlineStr">
        <is>
          <t>GL.NOSTRO.AED.BRMD.004</t>
        </is>
      </c>
      <c r="M1076" t="inlineStr">
        <is>
          <t>Oriel Trust</t>
        </is>
      </c>
      <c r="N1076" t="inlineStr">
        <is>
          <t>BRMD</t>
        </is>
      </c>
      <c r="O1076" t="inlineStr">
        <is>
          <t>NEW</t>
        </is>
      </c>
      <c r="Q1076" t="inlineStr">
        <is>
          <t>NETTER</t>
        </is>
      </c>
    </row>
    <row r="1077">
      <c r="A1077" t="inlineStr">
        <is>
          <t>499062838623</t>
        </is>
      </c>
      <c r="B1077" t="inlineStr">
        <is>
          <t>TCC</t>
        </is>
      </c>
      <c r="C1077" t="inlineStr">
        <is>
          <t>BRBX</t>
        </is>
      </c>
      <c r="D1077" s="6" t="n">
        <v>46253</v>
      </c>
      <c r="E1077" t="inlineStr">
        <is>
          <t>CR</t>
        </is>
      </c>
      <c r="F1077" t="inlineStr">
        <is>
          <t>USD</t>
        </is>
      </c>
      <c r="G1077" s="7" t="n">
        <v>378352967.606</v>
      </c>
      <c r="H1077" t="inlineStr">
        <is>
          <t>GBP</t>
        </is>
      </c>
      <c r="I1077" s="7" t="n">
        <v>296628726.603</v>
      </c>
      <c r="J1077" s="8" t="n">
        <v>46253.67822916667</v>
      </c>
      <c r="K1077" t="inlineStr">
        <is>
          <t>CF260819 01071</t>
        </is>
      </c>
      <c r="L1077" t="inlineStr">
        <is>
          <t>GL.NOSTRO.USD.BRBX.006</t>
        </is>
      </c>
      <c r="M1077" t="inlineStr">
        <is>
          <t>Redstart Trust</t>
        </is>
      </c>
      <c r="N1077" t="inlineStr">
        <is>
          <t>BRBXMM</t>
        </is>
      </c>
      <c r="O1077" t="inlineStr">
        <is>
          <t>AMEND</t>
        </is>
      </c>
      <c r="Q1077" t="inlineStr">
        <is>
          <t>NETTER</t>
        </is>
      </c>
    </row>
    <row r="1078">
      <c r="A1078" t="inlineStr">
        <is>
          <t>113829985108</t>
        </is>
      </c>
      <c r="B1078" t="inlineStr">
        <is>
          <t>TCC</t>
        </is>
      </c>
      <c r="C1078" t="inlineStr">
        <is>
          <t>BRGL</t>
        </is>
      </c>
      <c r="D1078" s="6" t="n">
        <v>46253</v>
      </c>
      <c r="E1078" t="inlineStr">
        <is>
          <t>CR</t>
        </is>
      </c>
      <c r="F1078" t="inlineStr">
        <is>
          <t>EUR</t>
        </is>
      </c>
      <c r="G1078" s="7" t="n">
        <v>592164103.814</v>
      </c>
      <c r="H1078" t="inlineStr">
        <is>
          <t>GBP</t>
        </is>
      </c>
      <c r="I1078" s="7" t="n">
        <v>508076801.072</v>
      </c>
      <c r="J1078" s="8" t="n">
        <v>46253.37222222222</v>
      </c>
      <c r="K1078" t="inlineStr">
        <is>
          <t>CF260819 01072</t>
        </is>
      </c>
      <c r="L1078" t="inlineStr">
        <is>
          <t>GL.NOSTRO.EUR.BRGL.004</t>
        </is>
      </c>
      <c r="M1078" t="inlineStr">
        <is>
          <t>Larkspur Clearing</t>
        </is>
      </c>
      <c r="N1078" t="inlineStr">
        <is>
          <t>BRGLMM</t>
        </is>
      </c>
      <c r="O1078" t="inlineStr">
        <is>
          <t>NEW</t>
        </is>
      </c>
      <c r="Q1078" t="inlineStr">
        <is>
          <t>NETTER</t>
        </is>
      </c>
    </row>
    <row r="1079">
      <c r="A1079" t="inlineStr">
        <is>
          <t>468341071172</t>
        </is>
      </c>
      <c r="B1079" t="inlineStr">
        <is>
          <t>TCP</t>
        </is>
      </c>
      <c r="C1079" t="inlineStr">
        <is>
          <t>BRCC</t>
        </is>
      </c>
      <c r="D1079" s="6" t="n">
        <v>46253</v>
      </c>
      <c r="E1079" t="inlineStr">
        <is>
          <t>CR</t>
        </is>
      </c>
      <c r="F1079" t="inlineStr">
        <is>
          <t>EUR</t>
        </is>
      </c>
      <c r="G1079" s="7" t="n">
        <v>207989330.184</v>
      </c>
      <c r="H1079" t="inlineStr">
        <is>
          <t>GBP</t>
        </is>
      </c>
      <c r="I1079" s="7" t="n">
        <v>178454845.298</v>
      </c>
      <c r="J1079" s="8" t="n">
        <v>46253.63288194445</v>
      </c>
      <c r="K1079" t="inlineStr">
        <is>
          <t>CF260819 01073</t>
        </is>
      </c>
      <c r="L1079" t="inlineStr">
        <is>
          <t>GL.NOSTRO.EUR.BRCC.002</t>
        </is>
      </c>
      <c r="M1079" t="inlineStr">
        <is>
          <t>Bramble Bank</t>
        </is>
      </c>
      <c r="N1079" t="inlineStr">
        <is>
          <t>BRCCMM</t>
        </is>
      </c>
      <c r="O1079" t="inlineStr">
        <is>
          <t>NEW</t>
        </is>
      </c>
      <c r="Q1079" t="inlineStr">
        <is>
          <t>INTERNAL</t>
        </is>
      </c>
    </row>
    <row r="1080">
      <c r="A1080" t="inlineStr">
        <is>
          <t>499062838623</t>
        </is>
      </c>
      <c r="B1080" t="inlineStr">
        <is>
          <t>TCG</t>
        </is>
      </c>
      <c r="C1080" t="inlineStr">
        <is>
          <t>BRBX</t>
        </is>
      </c>
      <c r="D1080" s="6" t="n">
        <v>46253</v>
      </c>
      <c r="E1080" t="inlineStr">
        <is>
          <t>CR</t>
        </is>
      </c>
      <c r="F1080" t="inlineStr">
        <is>
          <t>USD</t>
        </is>
      </c>
      <c r="G1080" s="7" t="n">
        <v>1319735.508</v>
      </c>
      <c r="H1080" t="inlineStr">
        <is>
          <t>GBP</t>
        </is>
      </c>
      <c r="I1080" s="7" t="n">
        <v>1034672.638</v>
      </c>
      <c r="J1080" s="8" t="n">
        <v>46253.31837962963</v>
      </c>
      <c r="K1080" t="inlineStr">
        <is>
          <t>CF260819 01074</t>
        </is>
      </c>
      <c r="L1080" t="inlineStr">
        <is>
          <t>GL.NOSTRO.USD.BRBX.007</t>
        </is>
      </c>
      <c r="M1080" t="inlineStr">
        <is>
          <t>Elmwood Settlement Bank</t>
        </is>
      </c>
      <c r="N1080" t="inlineStr">
        <is>
          <t>BRBXMM</t>
        </is>
      </c>
      <c r="O1080" t="inlineStr">
        <is>
          <t>NEW</t>
        </is>
      </c>
      <c r="Q1080" t="inlineStr">
        <is>
          <t>INTERNAL</t>
        </is>
      </c>
    </row>
    <row r="1081">
      <c r="A1081" t="inlineStr">
        <is>
          <t>499062838623</t>
        </is>
      </c>
      <c r="B1081" t="inlineStr">
        <is>
          <t>TCC</t>
        </is>
      </c>
      <c r="C1081" t="inlineStr">
        <is>
          <t>BRBX</t>
        </is>
      </c>
      <c r="D1081" s="6" t="n">
        <v>46253</v>
      </c>
      <c r="E1081" t="inlineStr">
        <is>
          <t>CR</t>
        </is>
      </c>
      <c r="F1081" t="inlineStr">
        <is>
          <t>USD</t>
        </is>
      </c>
      <c r="G1081" s="7" t="n">
        <v>138597771.872</v>
      </c>
      <c r="H1081" t="inlineStr">
        <is>
          <t>GBP</t>
        </is>
      </c>
      <c r="I1081" s="7" t="n">
        <v>108660653.148</v>
      </c>
      <c r="J1081" s="8" t="n">
        <v>46253.6109375</v>
      </c>
      <c r="K1081" t="inlineStr">
        <is>
          <t>CF260819 01075</t>
        </is>
      </c>
      <c r="L1081" t="inlineStr">
        <is>
          <t>GL.NOSTRO.USD.BRBX.003</t>
        </is>
      </c>
      <c r="M1081" t="inlineStr">
        <is>
          <t>Umberton Commercial Bank</t>
        </is>
      </c>
      <c r="N1081" t="inlineStr">
        <is>
          <t>BRBXMM</t>
        </is>
      </c>
      <c r="O1081" t="inlineStr">
        <is>
          <t>NEW</t>
        </is>
      </c>
      <c r="P1081" t="inlineStr">
        <is>
          <t>NT26081900678</t>
        </is>
      </c>
      <c r="Q1081" t="inlineStr">
        <is>
          <t>NETTER</t>
        </is>
      </c>
    </row>
    <row r="1082">
      <c r="A1082" t="inlineStr">
        <is>
          <t>927538182434</t>
        </is>
      </c>
      <c r="B1082" t="inlineStr">
        <is>
          <t>TCQ</t>
        </is>
      </c>
      <c r="C1082" t="inlineStr">
        <is>
          <t>BRNK</t>
        </is>
      </c>
      <c r="D1082" s="6" t="n">
        <v>46253</v>
      </c>
      <c r="E1082" t="inlineStr">
        <is>
          <t>DR</t>
        </is>
      </c>
      <c r="F1082" t="inlineStr">
        <is>
          <t>CNY</t>
        </is>
      </c>
      <c r="G1082" s="7" t="n">
        <v>-76570417.82799999</v>
      </c>
      <c r="H1082" t="inlineStr">
        <is>
          <t>GBP</t>
        </is>
      </c>
      <c r="I1082" s="7" t="n">
        <v>-8346175.543</v>
      </c>
      <c r="J1082" s="8" t="n">
        <v>46253.35863425926</v>
      </c>
      <c r="K1082" t="inlineStr">
        <is>
          <t>CF260819 01076</t>
        </is>
      </c>
      <c r="L1082" t="inlineStr">
        <is>
          <t>GL.NOSTRO.CNY.BRNK.008</t>
        </is>
      </c>
      <c r="M1082" t="inlineStr">
        <is>
          <t>Ironbark Trust</t>
        </is>
      </c>
      <c r="N1082" t="inlineStr">
        <is>
          <t>BRNKTRSY</t>
        </is>
      </c>
      <c r="O1082" t="inlineStr">
        <is>
          <t>AMEND</t>
        </is>
      </c>
      <c r="Q1082" t="inlineStr">
        <is>
          <t>GROSS</t>
        </is>
      </c>
    </row>
    <row r="1083">
      <c r="A1083" t="inlineStr">
        <is>
          <t>265771593142</t>
        </is>
      </c>
      <c r="B1083" t="inlineStr">
        <is>
          <t>TCG</t>
        </is>
      </c>
      <c r="C1083" t="inlineStr">
        <is>
          <t>BRYG</t>
        </is>
      </c>
      <c r="D1083" s="6" t="n">
        <v>46253</v>
      </c>
      <c r="E1083" t="inlineStr">
        <is>
          <t>DR</t>
        </is>
      </c>
      <c r="F1083" t="inlineStr">
        <is>
          <t>EUR</t>
        </is>
      </c>
      <c r="G1083" s="7" t="n">
        <v>-77903286.64300001</v>
      </c>
      <c r="H1083" t="inlineStr">
        <is>
          <t>GBP</t>
        </is>
      </c>
      <c r="I1083" s="7" t="n">
        <v>-66841019.94</v>
      </c>
      <c r="J1083" s="8" t="n">
        <v>46253.62824074074</v>
      </c>
      <c r="K1083" t="inlineStr">
        <is>
          <t>CF260819 01077</t>
        </is>
      </c>
      <c r="L1083" t="inlineStr">
        <is>
          <t>GL.NOSTRO.EUR.BRYG.003</t>
        </is>
      </c>
      <c r="M1083" t="inlineStr">
        <is>
          <t>Elmwood Settlement Bank</t>
        </is>
      </c>
      <c r="N1083" t="inlineStr">
        <is>
          <t>BRYGCASH</t>
        </is>
      </c>
      <c r="O1083" t="inlineStr">
        <is>
          <t>NEW</t>
        </is>
      </c>
      <c r="Q1083" t="inlineStr">
        <is>
          <t>NETTER</t>
        </is>
      </c>
    </row>
    <row r="1084">
      <c r="A1084" t="inlineStr">
        <is>
          <t>132544340094</t>
        </is>
      </c>
      <c r="B1084" t="inlineStr">
        <is>
          <t>TCP</t>
        </is>
      </c>
      <c r="C1084" t="inlineStr">
        <is>
          <t>BRYG</t>
        </is>
      </c>
      <c r="D1084" s="6" t="n">
        <v>46253</v>
      </c>
      <c r="E1084" t="inlineStr">
        <is>
          <t>CR</t>
        </is>
      </c>
      <c r="F1084" t="inlineStr">
        <is>
          <t>CZK</t>
        </is>
      </c>
      <c r="G1084" s="7" t="n">
        <v>204762.046</v>
      </c>
      <c r="H1084" t="inlineStr">
        <is>
          <t>GBP</t>
        </is>
      </c>
      <c r="I1084" s="7" t="n">
        <v>6941.433</v>
      </c>
      <c r="J1084" s="8" t="n">
        <v>46253.61694444445</v>
      </c>
      <c r="K1084" t="inlineStr">
        <is>
          <t>CF260819 01078</t>
        </is>
      </c>
      <c r="L1084" t="inlineStr">
        <is>
          <t>GL.NOSTRO.CZK.BRYG.005</t>
        </is>
      </c>
      <c r="M1084" t="inlineStr">
        <is>
          <t>Elmwood Trust</t>
        </is>
      </c>
      <c r="N1084" t="inlineStr">
        <is>
          <t>BRYGCASH</t>
        </is>
      </c>
      <c r="O1084" t="inlineStr">
        <is>
          <t>NEW</t>
        </is>
      </c>
      <c r="P1084" t="inlineStr">
        <is>
          <t>NT26081900670</t>
        </is>
      </c>
      <c r="Q1084" t="inlineStr">
        <is>
          <t>NETTER</t>
        </is>
      </c>
    </row>
    <row r="1085">
      <c r="A1085" t="inlineStr">
        <is>
          <t>150316825069</t>
        </is>
      </c>
      <c r="B1085" t="inlineStr">
        <is>
          <t>TCC</t>
        </is>
      </c>
      <c r="C1085" t="inlineStr">
        <is>
          <t>BRGX</t>
        </is>
      </c>
      <c r="D1085" s="6" t="n">
        <v>46253</v>
      </c>
      <c r="E1085" t="inlineStr">
        <is>
          <t>CR</t>
        </is>
      </c>
      <c r="F1085" t="inlineStr">
        <is>
          <t>GBP</t>
        </is>
      </c>
      <c r="G1085" s="7" t="n">
        <v>274960385.916</v>
      </c>
      <c r="H1085" t="inlineStr">
        <is>
          <t>GBP</t>
        </is>
      </c>
      <c r="I1085" s="7" t="n">
        <v>274960385.916</v>
      </c>
      <c r="J1085" s="8" t="n">
        <v>46253.76938657407</v>
      </c>
      <c r="K1085" t="inlineStr">
        <is>
          <t>CF260819 01079</t>
        </is>
      </c>
      <c r="L1085" t="inlineStr">
        <is>
          <t>GL.NOSTRO.GBP.BRGX.002</t>
        </is>
      </c>
      <c r="M1085" t="inlineStr">
        <is>
          <t>Alder Trust</t>
        </is>
      </c>
      <c r="N1085" t="inlineStr">
        <is>
          <t>BRGXTRSY</t>
        </is>
      </c>
      <c r="O1085" t="inlineStr">
        <is>
          <t>NEW</t>
        </is>
      </c>
      <c r="Q1085" t="inlineStr">
        <is>
          <t>GROSS</t>
        </is>
      </c>
    </row>
    <row r="1086">
      <c r="A1086" t="inlineStr">
        <is>
          <t>284925023085</t>
        </is>
      </c>
      <c r="B1086" t="inlineStr">
        <is>
          <t>TCP</t>
        </is>
      </c>
      <c r="C1086" t="inlineStr">
        <is>
          <t>BRMD</t>
        </is>
      </c>
      <c r="D1086" s="6" t="n">
        <v>46253</v>
      </c>
      <c r="E1086" t="inlineStr">
        <is>
          <t>CR</t>
        </is>
      </c>
      <c r="F1086" t="inlineStr">
        <is>
          <t>MXN</t>
        </is>
      </c>
      <c r="G1086" s="7" t="n">
        <v>197272083.295</v>
      </c>
      <c r="H1086" t="inlineStr">
        <is>
          <t>GBP</t>
        </is>
      </c>
      <c r="I1086" s="7" t="n">
        <v>8443245.164999999</v>
      </c>
      <c r="J1086" s="8" t="n">
        <v>46253.32534722222</v>
      </c>
      <c r="K1086" t="inlineStr">
        <is>
          <t>CF260819 01080</t>
        </is>
      </c>
      <c r="L1086" t="inlineStr">
        <is>
          <t>GL.NOSTRO.MXN.BRMD.005</t>
        </is>
      </c>
      <c r="M1086" t="inlineStr">
        <is>
          <t>Ironbark Commercial Bank</t>
        </is>
      </c>
      <c r="N1086" t="inlineStr">
        <is>
          <t>BRMD</t>
        </is>
      </c>
      <c r="O1086" t="inlineStr">
        <is>
          <t>NEW</t>
        </is>
      </c>
      <c r="Q1086" t="inlineStr">
        <is>
          <t>GROSS</t>
        </is>
      </c>
    </row>
    <row r="1087">
      <c r="A1087" t="inlineStr">
        <is>
          <t>621381112674</t>
        </is>
      </c>
      <c r="B1087" t="inlineStr">
        <is>
          <t>TCG</t>
        </is>
      </c>
      <c r="C1087" t="inlineStr">
        <is>
          <t>BRAA</t>
        </is>
      </c>
      <c r="D1087" s="6" t="n">
        <v>46253</v>
      </c>
      <c r="E1087" t="inlineStr">
        <is>
          <t>CR</t>
        </is>
      </c>
      <c r="F1087" t="inlineStr">
        <is>
          <t>PLN</t>
        </is>
      </c>
      <c r="G1087" s="7" t="n">
        <v>1014125.042</v>
      </c>
      <c r="H1087" t="inlineStr">
        <is>
          <t>GBP</t>
        </is>
      </c>
      <c r="I1087" s="7" t="n">
        <v>200796.758</v>
      </c>
      <c r="J1087" s="8" t="n">
        <v>46253.35413194444</v>
      </c>
      <c r="K1087" t="inlineStr">
        <is>
          <t>CF260819 01081</t>
        </is>
      </c>
      <c r="L1087" t="inlineStr">
        <is>
          <t>GL.NOSTRO.PLN.BRAA.005</t>
        </is>
      </c>
      <c r="M1087" t="inlineStr">
        <is>
          <t>Yarrow Bank</t>
        </is>
      </c>
      <c r="N1087" t="inlineStr">
        <is>
          <t>BRAACASH</t>
        </is>
      </c>
      <c r="O1087" t="inlineStr">
        <is>
          <t>NEW</t>
        </is>
      </c>
      <c r="P1087" t="inlineStr">
        <is>
          <t>NT26081900668</t>
        </is>
      </c>
      <c r="Q1087" t="inlineStr">
        <is>
          <t>NETTER</t>
        </is>
      </c>
    </row>
    <row r="1088">
      <c r="A1088" t="inlineStr">
        <is>
          <t>898317028833</t>
        </is>
      </c>
      <c r="B1088" t="inlineStr">
        <is>
          <t>TCQ</t>
        </is>
      </c>
      <c r="C1088" t="inlineStr">
        <is>
          <t>BRAA</t>
        </is>
      </c>
      <c r="D1088" s="6" t="n">
        <v>46253</v>
      </c>
      <c r="E1088" t="inlineStr">
        <is>
          <t>DR</t>
        </is>
      </c>
      <c r="F1088" t="inlineStr">
        <is>
          <t>GBP</t>
        </is>
      </c>
      <c r="G1088" s="7" t="n">
        <v>-385323562.403</v>
      </c>
      <c r="H1088" t="inlineStr">
        <is>
          <t>GBP</t>
        </is>
      </c>
      <c r="I1088" s="7" t="n">
        <v>-385323562.403</v>
      </c>
      <c r="J1088" s="8" t="n">
        <v>46253.5194675926</v>
      </c>
      <c r="K1088" t="inlineStr">
        <is>
          <t>CF260819 01082</t>
        </is>
      </c>
      <c r="L1088" t="inlineStr">
        <is>
          <t>GL.NOSTRO.GBP.BRAA.003</t>
        </is>
      </c>
      <c r="M1088" t="inlineStr">
        <is>
          <t>Zephyr Commercial Bank</t>
        </is>
      </c>
      <c r="N1088" t="inlineStr">
        <is>
          <t>BRAATRSY</t>
        </is>
      </c>
      <c r="O1088" t="inlineStr">
        <is>
          <t>NEW</t>
        </is>
      </c>
      <c r="Q1088" t="inlineStr">
        <is>
          <t>NETTER</t>
        </is>
      </c>
    </row>
    <row r="1089">
      <c r="A1089" t="inlineStr">
        <is>
          <t>700726936098</t>
        </is>
      </c>
      <c r="B1089" t="inlineStr">
        <is>
          <t>TCQ</t>
        </is>
      </c>
      <c r="C1089" t="inlineStr">
        <is>
          <t>BRMD</t>
        </is>
      </c>
      <c r="D1089" s="6" t="n">
        <v>46253</v>
      </c>
      <c r="E1089" t="inlineStr">
        <is>
          <t>CR</t>
        </is>
      </c>
      <c r="F1089" t="inlineStr">
        <is>
          <t>SAR</t>
        </is>
      </c>
      <c r="G1089" s="7" t="n">
        <v>67189771.425</v>
      </c>
      <c r="H1089" t="inlineStr">
        <is>
          <t>GBP</t>
        </is>
      </c>
      <c r="I1089" s="7" t="n">
        <v>14042662.228</v>
      </c>
      <c r="J1089" s="8" t="n">
        <v>46253.4075</v>
      </c>
      <c r="K1089" t="inlineStr">
        <is>
          <t>CF260819 01083</t>
        </is>
      </c>
      <c r="L1089" t="inlineStr">
        <is>
          <t>GL.NOSTRO.SAR.BRMD.002</t>
        </is>
      </c>
      <c r="M1089" t="inlineStr">
        <is>
          <t>Elmwood Clearing</t>
        </is>
      </c>
      <c r="N1089" t="inlineStr">
        <is>
          <t>BRMDTRSY</t>
        </is>
      </c>
      <c r="O1089" t="inlineStr">
        <is>
          <t>NEW</t>
        </is>
      </c>
      <c r="P1089" t="inlineStr">
        <is>
          <t>NT26081900658</t>
        </is>
      </c>
      <c r="Q1089" t="inlineStr">
        <is>
          <t>GROSS</t>
        </is>
      </c>
    </row>
    <row r="1090">
      <c r="A1090" t="inlineStr">
        <is>
          <t>898317028833</t>
        </is>
      </c>
      <c r="B1090" t="inlineStr">
        <is>
          <t>TCQ</t>
        </is>
      </c>
      <c r="C1090" t="inlineStr">
        <is>
          <t>BRAA</t>
        </is>
      </c>
      <c r="D1090" s="6" t="n">
        <v>46253</v>
      </c>
      <c r="E1090" t="inlineStr">
        <is>
          <t>CR</t>
        </is>
      </c>
      <c r="F1090" t="inlineStr">
        <is>
          <t>GBP</t>
        </is>
      </c>
      <c r="G1090" s="7" t="n">
        <v>78477753.767</v>
      </c>
      <c r="H1090" t="inlineStr">
        <is>
          <t>GBP</t>
        </is>
      </c>
      <c r="I1090" s="7" t="n">
        <v>78477753.767</v>
      </c>
      <c r="J1090" s="8" t="n">
        <v>46253.59402777778</v>
      </c>
      <c r="K1090" t="inlineStr">
        <is>
          <t>CF260819 01084</t>
        </is>
      </c>
      <c r="L1090" t="inlineStr">
        <is>
          <t>GL.NOSTRO.GBP.BRAA.001</t>
        </is>
      </c>
      <c r="M1090" t="inlineStr">
        <is>
          <t>Pinehurst Settlement Bank</t>
        </is>
      </c>
      <c r="N1090" t="inlineStr">
        <is>
          <t>BRAATRSY</t>
        </is>
      </c>
      <c r="O1090" t="inlineStr">
        <is>
          <t>NEW</t>
        </is>
      </c>
      <c r="P1090" t="inlineStr">
        <is>
          <t>NT26081900671</t>
        </is>
      </c>
      <c r="Q1090" t="inlineStr">
        <is>
          <t>NETTER</t>
        </is>
      </c>
    </row>
    <row r="1091">
      <c r="A1091" t="inlineStr">
        <is>
          <t>621381112674</t>
        </is>
      </c>
      <c r="B1091" t="inlineStr">
        <is>
          <t>TCG</t>
        </is>
      </c>
      <c r="C1091" t="inlineStr">
        <is>
          <t>BRAA</t>
        </is>
      </c>
      <c r="D1091" s="6" t="n">
        <v>46253</v>
      </c>
      <c r="E1091" t="inlineStr">
        <is>
          <t>DR</t>
        </is>
      </c>
      <c r="F1091" t="inlineStr">
        <is>
          <t>PLN</t>
        </is>
      </c>
      <c r="G1091" s="7" t="n">
        <v>-2493009.769</v>
      </c>
      <c r="H1091" t="inlineStr">
        <is>
          <t>GBP</t>
        </is>
      </c>
      <c r="I1091" s="7" t="n">
        <v>-493615.934</v>
      </c>
      <c r="J1091" s="8" t="n">
        <v>46253.45559027778</v>
      </c>
      <c r="K1091" t="inlineStr">
        <is>
          <t>CF260819 01085</t>
        </is>
      </c>
      <c r="L1091" t="inlineStr">
        <is>
          <t>GL.NOSTRO.PLN.BRAA.001</t>
        </is>
      </c>
      <c r="M1091" t="inlineStr">
        <is>
          <t>Elmwood Clearing</t>
        </is>
      </c>
      <c r="N1091" t="inlineStr">
        <is>
          <t>BRAAMM</t>
        </is>
      </c>
      <c r="O1091" t="inlineStr">
        <is>
          <t>AMEND</t>
        </is>
      </c>
      <c r="P1091" t="inlineStr">
        <is>
          <t>NT26081900666</t>
        </is>
      </c>
      <c r="Q1091" t="inlineStr">
        <is>
          <t>GROSS</t>
        </is>
      </c>
    </row>
    <row r="1092">
      <c r="A1092" t="inlineStr">
        <is>
          <t>968942362772</t>
        </is>
      </c>
      <c r="B1092" t="inlineStr">
        <is>
          <t>TCP</t>
        </is>
      </c>
      <c r="C1092" t="inlineStr">
        <is>
          <t>BRYG</t>
        </is>
      </c>
      <c r="D1092" s="6" t="n">
        <v>46253</v>
      </c>
      <c r="E1092" t="inlineStr">
        <is>
          <t>CR</t>
        </is>
      </c>
      <c r="F1092" t="inlineStr">
        <is>
          <t>EUR</t>
        </is>
      </c>
      <c r="G1092" s="7" t="n">
        <v>3573166.11</v>
      </c>
      <c r="H1092" t="inlineStr">
        <is>
          <t>GBP</t>
        </is>
      </c>
      <c r="I1092" s="7" t="n">
        <v>3065776.522</v>
      </c>
      <c r="J1092" s="8" t="n">
        <v>46253.37100694444</v>
      </c>
      <c r="K1092" t="inlineStr">
        <is>
          <t>CF260819 01086</t>
        </is>
      </c>
      <c r="L1092" t="inlineStr">
        <is>
          <t>GL.NOSTRO.EUR.BRYG.006</t>
        </is>
      </c>
      <c r="M1092" t="inlineStr">
        <is>
          <t>Elmwood Trust</t>
        </is>
      </c>
      <c r="N1092" t="inlineStr">
        <is>
          <t>BRYG</t>
        </is>
      </c>
      <c r="O1092" t="inlineStr">
        <is>
          <t>NEW</t>
        </is>
      </c>
      <c r="Q1092" t="inlineStr">
        <is>
          <t>NETTER</t>
        </is>
      </c>
    </row>
    <row r="1093">
      <c r="A1093" t="inlineStr">
        <is>
          <t>150316825069</t>
        </is>
      </c>
      <c r="B1093" t="inlineStr">
        <is>
          <t>TCC</t>
        </is>
      </c>
      <c r="C1093" t="inlineStr">
        <is>
          <t>BRGX</t>
        </is>
      </c>
      <c r="D1093" s="6" t="n">
        <v>46253</v>
      </c>
      <c r="E1093" t="inlineStr">
        <is>
          <t>CR</t>
        </is>
      </c>
      <c r="F1093" t="inlineStr">
        <is>
          <t>GBP</t>
        </is>
      </c>
      <c r="G1093" s="7" t="n">
        <v>453940840.709</v>
      </c>
      <c r="H1093" t="inlineStr">
        <is>
          <t>GBP</t>
        </is>
      </c>
      <c r="I1093" s="7" t="n">
        <v>453940840.709</v>
      </c>
      <c r="J1093" s="8" t="n">
        <v>46253.49274305555</v>
      </c>
      <c r="K1093" t="inlineStr">
        <is>
          <t>CF260819 01087</t>
        </is>
      </c>
      <c r="L1093" t="inlineStr">
        <is>
          <t>GL.NOSTRO.GBP.BRGX.004</t>
        </is>
      </c>
      <c r="M1093" t="inlineStr">
        <is>
          <t>Elmwood Bank</t>
        </is>
      </c>
      <c r="N1093" t="inlineStr">
        <is>
          <t>BRGXMM</t>
        </is>
      </c>
      <c r="O1093" t="inlineStr">
        <is>
          <t>NEW</t>
        </is>
      </c>
      <c r="Q1093" t="inlineStr">
        <is>
          <t>GROSS</t>
        </is>
      </c>
    </row>
    <row r="1094">
      <c r="A1094" t="inlineStr">
        <is>
          <t>150316825069</t>
        </is>
      </c>
      <c r="B1094" t="inlineStr">
        <is>
          <t>TCG</t>
        </is>
      </c>
      <c r="C1094" t="inlineStr">
        <is>
          <t>BRGX</t>
        </is>
      </c>
      <c r="D1094" s="6" t="n">
        <v>46253</v>
      </c>
      <c r="E1094" t="inlineStr">
        <is>
          <t>DR</t>
        </is>
      </c>
      <c r="F1094" t="inlineStr">
        <is>
          <t>GBP</t>
        </is>
      </c>
      <c r="G1094" s="7" t="n">
        <v>-16709277.539</v>
      </c>
      <c r="H1094" t="inlineStr">
        <is>
          <t>GBP</t>
        </is>
      </c>
      <c r="I1094" s="7" t="n">
        <v>-16709277.539</v>
      </c>
      <c r="J1094" s="8" t="n">
        <v>46253.70391203704</v>
      </c>
      <c r="K1094" t="inlineStr">
        <is>
          <t>CF260819 01088</t>
        </is>
      </c>
      <c r="L1094" t="inlineStr">
        <is>
          <t>GL.NOSTRO.GBP.BRGX.003</t>
        </is>
      </c>
      <c r="M1094" t="inlineStr">
        <is>
          <t>Elmwood Settlement Bank</t>
        </is>
      </c>
      <c r="N1094" t="inlineStr">
        <is>
          <t>BRGXMM</t>
        </is>
      </c>
      <c r="O1094" t="inlineStr">
        <is>
          <t>AMEND</t>
        </is>
      </c>
      <c r="Q1094" t="inlineStr">
        <is>
          <t>GROSS</t>
        </is>
      </c>
    </row>
    <row r="1095">
      <c r="A1095" t="inlineStr">
        <is>
          <t>927538182434</t>
        </is>
      </c>
      <c r="B1095" t="inlineStr">
        <is>
          <t>TCC</t>
        </is>
      </c>
      <c r="C1095" t="inlineStr">
        <is>
          <t>BRNK</t>
        </is>
      </c>
      <c r="D1095" s="6" t="n">
        <v>46253</v>
      </c>
      <c r="E1095" t="inlineStr">
        <is>
          <t>DR</t>
        </is>
      </c>
      <c r="F1095" t="inlineStr">
        <is>
          <t>CNY</t>
        </is>
      </c>
      <c r="G1095" s="7" t="n">
        <v>-19206.115</v>
      </c>
      <c r="H1095" t="inlineStr">
        <is>
          <t>GBP</t>
        </is>
      </c>
      <c r="I1095" s="7" t="n">
        <v>-2093.467</v>
      </c>
      <c r="J1095" s="8" t="n">
        <v>46253.65621527778</v>
      </c>
      <c r="K1095" t="inlineStr">
        <is>
          <t>CF260819 01089</t>
        </is>
      </c>
      <c r="L1095" t="inlineStr">
        <is>
          <t>GL.NOSTRO.CNY.BRNK.008</t>
        </is>
      </c>
      <c r="M1095" t="inlineStr">
        <is>
          <t>Alder Clearing</t>
        </is>
      </c>
      <c r="N1095" t="inlineStr">
        <is>
          <t>BRNK</t>
        </is>
      </c>
      <c r="O1095" t="inlineStr">
        <is>
          <t>NEW</t>
        </is>
      </c>
      <c r="Q1095" t="inlineStr">
        <is>
          <t>NETTER</t>
        </is>
      </c>
    </row>
    <row r="1096">
      <c r="A1096" t="inlineStr">
        <is>
          <t>150316825069</t>
        </is>
      </c>
      <c r="B1096" t="inlineStr">
        <is>
          <t>TCC</t>
        </is>
      </c>
      <c r="C1096" t="inlineStr">
        <is>
          <t>BRGX</t>
        </is>
      </c>
      <c r="D1096" s="6" t="n">
        <v>46253</v>
      </c>
      <c r="E1096" t="inlineStr">
        <is>
          <t>CR</t>
        </is>
      </c>
      <c r="F1096" t="inlineStr">
        <is>
          <t>GBP</t>
        </is>
      </c>
      <c r="G1096" s="7" t="n">
        <v>7959230.867</v>
      </c>
      <c r="H1096" t="inlineStr">
        <is>
          <t>GBP</t>
        </is>
      </c>
      <c r="I1096" s="7" t="n">
        <v>7959230.867</v>
      </c>
      <c r="J1096" s="8" t="n">
        <v>46253.80199074074</v>
      </c>
      <c r="K1096" t="inlineStr">
        <is>
          <t>CF260819 01090</t>
        </is>
      </c>
      <c r="L1096" t="inlineStr">
        <is>
          <t>GL.NOSTRO.GBP.BRGX.002</t>
        </is>
      </c>
      <c r="M1096" t="inlineStr">
        <is>
          <t>Thornbury Bank</t>
        </is>
      </c>
      <c r="N1096" t="inlineStr">
        <is>
          <t>BRGX</t>
        </is>
      </c>
      <c r="O1096" t="inlineStr">
        <is>
          <t>NEW</t>
        </is>
      </c>
      <c r="Q1096" t="inlineStr">
        <is>
          <t>GROSS</t>
        </is>
      </c>
    </row>
    <row r="1097">
      <c r="A1097" t="inlineStr">
        <is>
          <t>499062838623</t>
        </is>
      </c>
      <c r="B1097" t="inlineStr">
        <is>
          <t>TCQ</t>
        </is>
      </c>
      <c r="C1097" t="inlineStr">
        <is>
          <t>BRBX</t>
        </is>
      </c>
      <c r="D1097" s="6" t="n">
        <v>46253</v>
      </c>
      <c r="E1097" t="inlineStr">
        <is>
          <t>CR</t>
        </is>
      </c>
      <c r="F1097" t="inlineStr">
        <is>
          <t>USD</t>
        </is>
      </c>
      <c r="G1097" s="7" t="n">
        <v>2751900.799</v>
      </c>
      <c r="H1097" t="inlineStr">
        <is>
          <t>GBP</t>
        </is>
      </c>
      <c r="I1097" s="7" t="n">
        <v>2157490.226</v>
      </c>
      <c r="J1097" s="8" t="n">
        <v>46253.35170138889</v>
      </c>
      <c r="K1097" t="inlineStr">
        <is>
          <t>CF260819 01091</t>
        </is>
      </c>
      <c r="L1097" t="inlineStr">
        <is>
          <t>GL.NOSTRO.USD.BRBX.005</t>
        </is>
      </c>
      <c r="M1097" t="inlineStr">
        <is>
          <t>Yarrow Clearing</t>
        </is>
      </c>
      <c r="N1097" t="inlineStr">
        <is>
          <t>BRBX</t>
        </is>
      </c>
      <c r="O1097" t="inlineStr">
        <is>
          <t>NEW</t>
        </is>
      </c>
      <c r="P1097" t="inlineStr">
        <is>
          <t>NT26081900683</t>
        </is>
      </c>
      <c r="Q1097" t="inlineStr">
        <is>
          <t>GROSS</t>
        </is>
      </c>
    </row>
    <row r="1098">
      <c r="A1098" t="inlineStr">
        <is>
          <t>726928343448</t>
        </is>
      </c>
      <c r="B1098" t="inlineStr">
        <is>
          <t>TCP</t>
        </is>
      </c>
      <c r="C1098" t="inlineStr">
        <is>
          <t>BRGX</t>
        </is>
      </c>
      <c r="D1098" s="6" t="n">
        <v>46253</v>
      </c>
      <c r="E1098" t="inlineStr">
        <is>
          <t>CR</t>
        </is>
      </c>
      <c r="F1098" t="inlineStr">
        <is>
          <t>EUR</t>
        </is>
      </c>
      <c r="G1098" s="7" t="n">
        <v>16307417.667</v>
      </c>
      <c r="H1098" t="inlineStr">
        <is>
          <t>GBP</t>
        </is>
      </c>
      <c r="I1098" s="7" t="n">
        <v>13991764.358</v>
      </c>
      <c r="J1098" s="8" t="n">
        <v>46253.48181712963</v>
      </c>
      <c r="K1098" t="inlineStr">
        <is>
          <t>CF260819 01092</t>
        </is>
      </c>
      <c r="L1098" t="inlineStr">
        <is>
          <t>GL.NOSTRO.EUR.BRGX.008</t>
        </is>
      </c>
      <c r="M1098" t="inlineStr">
        <is>
          <t>Pinehurst Clearing</t>
        </is>
      </c>
      <c r="N1098" t="inlineStr">
        <is>
          <t>BRGX</t>
        </is>
      </c>
      <c r="O1098" t="inlineStr">
        <is>
          <t>AMEND</t>
        </is>
      </c>
      <c r="Q1098" t="inlineStr">
        <is>
          <t>GROSS</t>
        </is>
      </c>
    </row>
    <row r="1099">
      <c r="A1099" t="inlineStr">
        <is>
          <t>927538182434</t>
        </is>
      </c>
      <c r="B1099" t="inlineStr">
        <is>
          <t>TCQ</t>
        </is>
      </c>
      <c r="C1099" t="inlineStr">
        <is>
          <t>BRNK</t>
        </is>
      </c>
      <c r="D1099" s="6" t="n">
        <v>46253</v>
      </c>
      <c r="E1099" t="inlineStr">
        <is>
          <t>DR</t>
        </is>
      </c>
      <c r="F1099" t="inlineStr">
        <is>
          <t>CNY</t>
        </is>
      </c>
      <c r="G1099" s="7" t="n">
        <v>-69413984.186</v>
      </c>
      <c r="H1099" t="inlineStr">
        <is>
          <t>GBP</t>
        </is>
      </c>
      <c r="I1099" s="7" t="n">
        <v>-7566124.276</v>
      </c>
      <c r="J1099" s="8" t="n">
        <v>46253.72517361111</v>
      </c>
      <c r="K1099" t="inlineStr">
        <is>
          <t>CF260819 01093</t>
        </is>
      </c>
      <c r="L1099" t="inlineStr">
        <is>
          <t>GL.NOSTRO.CNY.BRNK.005</t>
        </is>
      </c>
      <c r="M1099" t="inlineStr">
        <is>
          <t>Ironbark Trust</t>
        </is>
      </c>
      <c r="N1099" t="inlineStr">
        <is>
          <t>BRNKCASH</t>
        </is>
      </c>
      <c r="O1099" t="inlineStr">
        <is>
          <t>AMEND</t>
        </is>
      </c>
      <c r="P1099" t="inlineStr">
        <is>
          <t>NT26081900691</t>
        </is>
      </c>
      <c r="Q1099" t="inlineStr">
        <is>
          <t>GROSS</t>
        </is>
      </c>
    </row>
    <row r="1100">
      <c r="A1100" t="inlineStr">
        <is>
          <t>120047354818</t>
        </is>
      </c>
      <c r="B1100" t="inlineStr">
        <is>
          <t>TCC</t>
        </is>
      </c>
      <c r="C1100" t="inlineStr">
        <is>
          <t>BRNK</t>
        </is>
      </c>
      <c r="D1100" s="6" t="n">
        <v>46253</v>
      </c>
      <c r="E1100" t="inlineStr">
        <is>
          <t>CR</t>
        </is>
      </c>
      <c r="F1100" t="inlineStr">
        <is>
          <t>USD</t>
        </is>
      </c>
      <c r="G1100" s="7" t="n">
        <v>997648846.607</v>
      </c>
      <c r="H1100" t="inlineStr">
        <is>
          <t>GBP</t>
        </is>
      </c>
      <c r="I1100" s="7" t="n">
        <v>782156695.74</v>
      </c>
      <c r="J1100" s="8" t="n">
        <v>46253.65716435185</v>
      </c>
      <c r="K1100" t="inlineStr">
        <is>
          <t>CF260819 01094</t>
        </is>
      </c>
      <c r="L1100" t="inlineStr">
        <is>
          <t>GL.NOSTRO.USD.BRNK.004</t>
        </is>
      </c>
      <c r="M1100" t="inlineStr">
        <is>
          <t>Mallow Commercial Bank</t>
        </is>
      </c>
      <c r="N1100" t="inlineStr">
        <is>
          <t>BRNKMM</t>
        </is>
      </c>
      <c r="O1100" t="inlineStr">
        <is>
          <t>NEW</t>
        </is>
      </c>
      <c r="Q1100" t="inlineStr">
        <is>
          <t>NETTER</t>
        </is>
      </c>
    </row>
    <row r="1101">
      <c r="A1101" t="inlineStr">
        <is>
          <t>468341071172</t>
        </is>
      </c>
      <c r="B1101" t="inlineStr">
        <is>
          <t>TCC</t>
        </is>
      </c>
      <c r="C1101" t="inlineStr">
        <is>
          <t>BRCC</t>
        </is>
      </c>
      <c r="D1101" s="6" t="n">
        <v>46253</v>
      </c>
      <c r="E1101" t="inlineStr">
        <is>
          <t>DR</t>
        </is>
      </c>
      <c r="F1101" t="inlineStr">
        <is>
          <t>EUR</t>
        </is>
      </c>
      <c r="G1101" s="7" t="n">
        <v>-16320579.408</v>
      </c>
      <c r="H1101" t="inlineStr">
        <is>
          <t>GBP</t>
        </is>
      </c>
      <c r="I1101" s="7" t="n">
        <v>-14003057.132</v>
      </c>
      <c r="J1101" s="8" t="n">
        <v>46253.38087962963</v>
      </c>
      <c r="K1101" t="inlineStr">
        <is>
          <t>CF260819 01095</t>
        </is>
      </c>
      <c r="L1101" t="inlineStr">
        <is>
          <t>GL.NOSTRO.EUR.BRCC.007</t>
        </is>
      </c>
      <c r="M1101" t="inlineStr">
        <is>
          <t>Vetchling Bank</t>
        </is>
      </c>
      <c r="N1101" t="inlineStr">
        <is>
          <t>BRCCCASH</t>
        </is>
      </c>
      <c r="O1101" t="inlineStr">
        <is>
          <t>NEW</t>
        </is>
      </c>
      <c r="Q1101" t="inlineStr">
        <is>
          <t>GROSS</t>
        </is>
      </c>
    </row>
    <row r="1102">
      <c r="A1102" t="inlineStr">
        <is>
          <t>150316825069</t>
        </is>
      </c>
      <c r="B1102" t="inlineStr">
        <is>
          <t>TCX</t>
        </is>
      </c>
      <c r="C1102" t="inlineStr">
        <is>
          <t>BRGX</t>
        </is>
      </c>
      <c r="D1102" s="6" t="n">
        <v>46253</v>
      </c>
      <c r="E1102" t="inlineStr">
        <is>
          <t>CR</t>
        </is>
      </c>
      <c r="F1102" t="inlineStr">
        <is>
          <t>GBP</t>
        </is>
      </c>
      <c r="G1102" s="7" t="n">
        <v>12197891.16</v>
      </c>
      <c r="H1102" t="inlineStr">
        <is>
          <t>GBP</t>
        </is>
      </c>
      <c r="I1102" s="7" t="n">
        <v>12197891.16</v>
      </c>
      <c r="J1102" s="8" t="n">
        <v>46253.39608796296</v>
      </c>
      <c r="K1102" t="inlineStr">
        <is>
          <t>CF260819 01096</t>
        </is>
      </c>
      <c r="L1102" t="inlineStr">
        <is>
          <t>GL.NOSTRO.GBP.BRGX.003</t>
        </is>
      </c>
      <c r="M1102" t="inlineStr">
        <is>
          <t>Nightjar Trust</t>
        </is>
      </c>
      <c r="N1102" t="inlineStr">
        <is>
          <t>BRGXTRSY</t>
        </is>
      </c>
      <c r="O1102" t="inlineStr">
        <is>
          <t>NEW</t>
        </is>
      </c>
      <c r="P1102" t="inlineStr">
        <is>
          <t>NT26081900660</t>
        </is>
      </c>
      <c r="Q1102" t="inlineStr">
        <is>
          <t>INTERNAL</t>
        </is>
      </c>
    </row>
    <row r="1103">
      <c r="A1103" t="inlineStr">
        <is>
          <t>284925023085</t>
        </is>
      </c>
      <c r="B1103" t="inlineStr">
        <is>
          <t>TCX</t>
        </is>
      </c>
      <c r="C1103" t="inlineStr">
        <is>
          <t>BRMD</t>
        </is>
      </c>
      <c r="D1103" s="6" t="n">
        <v>46253</v>
      </c>
      <c r="E1103" t="inlineStr">
        <is>
          <t>CR</t>
        </is>
      </c>
      <c r="F1103" t="inlineStr">
        <is>
          <t>MXN</t>
        </is>
      </c>
      <c r="G1103" s="7" t="n">
        <v>42429778.026</v>
      </c>
      <c r="H1103" t="inlineStr">
        <is>
          <t>GBP</t>
        </is>
      </c>
      <c r="I1103" s="7" t="n">
        <v>1815994.5</v>
      </c>
      <c r="J1103" s="8" t="n">
        <v>46253.35599537037</v>
      </c>
      <c r="K1103" t="inlineStr">
        <is>
          <t>CF260819 01097</t>
        </is>
      </c>
      <c r="L1103" t="inlineStr">
        <is>
          <t>GL.NOSTRO.MXN.BRMD.007</t>
        </is>
      </c>
      <c r="M1103" t="inlineStr">
        <is>
          <t>Pinehurst Settlement Bank</t>
        </is>
      </c>
      <c r="N1103" t="inlineStr">
        <is>
          <t>BRMDCASH</t>
        </is>
      </c>
      <c r="O1103" t="inlineStr">
        <is>
          <t>NEW</t>
        </is>
      </c>
      <c r="Q1103" t="inlineStr">
        <is>
          <t>NETTER</t>
        </is>
      </c>
    </row>
    <row r="1104">
      <c r="A1104" t="inlineStr">
        <is>
          <t>794226063698</t>
        </is>
      </c>
      <c r="B1104" t="inlineStr">
        <is>
          <t>TCQ</t>
        </is>
      </c>
      <c r="C1104" t="inlineStr">
        <is>
          <t>BRMD</t>
        </is>
      </c>
      <c r="D1104" s="6" t="n">
        <v>46253</v>
      </c>
      <c r="E1104" t="inlineStr">
        <is>
          <t>CR</t>
        </is>
      </c>
      <c r="F1104" t="inlineStr">
        <is>
          <t>AED</t>
        </is>
      </c>
      <c r="G1104" s="7" t="n">
        <v>62129704.558</v>
      </c>
      <c r="H1104" t="inlineStr">
        <is>
          <t>GBP</t>
        </is>
      </c>
      <c r="I1104" s="7" t="n">
        <v>13233627.071</v>
      </c>
      <c r="J1104" s="8" t="n">
        <v>46253.59616898148</v>
      </c>
      <c r="K1104" t="inlineStr">
        <is>
          <t>CF260819 01098</t>
        </is>
      </c>
      <c r="L1104" t="inlineStr">
        <is>
          <t>GL.NOSTRO.AED.BRMD.002</t>
        </is>
      </c>
      <c r="M1104" t="inlineStr">
        <is>
          <t>Dunlin Clearing</t>
        </is>
      </c>
      <c r="N1104" t="inlineStr">
        <is>
          <t>BRMDCASH</t>
        </is>
      </c>
      <c r="O1104" t="inlineStr">
        <is>
          <t>NEW</t>
        </is>
      </c>
      <c r="Q1104" t="inlineStr">
        <is>
          <t>GROSS</t>
        </is>
      </c>
    </row>
    <row r="1105">
      <c r="A1105" t="inlineStr">
        <is>
          <t>284925023085</t>
        </is>
      </c>
      <c r="B1105" t="inlineStr">
        <is>
          <t>TCX</t>
        </is>
      </c>
      <c r="C1105" t="inlineStr">
        <is>
          <t>BRMD</t>
        </is>
      </c>
      <c r="D1105" s="6" t="n">
        <v>46253</v>
      </c>
      <c r="E1105" t="inlineStr">
        <is>
          <t>CR</t>
        </is>
      </c>
      <c r="F1105" t="inlineStr">
        <is>
          <t>MXN</t>
        </is>
      </c>
      <c r="G1105" s="7" t="n">
        <v>581647974.067</v>
      </c>
      <c r="H1105" t="inlineStr">
        <is>
          <t>GBP</t>
        </is>
      </c>
      <c r="I1105" s="7" t="n">
        <v>24894533.29</v>
      </c>
      <c r="J1105" s="8" t="n">
        <v>46253.60461805556</v>
      </c>
      <c r="K1105" t="inlineStr">
        <is>
          <t>CF260819 01099</t>
        </is>
      </c>
      <c r="L1105" t="inlineStr">
        <is>
          <t>GL.NOSTRO.MXN.BRMD.004</t>
        </is>
      </c>
      <c r="M1105" t="inlineStr">
        <is>
          <t>Wrenfield Commercial Bank</t>
        </is>
      </c>
      <c r="N1105" t="inlineStr">
        <is>
          <t>BRMDMM</t>
        </is>
      </c>
      <c r="O1105" t="inlineStr">
        <is>
          <t>NEW</t>
        </is>
      </c>
      <c r="Q1105" t="inlineStr">
        <is>
          <t>GROSS</t>
        </is>
      </c>
    </row>
    <row r="1106">
      <c r="A1106" t="inlineStr">
        <is>
          <t>113829985108</t>
        </is>
      </c>
      <c r="B1106" t="inlineStr">
        <is>
          <t>TCX</t>
        </is>
      </c>
      <c r="C1106" t="inlineStr">
        <is>
          <t>BRGL</t>
        </is>
      </c>
      <c r="D1106" s="6" t="n">
        <v>46253</v>
      </c>
      <c r="E1106" t="inlineStr">
        <is>
          <t>DR</t>
        </is>
      </c>
      <c r="F1106" t="inlineStr">
        <is>
          <t>EUR</t>
        </is>
      </c>
      <c r="G1106" s="7" t="n">
        <v>-4819522.127</v>
      </c>
      <c r="H1106" t="inlineStr">
        <is>
          <t>GBP</t>
        </is>
      </c>
      <c r="I1106" s="7" t="n">
        <v>-4135149.985</v>
      </c>
      <c r="J1106" s="8" t="n">
        <v>46253.52960648148</v>
      </c>
      <c r="K1106" t="inlineStr">
        <is>
          <t>CF260819 01100</t>
        </is>
      </c>
      <c r="L1106" t="inlineStr">
        <is>
          <t>GL.NOSTRO.EUR.BRGL.004</t>
        </is>
      </c>
      <c r="M1106" t="inlineStr">
        <is>
          <t>Pinehurst Bank</t>
        </is>
      </c>
      <c r="N1106" t="inlineStr">
        <is>
          <t>BRGLCASH</t>
        </is>
      </c>
      <c r="O1106" t="inlineStr">
        <is>
          <t>NEW</t>
        </is>
      </c>
      <c r="Q1106" t="inlineStr">
        <is>
          <t>NETTER</t>
        </is>
      </c>
    </row>
    <row r="1107">
      <c r="A1107" t="inlineStr">
        <is>
          <t>150316825069</t>
        </is>
      </c>
      <c r="B1107" t="inlineStr">
        <is>
          <t>TCC</t>
        </is>
      </c>
      <c r="C1107" t="inlineStr">
        <is>
          <t>BRGX</t>
        </is>
      </c>
      <c r="D1107" s="6" t="n">
        <v>46253</v>
      </c>
      <c r="E1107" t="inlineStr">
        <is>
          <t>DR</t>
        </is>
      </c>
      <c r="F1107" t="inlineStr">
        <is>
          <t>GBP</t>
        </is>
      </c>
      <c r="G1107" s="7" t="n">
        <v>-67417104.248</v>
      </c>
      <c r="H1107" t="inlineStr">
        <is>
          <t>GBP</t>
        </is>
      </c>
      <c r="I1107" s="7" t="n">
        <v>-67417104.248</v>
      </c>
      <c r="J1107" s="8" t="n">
        <v>46253.66767361111</v>
      </c>
      <c r="K1107" t="inlineStr">
        <is>
          <t>CF260819 01101</t>
        </is>
      </c>
      <c r="L1107" t="inlineStr">
        <is>
          <t>GL.NOSTRO.GBP.BRGX.004</t>
        </is>
      </c>
      <c r="M1107" t="inlineStr">
        <is>
          <t>Nightjar Trust</t>
        </is>
      </c>
      <c r="N1107" t="inlineStr">
        <is>
          <t>BRGXMM</t>
        </is>
      </c>
      <c r="O1107" t="inlineStr">
        <is>
          <t>NEW</t>
        </is>
      </c>
      <c r="P1107" t="inlineStr">
        <is>
          <t>NT26081900656</t>
        </is>
      </c>
      <c r="Q1107" t="inlineStr">
        <is>
          <t>GROSS</t>
        </is>
      </c>
    </row>
    <row r="1108">
      <c r="A1108" t="inlineStr">
        <is>
          <t>150316825069</t>
        </is>
      </c>
      <c r="B1108" t="inlineStr">
        <is>
          <t>TCC</t>
        </is>
      </c>
      <c r="C1108" t="inlineStr">
        <is>
          <t>BRGX</t>
        </is>
      </c>
      <c r="D1108" s="6" t="n">
        <v>46253</v>
      </c>
      <c r="E1108" t="inlineStr">
        <is>
          <t>DR</t>
        </is>
      </c>
      <c r="F1108" t="inlineStr">
        <is>
          <t>GBP</t>
        </is>
      </c>
      <c r="G1108" s="7" t="n">
        <v>-4384879.415</v>
      </c>
      <c r="H1108" t="inlineStr">
        <is>
          <t>GBP</t>
        </is>
      </c>
      <c r="I1108" s="7" t="n">
        <v>-4384879.415</v>
      </c>
      <c r="J1108" s="8" t="n">
        <v>46253.31393518519</v>
      </c>
      <c r="K1108" t="inlineStr">
        <is>
          <t>CF260819 01102</t>
        </is>
      </c>
      <c r="L1108" t="inlineStr">
        <is>
          <t>GL.NOSTRO.GBP.BRGX.004</t>
        </is>
      </c>
      <c r="M1108" t="inlineStr">
        <is>
          <t>Vetchling Settlement Bank</t>
        </is>
      </c>
      <c r="N1108" t="inlineStr">
        <is>
          <t>BRGXTRSY</t>
        </is>
      </c>
      <c r="O1108" t="inlineStr">
        <is>
          <t>NEW</t>
        </is>
      </c>
      <c r="P1108" t="inlineStr">
        <is>
          <t>NT26081900671</t>
        </is>
      </c>
      <c r="Q1108" t="inlineStr">
        <is>
          <t>NETTER</t>
        </is>
      </c>
    </row>
    <row r="1109">
      <c r="A1109" t="inlineStr">
        <is>
          <t>150316825069</t>
        </is>
      </c>
      <c r="B1109" t="inlineStr">
        <is>
          <t>TCQ</t>
        </is>
      </c>
      <c r="C1109" t="inlineStr">
        <is>
          <t>BRGX</t>
        </is>
      </c>
      <c r="D1109" s="6" t="n">
        <v>46253</v>
      </c>
      <c r="E1109" t="inlineStr">
        <is>
          <t>CR</t>
        </is>
      </c>
      <c r="F1109" t="inlineStr">
        <is>
          <t>GBP</t>
        </is>
      </c>
      <c r="G1109" s="7" t="n">
        <v>40211.17</v>
      </c>
      <c r="H1109" t="inlineStr">
        <is>
          <t>GBP</t>
        </is>
      </c>
      <c r="I1109" s="7" t="n">
        <v>40211.17</v>
      </c>
      <c r="J1109" s="8" t="n">
        <v>46253.49539351852</v>
      </c>
      <c r="K1109" t="inlineStr">
        <is>
          <t>CF260819 01103</t>
        </is>
      </c>
      <c r="L1109" t="inlineStr">
        <is>
          <t>GL.NOSTRO.GBP.BRGX.001</t>
        </is>
      </c>
      <c r="M1109" t="inlineStr">
        <is>
          <t>Nightjar Trust</t>
        </is>
      </c>
      <c r="N1109" t="inlineStr">
        <is>
          <t>BRGXCASH</t>
        </is>
      </c>
      <c r="O1109" t="inlineStr">
        <is>
          <t>NEW</t>
        </is>
      </c>
      <c r="P1109" t="inlineStr">
        <is>
          <t>NT26081900657</t>
        </is>
      </c>
      <c r="Q1109" t="inlineStr">
        <is>
          <t>GROSS</t>
        </is>
      </c>
    </row>
    <row r="1110">
      <c r="A1110" t="inlineStr">
        <is>
          <t>968942362772</t>
        </is>
      </c>
      <c r="B1110" t="inlineStr">
        <is>
          <t>TCX</t>
        </is>
      </c>
      <c r="C1110" t="inlineStr">
        <is>
          <t>BRYG</t>
        </is>
      </c>
      <c r="D1110" s="6" t="n">
        <v>46253</v>
      </c>
      <c r="E1110" t="inlineStr">
        <is>
          <t>DR</t>
        </is>
      </c>
      <c r="F1110" t="inlineStr">
        <is>
          <t>EUR</t>
        </is>
      </c>
      <c r="G1110" s="7" t="n">
        <v>-797293.471</v>
      </c>
      <c r="H1110" t="inlineStr">
        <is>
          <t>GBP</t>
        </is>
      </c>
      <c r="I1110" s="7" t="n">
        <v>-684077.798</v>
      </c>
      <c r="J1110" s="8" t="n">
        <v>46253.39454861111</v>
      </c>
      <c r="K1110" t="inlineStr">
        <is>
          <t>CF260819 01104</t>
        </is>
      </c>
      <c r="L1110" t="inlineStr">
        <is>
          <t>GL.NOSTRO.EUR.BRYG.005</t>
        </is>
      </c>
      <c r="M1110" t="inlineStr">
        <is>
          <t>Vetchling Commercial Bank</t>
        </is>
      </c>
      <c r="N1110" t="inlineStr">
        <is>
          <t>BRYGMM</t>
        </is>
      </c>
      <c r="O1110" t="inlineStr">
        <is>
          <t>NEW</t>
        </is>
      </c>
      <c r="P1110" t="inlineStr">
        <is>
          <t>NT26081900695</t>
        </is>
      </c>
      <c r="Q1110" t="inlineStr">
        <is>
          <t>GROSS</t>
        </is>
      </c>
    </row>
    <row r="1111">
      <c r="A1111" t="inlineStr">
        <is>
          <t>265771593142</t>
        </is>
      </c>
      <c r="B1111" t="inlineStr">
        <is>
          <t>TCC</t>
        </is>
      </c>
      <c r="C1111" t="inlineStr">
        <is>
          <t>BRYG</t>
        </is>
      </c>
      <c r="D1111" s="6" t="n">
        <v>46253</v>
      </c>
      <c r="E1111" t="inlineStr">
        <is>
          <t>DR</t>
        </is>
      </c>
      <c r="F1111" t="inlineStr">
        <is>
          <t>EUR</t>
        </is>
      </c>
      <c r="G1111" s="7" t="n">
        <v>-9008399.780999999</v>
      </c>
      <c r="H1111" t="inlineStr">
        <is>
          <t>GBP</t>
        </is>
      </c>
      <c r="I1111" s="7" t="n">
        <v>-7729207.012</v>
      </c>
      <c r="J1111" s="8" t="n">
        <v>46253.35428240741</v>
      </c>
      <c r="K1111" t="inlineStr">
        <is>
          <t>CF260819 01105</t>
        </is>
      </c>
      <c r="L1111" t="inlineStr">
        <is>
          <t>GL.NOSTRO.EUR.BRYG.003</t>
        </is>
      </c>
      <c r="M1111" t="inlineStr">
        <is>
          <t>Ironbark Commercial Bank</t>
        </is>
      </c>
      <c r="N1111" t="inlineStr">
        <is>
          <t>BRYGCASH</t>
        </is>
      </c>
      <c r="O1111" t="inlineStr">
        <is>
          <t>NEW</t>
        </is>
      </c>
      <c r="P1111" t="inlineStr">
        <is>
          <t>NT26081900680</t>
        </is>
      </c>
      <c r="Q1111" t="inlineStr">
        <is>
          <t>INTERNAL</t>
        </is>
      </c>
    </row>
    <row r="1112">
      <c r="A1112" t="inlineStr">
        <is>
          <t>359365220160</t>
        </is>
      </c>
      <c r="B1112" t="inlineStr">
        <is>
          <t>TCC</t>
        </is>
      </c>
      <c r="C1112" t="inlineStr">
        <is>
          <t>BRGX</t>
        </is>
      </c>
      <c r="D1112" s="6" t="n">
        <v>46253</v>
      </c>
      <c r="E1112" t="inlineStr">
        <is>
          <t>CR</t>
        </is>
      </c>
      <c r="F1112" t="inlineStr">
        <is>
          <t>EUR</t>
        </is>
      </c>
      <c r="G1112" s="7" t="n">
        <v>2948587.92</v>
      </c>
      <c r="H1112" t="inlineStr">
        <is>
          <t>GBP</t>
        </is>
      </c>
      <c r="I1112" s="7" t="n">
        <v>2529888.435</v>
      </c>
      <c r="J1112" s="8" t="n">
        <v>46253.42581018519</v>
      </c>
      <c r="K1112" t="inlineStr">
        <is>
          <t>CF260819 01106</t>
        </is>
      </c>
      <c r="L1112" t="inlineStr">
        <is>
          <t>GL.NOSTRO.EUR.BRGX.009</t>
        </is>
      </c>
      <c r="M1112" t="inlineStr">
        <is>
          <t>Redstart Trust</t>
        </is>
      </c>
      <c r="N1112" t="inlineStr">
        <is>
          <t>BRGXTRSY</t>
        </is>
      </c>
      <c r="O1112" t="inlineStr">
        <is>
          <t>NEW</t>
        </is>
      </c>
      <c r="Q1112" t="inlineStr">
        <is>
          <t>NETTER</t>
        </is>
      </c>
    </row>
    <row r="1113">
      <c r="A1113" t="inlineStr">
        <is>
          <t>132544340094</t>
        </is>
      </c>
      <c r="B1113" t="inlineStr">
        <is>
          <t>TCQ</t>
        </is>
      </c>
      <c r="C1113" t="inlineStr">
        <is>
          <t>BRYG</t>
        </is>
      </c>
      <c r="D1113" s="6" t="n">
        <v>46253</v>
      </c>
      <c r="E1113" t="inlineStr">
        <is>
          <t>DR</t>
        </is>
      </c>
      <c r="F1113" t="inlineStr">
        <is>
          <t>CZK</t>
        </is>
      </c>
      <c r="G1113" s="7" t="n">
        <v>-114957.589</v>
      </c>
      <c r="H1113" t="inlineStr">
        <is>
          <t>GBP</t>
        </is>
      </c>
      <c r="I1113" s="7" t="n">
        <v>-3897.062</v>
      </c>
      <c r="J1113" s="8" t="n">
        <v>46253.40815972222</v>
      </c>
      <c r="K1113" t="inlineStr">
        <is>
          <t>CF260819 01107</t>
        </is>
      </c>
      <c r="L1113" t="inlineStr">
        <is>
          <t>GL.NOSTRO.CZK.BRYG.007</t>
        </is>
      </c>
      <c r="M1113" t="inlineStr">
        <is>
          <t>Vetchling Bank</t>
        </is>
      </c>
      <c r="N1113" t="inlineStr">
        <is>
          <t>BRYG</t>
        </is>
      </c>
      <c r="O1113" t="inlineStr">
        <is>
          <t>NEW</t>
        </is>
      </c>
      <c r="Q1113" t="inlineStr">
        <is>
          <t>NETTER</t>
        </is>
      </c>
    </row>
    <row r="1114">
      <c r="A1114" t="inlineStr">
        <is>
          <t>150316825069</t>
        </is>
      </c>
      <c r="B1114" t="inlineStr">
        <is>
          <t>TCQ</t>
        </is>
      </c>
      <c r="C1114" t="inlineStr">
        <is>
          <t>BRGX</t>
        </is>
      </c>
      <c r="D1114" s="6" t="n">
        <v>46253</v>
      </c>
      <c r="E1114" t="inlineStr">
        <is>
          <t>DR</t>
        </is>
      </c>
      <c r="F1114" t="inlineStr">
        <is>
          <t>GBP</t>
        </is>
      </c>
      <c r="G1114" s="7" t="n">
        <v>-534823051.709</v>
      </c>
      <c r="H1114" t="inlineStr">
        <is>
          <t>GBP</t>
        </is>
      </c>
      <c r="I1114" s="7" t="n">
        <v>-534823051.709</v>
      </c>
      <c r="J1114" s="8" t="n">
        <v>46253.53758101852</v>
      </c>
      <c r="K1114" t="inlineStr">
        <is>
          <t>CF260819 01108</t>
        </is>
      </c>
      <c r="L1114" t="inlineStr">
        <is>
          <t>GL.NOSTRO.GBP.BRGX.004</t>
        </is>
      </c>
      <c r="M1114" t="inlineStr">
        <is>
          <t>Wrenfield Settlement Bank</t>
        </is>
      </c>
      <c r="N1114" t="inlineStr">
        <is>
          <t>BRGXMM</t>
        </is>
      </c>
      <c r="O1114" t="inlineStr">
        <is>
          <t>NEW</t>
        </is>
      </c>
      <c r="Q1114" t="inlineStr">
        <is>
          <t>NETTER</t>
        </is>
      </c>
    </row>
    <row r="1115">
      <c r="A1115" t="inlineStr">
        <is>
          <t>150316825069</t>
        </is>
      </c>
      <c r="B1115" t="inlineStr">
        <is>
          <t>TCC</t>
        </is>
      </c>
      <c r="C1115" t="inlineStr">
        <is>
          <t>BRGX</t>
        </is>
      </c>
      <c r="D1115" s="6" t="n">
        <v>46253</v>
      </c>
      <c r="E1115" t="inlineStr">
        <is>
          <t>CR</t>
        </is>
      </c>
      <c r="F1115" t="inlineStr">
        <is>
          <t>GBP</t>
        </is>
      </c>
      <c r="G1115" s="7" t="n">
        <v>4701031.929</v>
      </c>
      <c r="H1115" t="inlineStr">
        <is>
          <t>GBP</t>
        </is>
      </c>
      <c r="I1115" s="7" t="n">
        <v>4701031.929</v>
      </c>
      <c r="J1115" s="8" t="n">
        <v>46253.31298611111</v>
      </c>
      <c r="K1115" t="inlineStr">
        <is>
          <t>CF260819 01109</t>
        </is>
      </c>
      <c r="L1115" t="inlineStr">
        <is>
          <t>GL.NOSTRO.GBP.BRGX.001</t>
        </is>
      </c>
      <c r="M1115" t="inlineStr">
        <is>
          <t>Umberton Clearing</t>
        </is>
      </c>
      <c r="N1115" t="inlineStr">
        <is>
          <t>BRGX</t>
        </is>
      </c>
      <c r="O1115" t="inlineStr">
        <is>
          <t>NEW</t>
        </is>
      </c>
      <c r="Q1115" t="inlineStr">
        <is>
          <t>NETTER</t>
        </is>
      </c>
    </row>
    <row r="1116">
      <c r="A1116" t="inlineStr">
        <is>
          <t>150316825069</t>
        </is>
      </c>
      <c r="B1116" t="inlineStr">
        <is>
          <t>TCP</t>
        </is>
      </c>
      <c r="C1116" t="inlineStr">
        <is>
          <t>BRGX</t>
        </is>
      </c>
      <c r="D1116" s="6" t="n">
        <v>46253</v>
      </c>
      <c r="E1116" t="inlineStr">
        <is>
          <t>CR</t>
        </is>
      </c>
      <c r="F1116" t="inlineStr">
        <is>
          <t>GBP</t>
        </is>
      </c>
      <c r="G1116" s="7" t="n">
        <v>3746421451.373</v>
      </c>
      <c r="H1116" t="inlineStr">
        <is>
          <t>GBP</t>
        </is>
      </c>
      <c r="I1116" s="7" t="n">
        <v>3746421451.373</v>
      </c>
      <c r="J1116" s="8" t="n">
        <v>46253.40912037037</v>
      </c>
      <c r="K1116" t="inlineStr">
        <is>
          <t>CF260819 01110</t>
        </is>
      </c>
      <c r="L1116" t="inlineStr">
        <is>
          <t>GL.NOSTRO.GBP.BRGX.002</t>
        </is>
      </c>
      <c r="M1116" t="inlineStr">
        <is>
          <t>Dunlin Clearing</t>
        </is>
      </c>
      <c r="N1116" t="inlineStr">
        <is>
          <t>BRGXTRSY</t>
        </is>
      </c>
      <c r="O1116" t="inlineStr">
        <is>
          <t>NEW</t>
        </is>
      </c>
      <c r="P1116" t="inlineStr">
        <is>
          <t>NT26081900691</t>
        </is>
      </c>
      <c r="Q1116" t="inlineStr">
        <is>
          <t>NETTER</t>
        </is>
      </c>
    </row>
    <row r="1117">
      <c r="A1117" t="inlineStr">
        <is>
          <t>910703979141</t>
        </is>
      </c>
      <c r="B1117" t="inlineStr">
        <is>
          <t>TCP</t>
        </is>
      </c>
      <c r="C1117" t="inlineStr">
        <is>
          <t>BRCC</t>
        </is>
      </c>
      <c r="D1117" s="6" t="n">
        <v>46253</v>
      </c>
      <c r="E1117" t="inlineStr">
        <is>
          <t>DR</t>
        </is>
      </c>
      <c r="F1117" t="inlineStr">
        <is>
          <t>CHF</t>
        </is>
      </c>
      <c r="G1117" s="7" t="n">
        <v>-335144249.538</v>
      </c>
      <c r="H1117" t="inlineStr">
        <is>
          <t>GBP</t>
        </is>
      </c>
      <c r="I1117" s="7" t="n">
        <v>-300624391.836</v>
      </c>
      <c r="J1117" s="8" t="n">
        <v>46253.55152777778</v>
      </c>
      <c r="K1117" t="inlineStr">
        <is>
          <t>CF260819 01111</t>
        </is>
      </c>
      <c r="L1117" t="inlineStr">
        <is>
          <t>GL.NOSTRO.CHF.BRCC.001</t>
        </is>
      </c>
      <c r="M1117" t="inlineStr">
        <is>
          <t>Alder Clearing</t>
        </is>
      </c>
      <c r="N1117" t="inlineStr">
        <is>
          <t>BRCC</t>
        </is>
      </c>
      <c r="O1117" t="inlineStr">
        <is>
          <t>NEW</t>
        </is>
      </c>
      <c r="P1117" t="inlineStr">
        <is>
          <t>NT26081900665</t>
        </is>
      </c>
      <c r="Q1117" t="inlineStr">
        <is>
          <t>NETTER</t>
        </is>
      </c>
    </row>
    <row r="1118">
      <c r="A1118" t="inlineStr">
        <is>
          <t>284925023085</t>
        </is>
      </c>
      <c r="B1118" t="inlineStr">
        <is>
          <t>TCP</t>
        </is>
      </c>
      <c r="C1118" t="inlineStr">
        <is>
          <t>BRMD</t>
        </is>
      </c>
      <c r="D1118" s="6" t="n">
        <v>46253</v>
      </c>
      <c r="E1118" t="inlineStr">
        <is>
          <t>DR</t>
        </is>
      </c>
      <c r="F1118" t="inlineStr">
        <is>
          <t>MXN</t>
        </is>
      </c>
      <c r="G1118" s="7" t="n">
        <v>-3381.88</v>
      </c>
      <c r="H1118" t="inlineStr">
        <is>
          <t>GBP</t>
        </is>
      </c>
      <c r="I1118" s="7" t="n">
        <v>-144.744</v>
      </c>
      <c r="J1118" s="8" t="n">
        <v>46253.46520833333</v>
      </c>
      <c r="K1118" t="inlineStr">
        <is>
          <t>CF260819 01112</t>
        </is>
      </c>
      <c r="L1118" t="inlineStr">
        <is>
          <t>GL.NOSTRO.MXN.BRMD.003</t>
        </is>
      </c>
      <c r="M1118" t="inlineStr">
        <is>
          <t>Vetchling Bank</t>
        </is>
      </c>
      <c r="N1118" t="inlineStr">
        <is>
          <t>BRMDTRSY</t>
        </is>
      </c>
      <c r="O1118" t="inlineStr">
        <is>
          <t>NEW</t>
        </is>
      </c>
      <c r="P1118" t="inlineStr">
        <is>
          <t>NT26081900677</t>
        </is>
      </c>
      <c r="Q1118" t="inlineStr">
        <is>
          <t>GROSS</t>
        </is>
      </c>
    </row>
    <row r="1119">
      <c r="A1119" t="inlineStr">
        <is>
          <t>468341071172</t>
        </is>
      </c>
      <c r="B1119" t="inlineStr">
        <is>
          <t>TCC</t>
        </is>
      </c>
      <c r="C1119" t="inlineStr">
        <is>
          <t>BRCC</t>
        </is>
      </c>
      <c r="D1119" s="6" t="n">
        <v>46253</v>
      </c>
      <c r="E1119" t="inlineStr">
        <is>
          <t>DR</t>
        </is>
      </c>
      <c r="F1119" t="inlineStr">
        <is>
          <t>EUR</t>
        </is>
      </c>
      <c r="G1119" s="7" t="n">
        <v>-2140875.046</v>
      </c>
      <c r="H1119" t="inlineStr">
        <is>
          <t>GBP</t>
        </is>
      </c>
      <c r="I1119" s="7" t="n">
        <v>-1836870.789</v>
      </c>
      <c r="J1119" s="8" t="n">
        <v>46253.71356481482</v>
      </c>
      <c r="K1119" t="inlineStr">
        <is>
          <t>CF260819 01113</t>
        </is>
      </c>
      <c r="L1119" t="inlineStr">
        <is>
          <t>GL.NOSTRO.EUR.BRCC.008</t>
        </is>
      </c>
      <c r="M1119" t="inlineStr">
        <is>
          <t>Pinehurst Clearing</t>
        </is>
      </c>
      <c r="N1119" t="inlineStr">
        <is>
          <t>BRCCMM</t>
        </is>
      </c>
      <c r="O1119" t="inlineStr">
        <is>
          <t>NEW</t>
        </is>
      </c>
      <c r="Q1119" t="inlineStr">
        <is>
          <t>GROSS</t>
        </is>
      </c>
    </row>
    <row r="1120">
      <c r="A1120" t="inlineStr">
        <is>
          <t>824840705580</t>
        </is>
      </c>
      <c r="B1120" t="inlineStr">
        <is>
          <t>TCC</t>
        </is>
      </c>
      <c r="C1120" t="inlineStr">
        <is>
          <t>BRGL</t>
        </is>
      </c>
      <c r="D1120" s="6" t="n">
        <v>46253</v>
      </c>
      <c r="E1120" t="inlineStr">
        <is>
          <t>CR</t>
        </is>
      </c>
      <c r="F1120" t="inlineStr">
        <is>
          <t>EUR</t>
        </is>
      </c>
      <c r="G1120" s="7" t="n">
        <v>49666642.67</v>
      </c>
      <c r="H1120" t="inlineStr">
        <is>
          <t>GBP</t>
        </is>
      </c>
      <c r="I1120" s="7" t="n">
        <v>42613979.411</v>
      </c>
      <c r="J1120" s="8" t="n">
        <v>46253.24234953704</v>
      </c>
      <c r="K1120" t="inlineStr">
        <is>
          <t>CF260819 01114</t>
        </is>
      </c>
      <c r="L1120" t="inlineStr">
        <is>
          <t>GL.NOSTRO.EUR.BRGL.004</t>
        </is>
      </c>
      <c r="M1120" t="inlineStr">
        <is>
          <t>Elmwood Clearing</t>
        </is>
      </c>
      <c r="N1120" t="inlineStr">
        <is>
          <t>BRGLMM</t>
        </is>
      </c>
      <c r="O1120" t="inlineStr">
        <is>
          <t>NEW</t>
        </is>
      </c>
      <c r="Q1120" t="inlineStr">
        <is>
          <t>GROSS</t>
        </is>
      </c>
    </row>
    <row r="1121">
      <c r="A1121" t="inlineStr">
        <is>
          <t>794226063698</t>
        </is>
      </c>
      <c r="B1121" t="inlineStr">
        <is>
          <t>TCP</t>
        </is>
      </c>
      <c r="C1121" t="inlineStr">
        <is>
          <t>BRMD</t>
        </is>
      </c>
      <c r="D1121" s="6" t="n">
        <v>46253</v>
      </c>
      <c r="E1121" t="inlineStr">
        <is>
          <t>DR</t>
        </is>
      </c>
      <c r="F1121" t="inlineStr">
        <is>
          <t>AED</t>
        </is>
      </c>
      <c r="G1121" s="7" t="n">
        <v>-551352121.214</v>
      </c>
      <c r="H1121" t="inlineStr">
        <is>
          <t>GBP</t>
        </is>
      </c>
      <c r="I1121" s="7" t="n">
        <v>-117438001.819</v>
      </c>
      <c r="J1121" s="8" t="n">
        <v>46253.55517361111</v>
      </c>
      <c r="K1121" t="inlineStr">
        <is>
          <t>CF260819 01115</t>
        </is>
      </c>
      <c r="L1121" t="inlineStr">
        <is>
          <t>GL.NOSTRO.AED.BRMD.007</t>
        </is>
      </c>
      <c r="M1121" t="inlineStr">
        <is>
          <t>Alder Trust</t>
        </is>
      </c>
      <c r="N1121" t="inlineStr">
        <is>
          <t>BRMDTRSY</t>
        </is>
      </c>
      <c r="O1121" t="inlineStr">
        <is>
          <t>NEW</t>
        </is>
      </c>
      <c r="P1121" t="inlineStr">
        <is>
          <t>NT26081900695</t>
        </is>
      </c>
      <c r="Q1121" t="inlineStr">
        <is>
          <t>INTERNAL</t>
        </is>
      </c>
    </row>
    <row r="1122">
      <c r="A1122" t="inlineStr">
        <is>
          <t>150316825069</t>
        </is>
      </c>
      <c r="B1122" t="inlineStr">
        <is>
          <t>TCX</t>
        </is>
      </c>
      <c r="C1122" t="inlineStr">
        <is>
          <t>BRGX</t>
        </is>
      </c>
      <c r="D1122" s="6" t="n">
        <v>46253</v>
      </c>
      <c r="E1122" t="inlineStr">
        <is>
          <t>DR</t>
        </is>
      </c>
      <c r="F1122" t="inlineStr">
        <is>
          <t>GBP</t>
        </is>
      </c>
      <c r="G1122" s="7" t="n">
        <v>-72952729.149</v>
      </c>
      <c r="H1122" t="inlineStr">
        <is>
          <t>GBP</t>
        </is>
      </c>
      <c r="I1122" s="7" t="n">
        <v>-72952729.149</v>
      </c>
      <c r="J1122" s="8" t="n">
        <v>46253.69273148148</v>
      </c>
      <c r="K1122" t="inlineStr">
        <is>
          <t>CF260819 01116</t>
        </is>
      </c>
      <c r="L1122" t="inlineStr">
        <is>
          <t>GL.NOSTRO.GBP.BRGX.007</t>
        </is>
      </c>
      <c r="M1122" t="inlineStr">
        <is>
          <t>Elmwood Settlement Bank</t>
        </is>
      </c>
      <c r="N1122" t="inlineStr">
        <is>
          <t>BRGXCASH</t>
        </is>
      </c>
      <c r="O1122" t="inlineStr">
        <is>
          <t>NEW</t>
        </is>
      </c>
      <c r="P1122" t="inlineStr">
        <is>
          <t>NT26081900680</t>
        </is>
      </c>
      <c r="Q1122" t="inlineStr">
        <is>
          <t>NETTER</t>
        </is>
      </c>
    </row>
    <row r="1123">
      <c r="A1123" t="inlineStr">
        <is>
          <t>794226063698</t>
        </is>
      </c>
      <c r="B1123" t="inlineStr">
        <is>
          <t>TCG</t>
        </is>
      </c>
      <c r="C1123" t="inlineStr">
        <is>
          <t>BRMD</t>
        </is>
      </c>
      <c r="D1123" s="6" t="n">
        <v>46253</v>
      </c>
      <c r="E1123" t="inlineStr">
        <is>
          <t>DR</t>
        </is>
      </c>
      <c r="F1123" t="inlineStr">
        <is>
          <t>AED</t>
        </is>
      </c>
      <c r="G1123" s="7" t="n">
        <v>-194762836.291</v>
      </c>
      <c r="H1123" t="inlineStr">
        <is>
          <t>GBP</t>
        </is>
      </c>
      <c r="I1123" s="7" t="n">
        <v>-41484484.13</v>
      </c>
      <c r="J1123" s="8" t="n">
        <v>46253.60178240741</v>
      </c>
      <c r="K1123" t="inlineStr">
        <is>
          <t>CF260819 01117</t>
        </is>
      </c>
      <c r="L1123" t="inlineStr">
        <is>
          <t>GL.NOSTRO.AED.BRMD.007</t>
        </is>
      </c>
      <c r="M1123" t="inlineStr">
        <is>
          <t>Ironbark Trust</t>
        </is>
      </c>
      <c r="N1123" t="inlineStr">
        <is>
          <t>BRMDTRSY</t>
        </is>
      </c>
      <c r="O1123" t="inlineStr">
        <is>
          <t>AMEND</t>
        </is>
      </c>
      <c r="Q1123" t="inlineStr">
        <is>
          <t>GROSS</t>
        </is>
      </c>
    </row>
    <row r="1124">
      <c r="A1124" t="inlineStr">
        <is>
          <t>700726936098</t>
        </is>
      </c>
      <c r="B1124" t="inlineStr">
        <is>
          <t>TCQ</t>
        </is>
      </c>
      <c r="C1124" t="inlineStr">
        <is>
          <t>BRMD</t>
        </is>
      </c>
      <c r="D1124" s="6" t="n">
        <v>46253</v>
      </c>
      <c r="E1124" t="inlineStr">
        <is>
          <t>CR</t>
        </is>
      </c>
      <c r="F1124" t="inlineStr">
        <is>
          <t>SAR</t>
        </is>
      </c>
      <c r="G1124" s="7" t="n">
        <v>9120456.135</v>
      </c>
      <c r="H1124" t="inlineStr">
        <is>
          <t>GBP</t>
        </is>
      </c>
      <c r="I1124" s="7" t="n">
        <v>1906175.332</v>
      </c>
      <c r="J1124" s="8" t="n">
        <v>46253.35105324074</v>
      </c>
      <c r="K1124" t="inlineStr">
        <is>
          <t>CF260819 01118</t>
        </is>
      </c>
      <c r="L1124" t="inlineStr">
        <is>
          <t>GL.NOSTRO.SAR.BRMD.008</t>
        </is>
      </c>
      <c r="M1124" t="inlineStr">
        <is>
          <t>Umberton Clearing</t>
        </is>
      </c>
      <c r="N1124" t="inlineStr">
        <is>
          <t>BRMD</t>
        </is>
      </c>
      <c r="O1124" t="inlineStr">
        <is>
          <t>NEW</t>
        </is>
      </c>
      <c r="P1124" t="inlineStr">
        <is>
          <t>NT26081900692</t>
        </is>
      </c>
      <c r="Q1124" t="inlineStr">
        <is>
          <t>INTERNAL</t>
        </is>
      </c>
    </row>
    <row r="1125">
      <c r="A1125" t="inlineStr">
        <is>
          <t>968942362772</t>
        </is>
      </c>
      <c r="B1125" t="inlineStr">
        <is>
          <t>TCQ</t>
        </is>
      </c>
      <c r="C1125" t="inlineStr">
        <is>
          <t>BRYG</t>
        </is>
      </c>
      <c r="D1125" s="6" t="n">
        <v>46253</v>
      </c>
      <c r="E1125" t="inlineStr">
        <is>
          <t>CR</t>
        </is>
      </c>
      <c r="F1125" t="inlineStr">
        <is>
          <t>EUR</t>
        </is>
      </c>
      <c r="G1125" s="7" t="n">
        <v>444271.345</v>
      </c>
      <c r="H1125" t="inlineStr">
        <is>
          <t>GBP</t>
        </is>
      </c>
      <c r="I1125" s="7" t="n">
        <v>381184.814</v>
      </c>
      <c r="J1125" s="8" t="n">
        <v>46253.49997685185</v>
      </c>
      <c r="K1125" t="inlineStr">
        <is>
          <t>CF260819 01119</t>
        </is>
      </c>
      <c r="L1125" t="inlineStr">
        <is>
          <t>GL.NOSTRO.EUR.BRYG.004</t>
        </is>
      </c>
      <c r="M1125" t="inlineStr">
        <is>
          <t>Elmwood Bank</t>
        </is>
      </c>
      <c r="N1125" t="inlineStr">
        <is>
          <t>BRYGMM</t>
        </is>
      </c>
      <c r="O1125" t="inlineStr">
        <is>
          <t>NEW</t>
        </is>
      </c>
      <c r="Q1125" t="inlineStr">
        <is>
          <t>NETTER</t>
        </is>
      </c>
    </row>
    <row r="1126">
      <c r="A1126" t="inlineStr">
        <is>
          <t>468341071172</t>
        </is>
      </c>
      <c r="B1126" t="inlineStr">
        <is>
          <t>TCX</t>
        </is>
      </c>
      <c r="C1126" t="inlineStr">
        <is>
          <t>BRCC</t>
        </is>
      </c>
      <c r="D1126" s="6" t="n">
        <v>46253</v>
      </c>
      <c r="E1126" t="inlineStr">
        <is>
          <t>CR</t>
        </is>
      </c>
      <c r="F1126" t="inlineStr">
        <is>
          <t>EUR</t>
        </is>
      </c>
      <c r="G1126" s="7" t="n">
        <v>12594.031</v>
      </c>
      <c r="H1126" t="inlineStr">
        <is>
          <t>GBP</t>
        </is>
      </c>
      <c r="I1126" s="7" t="n">
        <v>10805.679</v>
      </c>
      <c r="J1126" s="8" t="n">
        <v>46253.60267361111</v>
      </c>
      <c r="K1126" t="inlineStr">
        <is>
          <t>CF260819 01120</t>
        </is>
      </c>
      <c r="L1126" t="inlineStr">
        <is>
          <t>GL.NOSTRO.EUR.BRCC.006</t>
        </is>
      </c>
      <c r="M1126" t="inlineStr">
        <is>
          <t>Wrenfield Settlement Bank</t>
        </is>
      </c>
      <c r="N1126" t="inlineStr">
        <is>
          <t>BRCCCASH</t>
        </is>
      </c>
      <c r="O1126" t="inlineStr">
        <is>
          <t>NEW</t>
        </is>
      </c>
      <c r="P1126" t="inlineStr">
        <is>
          <t>NT26081900693</t>
        </is>
      </c>
      <c r="Q1126" t="inlineStr">
        <is>
          <t>NETTER</t>
        </is>
      </c>
    </row>
    <row r="1127">
      <c r="A1127" t="inlineStr">
        <is>
          <t>968942362772</t>
        </is>
      </c>
      <c r="B1127" t="inlineStr">
        <is>
          <t>TCG</t>
        </is>
      </c>
      <c r="C1127" t="inlineStr">
        <is>
          <t>BRYG</t>
        </is>
      </c>
      <c r="D1127" s="6" t="n">
        <v>46253</v>
      </c>
      <c r="E1127" t="inlineStr">
        <is>
          <t>DR</t>
        </is>
      </c>
      <c r="F1127" t="inlineStr">
        <is>
          <t>EUR</t>
        </is>
      </c>
      <c r="G1127" s="7" t="n">
        <v>-66356133.304</v>
      </c>
      <c r="H1127" t="inlineStr">
        <is>
          <t>GBP</t>
        </is>
      </c>
      <c r="I1127" s="7" t="n">
        <v>-56933562.375</v>
      </c>
      <c r="J1127" s="8" t="n">
        <v>46253.64630787037</v>
      </c>
      <c r="K1127" t="inlineStr">
        <is>
          <t>CF260819 01121</t>
        </is>
      </c>
      <c r="L1127" t="inlineStr">
        <is>
          <t>GL.NOSTRO.EUR.BRYG.002</t>
        </is>
      </c>
      <c r="M1127" t="inlineStr">
        <is>
          <t>Redstart Trust</t>
        </is>
      </c>
      <c r="N1127" t="inlineStr">
        <is>
          <t>BRYGCASH</t>
        </is>
      </c>
      <c r="O1127" t="inlineStr">
        <is>
          <t>AMEND</t>
        </is>
      </c>
      <c r="Q1127" t="inlineStr">
        <is>
          <t>NETTER</t>
        </is>
      </c>
    </row>
    <row r="1128">
      <c r="A1128" t="inlineStr">
        <is>
          <t>794226063698</t>
        </is>
      </c>
      <c r="B1128" t="inlineStr">
        <is>
          <t>TCG</t>
        </is>
      </c>
      <c r="C1128" t="inlineStr">
        <is>
          <t>BRMD</t>
        </is>
      </c>
      <c r="D1128" s="6" t="n">
        <v>46253</v>
      </c>
      <c r="E1128" t="inlineStr">
        <is>
          <t>DR</t>
        </is>
      </c>
      <c r="F1128" t="inlineStr">
        <is>
          <t>AED</t>
        </is>
      </c>
      <c r="G1128" s="7" t="n">
        <v>-93420173.91599999</v>
      </c>
      <c r="H1128" t="inlineStr">
        <is>
          <t>GBP</t>
        </is>
      </c>
      <c r="I1128" s="7" t="n">
        <v>-19898497.044</v>
      </c>
      <c r="J1128" s="8" t="n">
        <v>46253.45255787037</v>
      </c>
      <c r="K1128" t="inlineStr">
        <is>
          <t>CF260819 01122</t>
        </is>
      </c>
      <c r="L1128" t="inlineStr">
        <is>
          <t>GL.NOSTRO.AED.BRMD.002</t>
        </is>
      </c>
      <c r="M1128" t="inlineStr">
        <is>
          <t>Nightjar Bank</t>
        </is>
      </c>
      <c r="N1128" t="inlineStr">
        <is>
          <t>BRMDMM</t>
        </is>
      </c>
      <c r="O1128" t="inlineStr">
        <is>
          <t>NEW</t>
        </is>
      </c>
      <c r="P1128" t="inlineStr">
        <is>
          <t>NT26081900659</t>
        </is>
      </c>
      <c r="Q1128" t="inlineStr">
        <is>
          <t>NETTER</t>
        </is>
      </c>
    </row>
    <row r="1129">
      <c r="A1129" t="inlineStr">
        <is>
          <t>171857983160</t>
        </is>
      </c>
      <c r="B1129" t="inlineStr">
        <is>
          <t>TCG</t>
        </is>
      </c>
      <c r="C1129" t="inlineStr">
        <is>
          <t>BRBX</t>
        </is>
      </c>
      <c r="D1129" s="6" t="n">
        <v>46253</v>
      </c>
      <c r="E1129" t="inlineStr">
        <is>
          <t>DR</t>
        </is>
      </c>
      <c r="F1129" t="inlineStr">
        <is>
          <t>AUD</t>
        </is>
      </c>
      <c r="G1129" s="7" t="n">
        <v>-527058411.681</v>
      </c>
      <c r="H1129" t="inlineStr">
        <is>
          <t>GBP</t>
        </is>
      </c>
      <c r="I1129" s="7" t="n">
        <v>-270380965.192</v>
      </c>
      <c r="J1129" s="8" t="n">
        <v>46253.656875</v>
      </c>
      <c r="K1129" t="inlineStr">
        <is>
          <t>CF260819 01123</t>
        </is>
      </c>
      <c r="L1129" t="inlineStr">
        <is>
          <t>GL.NOSTRO.AUD.BRBX.008</t>
        </is>
      </c>
      <c r="M1129" t="inlineStr">
        <is>
          <t>Alder Clearing</t>
        </is>
      </c>
      <c r="N1129" t="inlineStr">
        <is>
          <t>BRBX</t>
        </is>
      </c>
      <c r="O1129" t="inlineStr">
        <is>
          <t>NEW</t>
        </is>
      </c>
      <c r="Q1129" t="inlineStr">
        <is>
          <t>GROSS</t>
        </is>
      </c>
    </row>
    <row r="1130">
      <c r="A1130" t="inlineStr">
        <is>
          <t>132544340094</t>
        </is>
      </c>
      <c r="B1130" t="inlineStr">
        <is>
          <t>TCX</t>
        </is>
      </c>
      <c r="C1130" t="inlineStr">
        <is>
          <t>BRYG</t>
        </is>
      </c>
      <c r="D1130" s="6" t="n">
        <v>46253</v>
      </c>
      <c r="E1130" t="inlineStr">
        <is>
          <t>DR</t>
        </is>
      </c>
      <c r="F1130" t="inlineStr">
        <is>
          <t>CZK</t>
        </is>
      </c>
      <c r="G1130" s="7" t="n">
        <v>-1821572.455</v>
      </c>
      <c r="H1130" t="inlineStr">
        <is>
          <t>GBP</t>
        </is>
      </c>
      <c r="I1130" s="7" t="n">
        <v>-61751.306</v>
      </c>
      <c r="J1130" s="8" t="n">
        <v>46253.29423611111</v>
      </c>
      <c r="K1130" t="inlineStr">
        <is>
          <t>CF260819 01124</t>
        </is>
      </c>
      <c r="L1130" t="inlineStr">
        <is>
          <t>GL.NOSTRO.CZK.BRYG.009</t>
        </is>
      </c>
      <c r="M1130" t="inlineStr">
        <is>
          <t>Zephyr Bank</t>
        </is>
      </c>
      <c r="N1130" t="inlineStr">
        <is>
          <t>BRYGTRSY</t>
        </is>
      </c>
      <c r="O1130" t="inlineStr">
        <is>
          <t>NEW</t>
        </is>
      </c>
      <c r="P1130" t="inlineStr">
        <is>
          <t>NT26081900684</t>
        </is>
      </c>
      <c r="Q1130" t="inlineStr">
        <is>
          <t>NETTER</t>
        </is>
      </c>
    </row>
    <row r="1131">
      <c r="A1131" t="inlineStr">
        <is>
          <t>468341071172</t>
        </is>
      </c>
      <c r="B1131" t="inlineStr">
        <is>
          <t>TCP</t>
        </is>
      </c>
      <c r="C1131" t="inlineStr">
        <is>
          <t>BRCC</t>
        </is>
      </c>
      <c r="D1131" s="6" t="n">
        <v>46253</v>
      </c>
      <c r="E1131" t="inlineStr">
        <is>
          <t>DR</t>
        </is>
      </c>
      <c r="F1131" t="inlineStr">
        <is>
          <t>EUR</t>
        </is>
      </c>
      <c r="G1131" s="7" t="n">
        <v>-10035827.526</v>
      </c>
      <c r="H1131" t="inlineStr">
        <is>
          <t>GBP</t>
        </is>
      </c>
      <c r="I1131" s="7" t="n">
        <v>-8610740.017000001</v>
      </c>
      <c r="J1131" s="8" t="n">
        <v>46253.38983796296</v>
      </c>
      <c r="K1131" t="inlineStr">
        <is>
          <t>CF260819 01125</t>
        </is>
      </c>
      <c r="L1131" t="inlineStr">
        <is>
          <t>GL.NOSTRO.EUR.BRCC.008</t>
        </is>
      </c>
      <c r="M1131" t="inlineStr">
        <is>
          <t>Yarrow Commercial Bank</t>
        </is>
      </c>
      <c r="N1131" t="inlineStr">
        <is>
          <t>BRCCTRSY</t>
        </is>
      </c>
      <c r="O1131" t="inlineStr">
        <is>
          <t>NEW</t>
        </is>
      </c>
      <c r="Q1131" t="inlineStr">
        <is>
          <t>GROSS</t>
        </is>
      </c>
    </row>
    <row r="1132">
      <c r="A1132" t="inlineStr">
        <is>
          <t>499062838623</t>
        </is>
      </c>
      <c r="B1132" t="inlineStr">
        <is>
          <t>TCG</t>
        </is>
      </c>
      <c r="C1132" t="inlineStr">
        <is>
          <t>BRBX</t>
        </is>
      </c>
      <c r="D1132" s="6" t="n">
        <v>46253</v>
      </c>
      <c r="E1132" t="inlineStr">
        <is>
          <t>DR</t>
        </is>
      </c>
      <c r="F1132" t="inlineStr">
        <is>
          <t>USD</t>
        </is>
      </c>
      <c r="G1132" s="7" t="n">
        <v>-166.07</v>
      </c>
      <c r="H1132" t="inlineStr">
        <is>
          <t>GBP</t>
        </is>
      </c>
      <c r="I1132" s="7" t="n">
        <v>-130.199</v>
      </c>
      <c r="J1132" s="8" t="n">
        <v>46253.26809027778</v>
      </c>
      <c r="K1132" t="inlineStr">
        <is>
          <t>CF260819 01126</t>
        </is>
      </c>
      <c r="L1132" t="inlineStr">
        <is>
          <t>GL.NOSTRO.USD.BRBX.005</t>
        </is>
      </c>
      <c r="M1132" t="inlineStr">
        <is>
          <t>Elmwood Clearing</t>
        </is>
      </c>
      <c r="N1132" t="inlineStr">
        <is>
          <t>BRBXCASH</t>
        </is>
      </c>
      <c r="O1132" t="inlineStr">
        <is>
          <t>NEW</t>
        </is>
      </c>
      <c r="Q1132" t="inlineStr">
        <is>
          <t>NETTER</t>
        </is>
      </c>
    </row>
    <row r="1133">
      <c r="A1133" t="inlineStr">
        <is>
          <t>621381112674</t>
        </is>
      </c>
      <c r="B1133" t="inlineStr">
        <is>
          <t>TCX</t>
        </is>
      </c>
      <c r="C1133" t="inlineStr">
        <is>
          <t>BRAA</t>
        </is>
      </c>
      <c r="D1133" s="6" t="n">
        <v>46253</v>
      </c>
      <c r="E1133" t="inlineStr">
        <is>
          <t>CR</t>
        </is>
      </c>
      <c r="F1133" t="inlineStr">
        <is>
          <t>PLN</t>
        </is>
      </c>
      <c r="G1133" s="7" t="n">
        <v>1280065.47</v>
      </c>
      <c r="H1133" t="inlineStr">
        <is>
          <t>GBP</t>
        </is>
      </c>
      <c r="I1133" s="7" t="n">
        <v>253452.963</v>
      </c>
      <c r="J1133" s="8" t="n">
        <v>46253.37143518519</v>
      </c>
      <c r="K1133" t="inlineStr">
        <is>
          <t>CF260819 01127</t>
        </is>
      </c>
      <c r="L1133" t="inlineStr">
        <is>
          <t>GL.NOSTRO.PLN.BRAA.005</t>
        </is>
      </c>
      <c r="M1133" t="inlineStr">
        <is>
          <t>Sablewood Bank</t>
        </is>
      </c>
      <c r="N1133" t="inlineStr">
        <is>
          <t>BRAAMM</t>
        </is>
      </c>
      <c r="O1133" t="inlineStr">
        <is>
          <t>AMEND</t>
        </is>
      </c>
      <c r="Q1133" t="inlineStr">
        <is>
          <t>NETTER</t>
        </is>
      </c>
    </row>
    <row r="1134">
      <c r="A1134" t="inlineStr">
        <is>
          <t>499062838623</t>
        </is>
      </c>
      <c r="B1134" t="inlineStr">
        <is>
          <t>TCQ</t>
        </is>
      </c>
      <c r="C1134" t="inlineStr">
        <is>
          <t>BRBX</t>
        </is>
      </c>
      <c r="D1134" s="6" t="n">
        <v>46253</v>
      </c>
      <c r="E1134" t="inlineStr">
        <is>
          <t>DR</t>
        </is>
      </c>
      <c r="F1134" t="inlineStr">
        <is>
          <t>USD</t>
        </is>
      </c>
      <c r="G1134" s="7" t="n">
        <v>-661982306.949</v>
      </c>
      <c r="H1134" t="inlineStr">
        <is>
          <t>GBP</t>
        </is>
      </c>
      <c r="I1134" s="7" t="n">
        <v>-518994128.648</v>
      </c>
      <c r="J1134" s="8" t="n">
        <v>46253.78946759259</v>
      </c>
      <c r="K1134" t="inlineStr">
        <is>
          <t>CF260819 01128</t>
        </is>
      </c>
      <c r="L1134" t="inlineStr">
        <is>
          <t>GL.NOSTRO.USD.BRBX.008</t>
        </is>
      </c>
      <c r="M1134" t="inlineStr">
        <is>
          <t>Zephyr Commercial Bank</t>
        </is>
      </c>
      <c r="N1134" t="inlineStr">
        <is>
          <t>BRBXCASH</t>
        </is>
      </c>
      <c r="O1134" t="inlineStr">
        <is>
          <t>NEW</t>
        </is>
      </c>
      <c r="Q1134" t="inlineStr">
        <is>
          <t>NETTER</t>
        </is>
      </c>
    </row>
    <row r="1135">
      <c r="A1135" t="inlineStr">
        <is>
          <t>927538182434</t>
        </is>
      </c>
      <c r="B1135" t="inlineStr">
        <is>
          <t>TCG</t>
        </is>
      </c>
      <c r="C1135" t="inlineStr">
        <is>
          <t>BRNK</t>
        </is>
      </c>
      <c r="D1135" s="6" t="n">
        <v>46253</v>
      </c>
      <c r="E1135" t="inlineStr">
        <is>
          <t>CR</t>
        </is>
      </c>
      <c r="F1135" t="inlineStr">
        <is>
          <t>CNY</t>
        </is>
      </c>
      <c r="G1135" s="7" t="n">
        <v>35538648.859</v>
      </c>
      <c r="H1135" t="inlineStr">
        <is>
          <t>GBP</t>
        </is>
      </c>
      <c r="I1135" s="7" t="n">
        <v>3873712.726</v>
      </c>
      <c r="J1135" s="8" t="n">
        <v>46253.66</v>
      </c>
      <c r="K1135" t="inlineStr">
        <is>
          <t>CF260819 01129</t>
        </is>
      </c>
      <c r="L1135" t="inlineStr">
        <is>
          <t>GL.NOSTRO.CNY.BRNK.002</t>
        </is>
      </c>
      <c r="M1135" t="inlineStr">
        <is>
          <t>Sablewood Clearing</t>
        </is>
      </c>
      <c r="N1135" t="inlineStr">
        <is>
          <t>BRNKTRSY</t>
        </is>
      </c>
      <c r="O1135" t="inlineStr">
        <is>
          <t>NEW</t>
        </is>
      </c>
      <c r="Q1135" t="inlineStr">
        <is>
          <t>NETTER</t>
        </is>
      </c>
    </row>
    <row r="1136">
      <c r="A1136" t="inlineStr">
        <is>
          <t>150316825069</t>
        </is>
      </c>
      <c r="B1136" t="inlineStr">
        <is>
          <t>TCC</t>
        </is>
      </c>
      <c r="C1136" t="inlineStr">
        <is>
          <t>BRGX</t>
        </is>
      </c>
      <c r="D1136" s="6" t="n">
        <v>46253</v>
      </c>
      <c r="E1136" t="inlineStr">
        <is>
          <t>DR</t>
        </is>
      </c>
      <c r="F1136" t="inlineStr">
        <is>
          <t>GBP</t>
        </is>
      </c>
      <c r="G1136" s="7" t="n">
        <v>-1573489.087</v>
      </c>
      <c r="H1136" t="inlineStr">
        <is>
          <t>GBP</t>
        </is>
      </c>
      <c r="I1136" s="7" t="n">
        <v>-1573489.087</v>
      </c>
      <c r="J1136" s="8" t="n">
        <v>46253.29758101852</v>
      </c>
      <c r="K1136" t="inlineStr">
        <is>
          <t>CF260819 01130</t>
        </is>
      </c>
      <c r="L1136" t="inlineStr">
        <is>
          <t>GL.NOSTRO.GBP.BRGX.003</t>
        </is>
      </c>
      <c r="M1136" t="inlineStr">
        <is>
          <t>Mallow Clearing</t>
        </is>
      </c>
      <c r="N1136" t="inlineStr">
        <is>
          <t>BRGXTRSY</t>
        </is>
      </c>
      <c r="O1136" t="inlineStr">
        <is>
          <t>NEW</t>
        </is>
      </c>
      <c r="P1136" t="inlineStr">
        <is>
          <t>NT26081900662</t>
        </is>
      </c>
      <c r="Q1136" t="inlineStr">
        <is>
          <t>NETTER</t>
        </is>
      </c>
    </row>
    <row r="1137">
      <c r="A1137" t="inlineStr">
        <is>
          <t>794226063698</t>
        </is>
      </c>
      <c r="B1137" t="inlineStr">
        <is>
          <t>TCX</t>
        </is>
      </c>
      <c r="C1137" t="inlineStr">
        <is>
          <t>BRMD</t>
        </is>
      </c>
      <c r="D1137" s="6" t="n">
        <v>46253</v>
      </c>
      <c r="E1137" t="inlineStr">
        <is>
          <t>DR</t>
        </is>
      </c>
      <c r="F1137" t="inlineStr">
        <is>
          <t>AED</t>
        </is>
      </c>
      <c r="G1137" s="7" t="n">
        <v>-109841478.503</v>
      </c>
      <c r="H1137" t="inlineStr">
        <is>
          <t>GBP</t>
        </is>
      </c>
      <c r="I1137" s="7" t="n">
        <v>-23396234.921</v>
      </c>
      <c r="J1137" s="8" t="n">
        <v>46253.44688657407</v>
      </c>
      <c r="K1137" t="inlineStr">
        <is>
          <t>CF260819 01131</t>
        </is>
      </c>
      <c r="L1137" t="inlineStr">
        <is>
          <t>GL.NOSTRO.AED.BRMD.006</t>
        </is>
      </c>
      <c r="M1137" t="inlineStr">
        <is>
          <t>Harrow Clearing</t>
        </is>
      </c>
      <c r="N1137" t="inlineStr">
        <is>
          <t>BRMDMM</t>
        </is>
      </c>
      <c r="O1137" t="inlineStr">
        <is>
          <t>NEW</t>
        </is>
      </c>
      <c r="Q1137" t="inlineStr">
        <is>
          <t>NETTER</t>
        </is>
      </c>
    </row>
    <row r="1138">
      <c r="A1138" t="inlineStr">
        <is>
          <t>132544340094</t>
        </is>
      </c>
      <c r="B1138" t="inlineStr">
        <is>
          <t>TCX</t>
        </is>
      </c>
      <c r="C1138" t="inlineStr">
        <is>
          <t>BRYG</t>
        </is>
      </c>
      <c r="D1138" s="6" t="n">
        <v>46253</v>
      </c>
      <c r="E1138" t="inlineStr">
        <is>
          <t>CR</t>
        </is>
      </c>
      <c r="F1138" t="inlineStr">
        <is>
          <t>CZK</t>
        </is>
      </c>
      <c r="G1138" s="7" t="n">
        <v>10728636.592</v>
      </c>
      <c r="H1138" t="inlineStr">
        <is>
          <t>GBP</t>
        </is>
      </c>
      <c r="I1138" s="7" t="n">
        <v>363700.78</v>
      </c>
      <c r="J1138" s="8" t="n">
        <v>46253.79001157408</v>
      </c>
      <c r="K1138" t="inlineStr">
        <is>
          <t>CF260819 01132</t>
        </is>
      </c>
      <c r="L1138" t="inlineStr">
        <is>
          <t>GL.NOSTRO.CZK.BRYG.003</t>
        </is>
      </c>
      <c r="M1138" t="inlineStr">
        <is>
          <t>Yarrow Commercial Bank</t>
        </is>
      </c>
      <c r="N1138" t="inlineStr">
        <is>
          <t>BRYGTRSY</t>
        </is>
      </c>
      <c r="O1138" t="inlineStr">
        <is>
          <t>AMEND</t>
        </is>
      </c>
      <c r="P1138" t="inlineStr">
        <is>
          <t>NT26081900691</t>
        </is>
      </c>
      <c r="Q1138" t="inlineStr">
        <is>
          <t>NETTER</t>
        </is>
      </c>
    </row>
    <row r="1139">
      <c r="A1139" t="inlineStr">
        <is>
          <t>621381112674</t>
        </is>
      </c>
      <c r="B1139" t="inlineStr">
        <is>
          <t>TCX</t>
        </is>
      </c>
      <c r="C1139" t="inlineStr">
        <is>
          <t>BRAA</t>
        </is>
      </c>
      <c r="D1139" s="6" t="n">
        <v>46253</v>
      </c>
      <c r="E1139" t="inlineStr">
        <is>
          <t>CR</t>
        </is>
      </c>
      <c r="F1139" t="inlineStr">
        <is>
          <t>PLN</t>
        </is>
      </c>
      <c r="G1139" s="7" t="n">
        <v>14011851.924</v>
      </c>
      <c r="H1139" t="inlineStr">
        <is>
          <t>GBP</t>
        </is>
      </c>
      <c r="I1139" s="7" t="n">
        <v>2774346.681</v>
      </c>
      <c r="J1139" s="8" t="n">
        <v>46253.63506944444</v>
      </c>
      <c r="K1139" t="inlineStr">
        <is>
          <t>CF260819 01133</t>
        </is>
      </c>
      <c r="L1139" t="inlineStr">
        <is>
          <t>GL.NOSTRO.PLN.BRAA.008</t>
        </is>
      </c>
      <c r="M1139" t="inlineStr">
        <is>
          <t>Pinehurst Clearing</t>
        </is>
      </c>
      <c r="N1139" t="inlineStr">
        <is>
          <t>BRAAMM</t>
        </is>
      </c>
      <c r="O1139" t="inlineStr">
        <is>
          <t>NEW</t>
        </is>
      </c>
      <c r="P1139" t="inlineStr">
        <is>
          <t>NT26081900684</t>
        </is>
      </c>
      <c r="Q1139" t="inlineStr">
        <is>
          <t>GROSS</t>
        </is>
      </c>
    </row>
    <row r="1140">
      <c r="A1140" t="inlineStr">
        <is>
          <t>150316825069</t>
        </is>
      </c>
      <c r="B1140" t="inlineStr">
        <is>
          <t>TCQ</t>
        </is>
      </c>
      <c r="C1140" t="inlineStr">
        <is>
          <t>BRGX</t>
        </is>
      </c>
      <c r="D1140" s="6" t="n">
        <v>46253</v>
      </c>
      <c r="E1140" t="inlineStr">
        <is>
          <t>CR</t>
        </is>
      </c>
      <c r="F1140" t="inlineStr">
        <is>
          <t>GBP</t>
        </is>
      </c>
      <c r="G1140" s="7" t="n">
        <v>17247332.327</v>
      </c>
      <c r="H1140" t="inlineStr">
        <is>
          <t>GBP</t>
        </is>
      </c>
      <c r="I1140" s="7" t="n">
        <v>17247332.327</v>
      </c>
      <c r="J1140" s="8" t="n">
        <v>46253.50637731481</v>
      </c>
      <c r="K1140" t="inlineStr">
        <is>
          <t>CF260819 01134</t>
        </is>
      </c>
      <c r="L1140" t="inlineStr">
        <is>
          <t>GL.NOSTRO.GBP.BRGX.005</t>
        </is>
      </c>
      <c r="M1140" t="inlineStr">
        <is>
          <t>Zephyr Commercial Bank</t>
        </is>
      </c>
      <c r="N1140" t="inlineStr">
        <is>
          <t>BRGXMM</t>
        </is>
      </c>
      <c r="O1140" t="inlineStr">
        <is>
          <t>AMEND</t>
        </is>
      </c>
      <c r="Q1140" t="inlineStr">
        <is>
          <t>NETTER</t>
        </is>
      </c>
    </row>
    <row r="1141">
      <c r="A1141" t="inlineStr">
        <is>
          <t>794226063698</t>
        </is>
      </c>
      <c r="B1141" t="inlineStr">
        <is>
          <t>TCX</t>
        </is>
      </c>
      <c r="C1141" t="inlineStr">
        <is>
          <t>BRMD</t>
        </is>
      </c>
      <c r="D1141" s="6" t="n">
        <v>46253</v>
      </c>
      <c r="E1141" t="inlineStr">
        <is>
          <t>DR</t>
        </is>
      </c>
      <c r="F1141" t="inlineStr">
        <is>
          <t>AED</t>
        </is>
      </c>
      <c r="G1141" s="7" t="n">
        <v>-587847898.908</v>
      </c>
      <c r="H1141" t="inlineStr">
        <is>
          <t>GBP</t>
        </is>
      </c>
      <c r="I1141" s="7" t="n">
        <v>-125211602.467</v>
      </c>
      <c r="J1141" s="8" t="n">
        <v>46253.66509259259</v>
      </c>
      <c r="K1141" t="inlineStr">
        <is>
          <t>CF260819 01135</t>
        </is>
      </c>
      <c r="L1141" t="inlineStr">
        <is>
          <t>GL.NOSTRO.AED.BRMD.003</t>
        </is>
      </c>
      <c r="M1141" t="inlineStr">
        <is>
          <t>Elmwood Bank</t>
        </is>
      </c>
      <c r="N1141" t="inlineStr">
        <is>
          <t>BRMDMM</t>
        </is>
      </c>
      <c r="O1141" t="inlineStr">
        <is>
          <t>NEW</t>
        </is>
      </c>
      <c r="Q1141" t="inlineStr">
        <is>
          <t>GROSS</t>
        </is>
      </c>
    </row>
    <row r="1142">
      <c r="A1142" t="inlineStr">
        <is>
          <t>794226063698</t>
        </is>
      </c>
      <c r="B1142" t="inlineStr">
        <is>
          <t>TCG</t>
        </is>
      </c>
      <c r="C1142" t="inlineStr">
        <is>
          <t>BRMD</t>
        </is>
      </c>
      <c r="D1142" s="6" t="n">
        <v>46253</v>
      </c>
      <c r="E1142" t="inlineStr">
        <is>
          <t>DR</t>
        </is>
      </c>
      <c r="F1142" t="inlineStr">
        <is>
          <t>AED</t>
        </is>
      </c>
      <c r="G1142" s="7" t="n">
        <v>-86614874.47499999</v>
      </c>
      <c r="H1142" t="inlineStr">
        <is>
          <t>GBP</t>
        </is>
      </c>
      <c r="I1142" s="7" t="n">
        <v>-18448968.263</v>
      </c>
      <c r="J1142" s="8" t="n">
        <v>46253.35795138889</v>
      </c>
      <c r="K1142" t="inlineStr">
        <is>
          <t>CF260819 01136</t>
        </is>
      </c>
      <c r="L1142" t="inlineStr">
        <is>
          <t>GL.NOSTRO.AED.BRMD.001</t>
        </is>
      </c>
      <c r="M1142" t="inlineStr">
        <is>
          <t>Elmwood Trust</t>
        </is>
      </c>
      <c r="N1142" t="inlineStr">
        <is>
          <t>BRMDMM</t>
        </is>
      </c>
      <c r="O1142" t="inlineStr">
        <is>
          <t>NEW</t>
        </is>
      </c>
      <c r="P1142" t="inlineStr">
        <is>
          <t>NT26081900675</t>
        </is>
      </c>
      <c r="Q1142" t="inlineStr">
        <is>
          <t>NETTER</t>
        </is>
      </c>
    </row>
    <row r="1143">
      <c r="A1143" t="inlineStr">
        <is>
          <t>898317028833</t>
        </is>
      </c>
      <c r="B1143" t="inlineStr">
        <is>
          <t>TCP</t>
        </is>
      </c>
      <c r="C1143" t="inlineStr">
        <is>
          <t>BRAA</t>
        </is>
      </c>
      <c r="D1143" s="6" t="n">
        <v>46253</v>
      </c>
      <c r="E1143" t="inlineStr">
        <is>
          <t>CR</t>
        </is>
      </c>
      <c r="F1143" t="inlineStr">
        <is>
          <t>GBP</t>
        </is>
      </c>
      <c r="G1143" s="7" t="n">
        <v>388330986.875</v>
      </c>
      <c r="H1143" t="inlineStr">
        <is>
          <t>GBP</t>
        </is>
      </c>
      <c r="I1143" s="7" t="n">
        <v>388330986.875</v>
      </c>
      <c r="J1143" s="8" t="n">
        <v>46253.75369212963</v>
      </c>
      <c r="K1143" t="inlineStr">
        <is>
          <t>CF260819 01137</t>
        </is>
      </c>
      <c r="L1143" t="inlineStr">
        <is>
          <t>GL.NOSTRO.GBP.BRAA.009</t>
        </is>
      </c>
      <c r="M1143" t="inlineStr">
        <is>
          <t>Dunlin Clearing</t>
        </is>
      </c>
      <c r="N1143" t="inlineStr">
        <is>
          <t>BRAA</t>
        </is>
      </c>
      <c r="O1143" t="inlineStr">
        <is>
          <t>CANCEL</t>
        </is>
      </c>
      <c r="Q1143" t="inlineStr">
        <is>
          <t>INTERNAL</t>
        </is>
      </c>
    </row>
    <row r="1144">
      <c r="A1144" t="inlineStr">
        <is>
          <t>150316825069</t>
        </is>
      </c>
      <c r="B1144" t="inlineStr">
        <is>
          <t>TCQ</t>
        </is>
      </c>
      <c r="C1144" t="inlineStr">
        <is>
          <t>BRGX</t>
        </is>
      </c>
      <c r="D1144" s="6" t="n">
        <v>46253</v>
      </c>
      <c r="E1144" t="inlineStr">
        <is>
          <t>CR</t>
        </is>
      </c>
      <c r="F1144" t="inlineStr">
        <is>
          <t>GBP</t>
        </is>
      </c>
      <c r="G1144" s="7" t="n">
        <v>1538495.785</v>
      </c>
      <c r="H1144" t="inlineStr">
        <is>
          <t>GBP</t>
        </is>
      </c>
      <c r="I1144" s="7" t="n">
        <v>1538495.785</v>
      </c>
      <c r="J1144" s="8" t="n">
        <v>46253.47011574074</v>
      </c>
      <c r="K1144" t="inlineStr">
        <is>
          <t>CF260819 01138</t>
        </is>
      </c>
      <c r="L1144" t="inlineStr">
        <is>
          <t>GL.NOSTRO.GBP.BRGX.002</t>
        </is>
      </c>
      <c r="M1144" t="inlineStr">
        <is>
          <t>Vetchling Settlement Bank</t>
        </is>
      </c>
      <c r="N1144" t="inlineStr">
        <is>
          <t>BRGXMM</t>
        </is>
      </c>
      <c r="O1144" t="inlineStr">
        <is>
          <t>NEW</t>
        </is>
      </c>
      <c r="P1144" t="inlineStr">
        <is>
          <t>NT26081900656</t>
        </is>
      </c>
      <c r="Q1144" t="inlineStr">
        <is>
          <t>GROSS</t>
        </is>
      </c>
    </row>
    <row r="1145">
      <c r="A1145" t="inlineStr">
        <is>
          <t>910703979141</t>
        </is>
      </c>
      <c r="B1145" t="inlineStr">
        <is>
          <t>TCG</t>
        </is>
      </c>
      <c r="C1145" t="inlineStr">
        <is>
          <t>BRCC</t>
        </is>
      </c>
      <c r="D1145" s="6" t="n">
        <v>46253</v>
      </c>
      <c r="E1145" t="inlineStr">
        <is>
          <t>DR</t>
        </is>
      </c>
      <c r="F1145" t="inlineStr">
        <is>
          <t>CHF</t>
        </is>
      </c>
      <c r="G1145" s="7" t="n">
        <v>-598763455.556</v>
      </c>
      <c r="H1145" t="inlineStr">
        <is>
          <t>GBP</t>
        </is>
      </c>
      <c r="I1145" s="7" t="n">
        <v>-537090819.6339999</v>
      </c>
      <c r="J1145" s="8" t="n">
        <v>46253.30179398148</v>
      </c>
      <c r="K1145" t="inlineStr">
        <is>
          <t>CF260819 01139</t>
        </is>
      </c>
      <c r="L1145" t="inlineStr">
        <is>
          <t>GL.NOSTRO.CHF.BRCC.009</t>
        </is>
      </c>
      <c r="M1145" t="inlineStr">
        <is>
          <t>Pinehurst Bank</t>
        </is>
      </c>
      <c r="N1145" t="inlineStr">
        <is>
          <t>BRCCTRSY</t>
        </is>
      </c>
      <c r="O1145" t="inlineStr">
        <is>
          <t>NEW</t>
        </is>
      </c>
      <c r="Q1145" t="inlineStr">
        <is>
          <t>GROSS</t>
        </is>
      </c>
    </row>
    <row r="1146">
      <c r="A1146" t="inlineStr">
        <is>
          <t>265771593142</t>
        </is>
      </c>
      <c r="B1146" t="inlineStr">
        <is>
          <t>TCC</t>
        </is>
      </c>
      <c r="C1146" t="inlineStr">
        <is>
          <t>BRYG</t>
        </is>
      </c>
      <c r="D1146" s="6" t="n">
        <v>46253</v>
      </c>
      <c r="E1146" t="inlineStr">
        <is>
          <t>DR</t>
        </is>
      </c>
      <c r="F1146" t="inlineStr">
        <is>
          <t>EUR</t>
        </is>
      </c>
      <c r="G1146" s="7" t="n">
        <v>-5557557.763</v>
      </c>
      <c r="H1146" t="inlineStr">
        <is>
          <t>GBP</t>
        </is>
      </c>
      <c r="I1146" s="7" t="n">
        <v>-4768384.561</v>
      </c>
      <c r="J1146" s="8" t="n">
        <v>46253.47295138889</v>
      </c>
      <c r="K1146" t="inlineStr">
        <is>
          <t>CF260819 01140</t>
        </is>
      </c>
      <c r="L1146" t="inlineStr">
        <is>
          <t>GL.NOSTRO.EUR.BRYG.008</t>
        </is>
      </c>
      <c r="M1146" t="inlineStr">
        <is>
          <t>Nightjar Trust</t>
        </is>
      </c>
      <c r="N1146" t="inlineStr">
        <is>
          <t>BRYGTRSY</t>
        </is>
      </c>
      <c r="O1146" t="inlineStr">
        <is>
          <t>AMEND</t>
        </is>
      </c>
      <c r="Q1146" t="inlineStr">
        <is>
          <t>INTERNAL</t>
        </is>
      </c>
    </row>
    <row r="1147">
      <c r="A1147" t="inlineStr">
        <is>
          <t>968942362772</t>
        </is>
      </c>
      <c r="B1147" t="inlineStr">
        <is>
          <t>TCG</t>
        </is>
      </c>
      <c r="C1147" t="inlineStr">
        <is>
          <t>BRYG</t>
        </is>
      </c>
      <c r="D1147" s="6" t="n">
        <v>46253</v>
      </c>
      <c r="E1147" t="inlineStr">
        <is>
          <t>DR</t>
        </is>
      </c>
      <c r="F1147" t="inlineStr">
        <is>
          <t>EUR</t>
        </is>
      </c>
      <c r="G1147" s="7" t="n">
        <v>-780288.2830000001</v>
      </c>
      <c r="H1147" t="inlineStr">
        <is>
          <t>GBP</t>
        </is>
      </c>
      <c r="I1147" s="7" t="n">
        <v>-669487.347</v>
      </c>
      <c r="J1147" s="8" t="n">
        <v>46253.73524305555</v>
      </c>
      <c r="K1147" t="inlineStr">
        <is>
          <t>CF260819 01141</t>
        </is>
      </c>
      <c r="L1147" t="inlineStr">
        <is>
          <t>GL.NOSTRO.EUR.BRYG.004</t>
        </is>
      </c>
      <c r="M1147" t="inlineStr">
        <is>
          <t>Bramble Bank</t>
        </is>
      </c>
      <c r="N1147" t="inlineStr">
        <is>
          <t>BRYG</t>
        </is>
      </c>
      <c r="O1147" t="inlineStr">
        <is>
          <t>NEW</t>
        </is>
      </c>
      <c r="P1147" t="inlineStr">
        <is>
          <t>NT26081900679</t>
        </is>
      </c>
      <c r="Q1147" t="inlineStr">
        <is>
          <t>NETTER</t>
        </is>
      </c>
    </row>
    <row r="1148">
      <c r="A1148" t="inlineStr">
        <is>
          <t>150316825069</t>
        </is>
      </c>
      <c r="B1148" t="inlineStr">
        <is>
          <t>TCQ</t>
        </is>
      </c>
      <c r="C1148" t="inlineStr">
        <is>
          <t>BRGX</t>
        </is>
      </c>
      <c r="D1148" s="6" t="n">
        <v>46253</v>
      </c>
      <c r="E1148" t="inlineStr">
        <is>
          <t>DR</t>
        </is>
      </c>
      <c r="F1148" t="inlineStr">
        <is>
          <t>GBP</t>
        </is>
      </c>
      <c r="G1148" s="7" t="n">
        <v>-15710538.758</v>
      </c>
      <c r="H1148" t="inlineStr">
        <is>
          <t>GBP</t>
        </is>
      </c>
      <c r="I1148" s="7" t="n">
        <v>-15710538.758</v>
      </c>
      <c r="J1148" s="8" t="n">
        <v>46253.70442129629</v>
      </c>
      <c r="K1148" t="inlineStr">
        <is>
          <t>CF260819 01142</t>
        </is>
      </c>
      <c r="L1148" t="inlineStr">
        <is>
          <t>GL.NOSTRO.GBP.BRGX.008</t>
        </is>
      </c>
      <c r="M1148" t="inlineStr">
        <is>
          <t>Dunlin Bank</t>
        </is>
      </c>
      <c r="N1148" t="inlineStr">
        <is>
          <t>BRGXMM</t>
        </is>
      </c>
      <c r="O1148" t="inlineStr">
        <is>
          <t>NEW</t>
        </is>
      </c>
      <c r="Q1148" t="inlineStr">
        <is>
          <t>INTERNAL</t>
        </is>
      </c>
    </row>
    <row r="1149">
      <c r="A1149" t="inlineStr">
        <is>
          <t>359365220160</t>
        </is>
      </c>
      <c r="B1149" t="inlineStr">
        <is>
          <t>TCC</t>
        </is>
      </c>
      <c r="C1149" t="inlineStr">
        <is>
          <t>BRGX</t>
        </is>
      </c>
      <c r="D1149" s="6" t="n">
        <v>46253</v>
      </c>
      <c r="E1149" t="inlineStr">
        <is>
          <t>CR</t>
        </is>
      </c>
      <c r="F1149" t="inlineStr">
        <is>
          <t>EUR</t>
        </is>
      </c>
      <c r="G1149" s="7" t="n">
        <v>1285060.829</v>
      </c>
      <c r="H1149" t="inlineStr">
        <is>
          <t>GBP</t>
        </is>
      </c>
      <c r="I1149" s="7" t="n">
        <v>1102582.191</v>
      </c>
      <c r="J1149" s="8" t="n">
        <v>46253.32979166666</v>
      </c>
      <c r="K1149" t="inlineStr">
        <is>
          <t>CF260819 01143</t>
        </is>
      </c>
      <c r="L1149" t="inlineStr">
        <is>
          <t>GL.NOSTRO.EUR.BRGX.002</t>
        </is>
      </c>
      <c r="M1149" t="inlineStr">
        <is>
          <t>Thornbury Bank</t>
        </is>
      </c>
      <c r="N1149" t="inlineStr">
        <is>
          <t>BRGXMM</t>
        </is>
      </c>
      <c r="O1149" t="inlineStr">
        <is>
          <t>NEW</t>
        </is>
      </c>
      <c r="Q1149" t="inlineStr">
        <is>
          <t>NETTER</t>
        </is>
      </c>
    </row>
    <row r="1150">
      <c r="A1150" t="inlineStr">
        <is>
          <t>132544340094</t>
        </is>
      </c>
      <c r="B1150" t="inlineStr">
        <is>
          <t>TCQ</t>
        </is>
      </c>
      <c r="C1150" t="inlineStr">
        <is>
          <t>BRYG</t>
        </is>
      </c>
      <c r="D1150" s="6" t="n">
        <v>46253</v>
      </c>
      <c r="E1150" t="inlineStr">
        <is>
          <t>CR</t>
        </is>
      </c>
      <c r="F1150" t="inlineStr">
        <is>
          <t>CZK</t>
        </is>
      </c>
      <c r="G1150" s="7" t="n">
        <v>12079193.176</v>
      </c>
      <c r="H1150" t="inlineStr">
        <is>
          <t>GBP</t>
        </is>
      </c>
      <c r="I1150" s="7" t="n">
        <v>409484.649</v>
      </c>
      <c r="J1150" s="8" t="n">
        <v>46253.57519675926</v>
      </c>
      <c r="K1150" t="inlineStr">
        <is>
          <t>CF260819 01144</t>
        </is>
      </c>
      <c r="L1150" t="inlineStr">
        <is>
          <t>GL.NOSTRO.CZK.BRYG.006</t>
        </is>
      </c>
      <c r="M1150" t="inlineStr">
        <is>
          <t>Redstart Trust</t>
        </is>
      </c>
      <c r="N1150" t="inlineStr">
        <is>
          <t>BRYGTRSY</t>
        </is>
      </c>
      <c r="O1150" t="inlineStr">
        <is>
          <t>NEW</t>
        </is>
      </c>
      <c r="Q1150" t="inlineStr">
        <is>
          <t>NETTER</t>
        </is>
      </c>
    </row>
    <row r="1151">
      <c r="A1151" t="inlineStr">
        <is>
          <t>794226063698</t>
        </is>
      </c>
      <c r="B1151" t="inlineStr">
        <is>
          <t>TCG</t>
        </is>
      </c>
      <c r="C1151" t="inlineStr">
        <is>
          <t>BRMD</t>
        </is>
      </c>
      <c r="D1151" s="6" t="n">
        <v>46253</v>
      </c>
      <c r="E1151" t="inlineStr">
        <is>
          <t>DR</t>
        </is>
      </c>
      <c r="F1151" t="inlineStr">
        <is>
          <t>AED</t>
        </is>
      </c>
      <c r="G1151" s="7" t="n">
        <v>-12488810.279</v>
      </c>
      <c r="H1151" t="inlineStr">
        <is>
          <t>GBP</t>
        </is>
      </c>
      <c r="I1151" s="7" t="n">
        <v>-2660116.589</v>
      </c>
      <c r="J1151" s="8" t="n">
        <v>46253.43784722222</v>
      </c>
      <c r="K1151" t="inlineStr">
        <is>
          <t>CF260819 01145</t>
        </is>
      </c>
      <c r="L1151" t="inlineStr">
        <is>
          <t>GL.NOSTRO.AED.BRMD.009</t>
        </is>
      </c>
      <c r="M1151" t="inlineStr">
        <is>
          <t>Sablewood Settlement Bank</t>
        </is>
      </c>
      <c r="N1151" t="inlineStr">
        <is>
          <t>BRMDTRSY</t>
        </is>
      </c>
      <c r="O1151" t="inlineStr">
        <is>
          <t>NEW</t>
        </is>
      </c>
      <c r="P1151" t="inlineStr">
        <is>
          <t>NT26081900689</t>
        </is>
      </c>
      <c r="Q1151" t="inlineStr">
        <is>
          <t>NETTER</t>
        </is>
      </c>
    </row>
    <row r="1152">
      <c r="A1152" t="inlineStr">
        <is>
          <t>150316825069</t>
        </is>
      </c>
      <c r="B1152" t="inlineStr">
        <is>
          <t>TCX</t>
        </is>
      </c>
      <c r="C1152" t="inlineStr">
        <is>
          <t>BRGX</t>
        </is>
      </c>
      <c r="D1152" s="6" t="n">
        <v>46253</v>
      </c>
      <c r="E1152" t="inlineStr">
        <is>
          <t>CR</t>
        </is>
      </c>
      <c r="F1152" t="inlineStr">
        <is>
          <t>GBP</t>
        </is>
      </c>
      <c r="G1152" s="7" t="n">
        <v>106071197.275</v>
      </c>
      <c r="H1152" t="inlineStr">
        <is>
          <t>GBP</t>
        </is>
      </c>
      <c r="I1152" s="7" t="n">
        <v>106071197.275</v>
      </c>
      <c r="J1152" s="8" t="n">
        <v>46253.30204861111</v>
      </c>
      <c r="K1152" t="inlineStr">
        <is>
          <t>CF260819 01146</t>
        </is>
      </c>
      <c r="L1152" t="inlineStr">
        <is>
          <t>GL.NOSTRO.GBP.BRGX.007</t>
        </is>
      </c>
      <c r="M1152" t="inlineStr">
        <is>
          <t>Alder Clearing</t>
        </is>
      </c>
      <c r="N1152" t="inlineStr">
        <is>
          <t>BRGXCASH</t>
        </is>
      </c>
      <c r="O1152" t="inlineStr">
        <is>
          <t>CANCEL</t>
        </is>
      </c>
      <c r="P1152" t="inlineStr">
        <is>
          <t>NT26081900657</t>
        </is>
      </c>
      <c r="Q1152" t="inlineStr">
        <is>
          <t>INTERNAL</t>
        </is>
      </c>
    </row>
    <row r="1153">
      <c r="A1153" t="inlineStr">
        <is>
          <t>265771593142</t>
        </is>
      </c>
      <c r="B1153" t="inlineStr">
        <is>
          <t>TCP</t>
        </is>
      </c>
      <c r="C1153" t="inlineStr">
        <is>
          <t>BRYG</t>
        </is>
      </c>
      <c r="D1153" s="6" t="n">
        <v>46253</v>
      </c>
      <c r="E1153" t="inlineStr">
        <is>
          <t>DR</t>
        </is>
      </c>
      <c r="F1153" t="inlineStr">
        <is>
          <t>EUR</t>
        </is>
      </c>
      <c r="G1153" s="7" t="n">
        <v>-10022981.747</v>
      </c>
      <c r="H1153" t="inlineStr">
        <is>
          <t>GBP</t>
        </is>
      </c>
      <c r="I1153" s="7" t="n">
        <v>-8599718.339</v>
      </c>
      <c r="J1153" s="8" t="n">
        <v>46253.53315972222</v>
      </c>
      <c r="K1153" t="inlineStr">
        <is>
          <t>CF260819 01147</t>
        </is>
      </c>
      <c r="L1153" t="inlineStr">
        <is>
          <t>GL.NOSTRO.EUR.BRYG.006</t>
        </is>
      </c>
      <c r="M1153" t="inlineStr">
        <is>
          <t>Zephyr Bank</t>
        </is>
      </c>
      <c r="N1153" t="inlineStr">
        <is>
          <t>BRYGTRSY</t>
        </is>
      </c>
      <c r="O1153" t="inlineStr">
        <is>
          <t>NEW</t>
        </is>
      </c>
      <c r="Q1153" t="inlineStr">
        <is>
          <t>INTERNAL</t>
        </is>
      </c>
    </row>
    <row r="1154">
      <c r="A1154" t="inlineStr">
        <is>
          <t>953625291146</t>
        </is>
      </c>
      <c r="B1154" t="inlineStr">
        <is>
          <t>TCG</t>
        </is>
      </c>
      <c r="C1154" t="inlineStr">
        <is>
          <t>BRGL</t>
        </is>
      </c>
      <c r="D1154" s="6" t="n">
        <v>46253</v>
      </c>
      <c r="E1154" t="inlineStr">
        <is>
          <t>DR</t>
        </is>
      </c>
      <c r="F1154" t="inlineStr">
        <is>
          <t>USD</t>
        </is>
      </c>
      <c r="G1154" s="7" t="n">
        <v>-146232.31</v>
      </c>
      <c r="H1154" t="inlineStr">
        <is>
          <t>GBP</t>
        </is>
      </c>
      <c r="I1154" s="7" t="n">
        <v>-114646.131</v>
      </c>
      <c r="J1154" s="8" t="n">
        <v>46253.36099537037</v>
      </c>
      <c r="K1154" t="inlineStr">
        <is>
          <t>CF260819 01148</t>
        </is>
      </c>
      <c r="L1154" t="inlineStr">
        <is>
          <t>GL.NOSTRO.USD.BRGL.007</t>
        </is>
      </c>
      <c r="M1154" t="inlineStr">
        <is>
          <t>Fernway Settlement Bank</t>
        </is>
      </c>
      <c r="N1154" t="inlineStr">
        <is>
          <t>BRGLCASH</t>
        </is>
      </c>
      <c r="O1154" t="inlineStr">
        <is>
          <t>AMEND</t>
        </is>
      </c>
      <c r="P1154" t="inlineStr">
        <is>
          <t>NT26081900689</t>
        </is>
      </c>
      <c r="Q1154" t="inlineStr">
        <is>
          <t>NETTER</t>
        </is>
      </c>
    </row>
    <row r="1155">
      <c r="A1155" t="inlineStr">
        <is>
          <t>132544340094</t>
        </is>
      </c>
      <c r="B1155" t="inlineStr">
        <is>
          <t>TCP</t>
        </is>
      </c>
      <c r="C1155" t="inlineStr">
        <is>
          <t>BRYG</t>
        </is>
      </c>
      <c r="D1155" s="6" t="n">
        <v>46253</v>
      </c>
      <c r="E1155" t="inlineStr">
        <is>
          <t>DR</t>
        </is>
      </c>
      <c r="F1155" t="inlineStr">
        <is>
          <t>CZK</t>
        </is>
      </c>
      <c r="G1155" s="7" t="n">
        <v>-2673948.282</v>
      </c>
      <c r="H1155" t="inlineStr">
        <is>
          <t>GBP</t>
        </is>
      </c>
      <c r="I1155" s="7" t="n">
        <v>-90646.84699999999</v>
      </c>
      <c r="J1155" s="8" t="n">
        <v>46253.32903935185</v>
      </c>
      <c r="K1155" t="inlineStr">
        <is>
          <t>CF260819 01149</t>
        </is>
      </c>
      <c r="L1155" t="inlineStr">
        <is>
          <t>GL.NOSTRO.CZK.BRYG.007</t>
        </is>
      </c>
      <c r="M1155" t="inlineStr">
        <is>
          <t>Thornbury Bank</t>
        </is>
      </c>
      <c r="N1155" t="inlineStr">
        <is>
          <t>BRYGCASH</t>
        </is>
      </c>
      <c r="O1155" t="inlineStr">
        <is>
          <t>NEW</t>
        </is>
      </c>
      <c r="P1155" t="inlineStr">
        <is>
          <t>NT26081900662</t>
        </is>
      </c>
      <c r="Q1155" t="inlineStr">
        <is>
          <t>GROSS</t>
        </is>
      </c>
    </row>
    <row r="1156">
      <c r="A1156" t="inlineStr">
        <is>
          <t>468341071172</t>
        </is>
      </c>
      <c r="B1156" t="inlineStr">
        <is>
          <t>TCX</t>
        </is>
      </c>
      <c r="C1156" t="inlineStr">
        <is>
          <t>BRCC</t>
        </is>
      </c>
      <c r="D1156" s="6" t="n">
        <v>46253</v>
      </c>
      <c r="E1156" t="inlineStr">
        <is>
          <t>CR</t>
        </is>
      </c>
      <c r="F1156" t="inlineStr">
        <is>
          <t>EUR</t>
        </is>
      </c>
      <c r="G1156" s="7" t="n">
        <v>489548.026</v>
      </c>
      <c r="H1156" t="inlineStr">
        <is>
          <t>GBP</t>
        </is>
      </c>
      <c r="I1156" s="7" t="n">
        <v>420032.206</v>
      </c>
      <c r="J1156" s="8" t="n">
        <v>46253.41866898148</v>
      </c>
      <c r="K1156" t="inlineStr">
        <is>
          <t>CF260819 01150</t>
        </is>
      </c>
      <c r="L1156" t="inlineStr">
        <is>
          <t>GL.NOSTRO.EUR.BRCC.001</t>
        </is>
      </c>
      <c r="M1156" t="inlineStr">
        <is>
          <t>Zephyr Bank</t>
        </is>
      </c>
      <c r="N1156" t="inlineStr">
        <is>
          <t>BRCCMM</t>
        </is>
      </c>
      <c r="O1156" t="inlineStr">
        <is>
          <t>NEW</t>
        </is>
      </c>
      <c r="Q1156" t="inlineStr">
        <is>
          <t>NETTER</t>
        </is>
      </c>
    </row>
    <row r="1157">
      <c r="A1157" t="inlineStr">
        <is>
          <t>927538182434</t>
        </is>
      </c>
      <c r="B1157" t="inlineStr">
        <is>
          <t>TCC</t>
        </is>
      </c>
      <c r="C1157" t="inlineStr">
        <is>
          <t>BRNK</t>
        </is>
      </c>
      <c r="D1157" s="6" t="n">
        <v>46253</v>
      </c>
      <c r="E1157" t="inlineStr">
        <is>
          <t>CR</t>
        </is>
      </c>
      <c r="F1157" t="inlineStr">
        <is>
          <t>CNY</t>
        </is>
      </c>
      <c r="G1157" s="7" t="n">
        <v>166769841.126</v>
      </c>
      <c r="H1157" t="inlineStr">
        <is>
          <t>GBP</t>
        </is>
      </c>
      <c r="I1157" s="7" t="n">
        <v>18177912.683</v>
      </c>
      <c r="J1157" s="8" t="n">
        <v>46253.47628472222</v>
      </c>
      <c r="K1157" t="inlineStr">
        <is>
          <t>CF260819 01151</t>
        </is>
      </c>
      <c r="L1157" t="inlineStr">
        <is>
          <t>GL.NOSTRO.CNY.BRNK.001</t>
        </is>
      </c>
      <c r="M1157" t="inlineStr">
        <is>
          <t>Elmwood Trust</t>
        </is>
      </c>
      <c r="N1157" t="inlineStr">
        <is>
          <t>BRNKMM</t>
        </is>
      </c>
      <c r="O1157" t="inlineStr">
        <is>
          <t>NEW</t>
        </is>
      </c>
      <c r="P1157" t="inlineStr">
        <is>
          <t>NT26081900658</t>
        </is>
      </c>
      <c r="Q1157" t="inlineStr">
        <is>
          <t>GROSS</t>
        </is>
      </c>
    </row>
    <row r="1158">
      <c r="A1158" t="inlineStr">
        <is>
          <t>468341071172</t>
        </is>
      </c>
      <c r="B1158" t="inlineStr">
        <is>
          <t>TCC</t>
        </is>
      </c>
      <c r="C1158" t="inlineStr">
        <is>
          <t>BRCC</t>
        </is>
      </c>
      <c r="D1158" s="6" t="n">
        <v>46253</v>
      </c>
      <c r="E1158" t="inlineStr">
        <is>
          <t>CR</t>
        </is>
      </c>
      <c r="F1158" t="inlineStr">
        <is>
          <t>EUR</t>
        </is>
      </c>
      <c r="G1158" s="7" t="n">
        <v>11480439.203</v>
      </c>
      <c r="H1158" t="inlineStr">
        <is>
          <t>GBP</t>
        </is>
      </c>
      <c r="I1158" s="7" t="n">
        <v>9850216.835999999</v>
      </c>
      <c r="J1158" s="8" t="n">
        <v>46253.75329861111</v>
      </c>
      <c r="K1158" t="inlineStr">
        <is>
          <t>CF260819 01152</t>
        </is>
      </c>
      <c r="L1158" t="inlineStr">
        <is>
          <t>GL.NOSTRO.EUR.BRCC.005</t>
        </is>
      </c>
      <c r="M1158" t="inlineStr">
        <is>
          <t>Umberton Clearing</t>
        </is>
      </c>
      <c r="N1158" t="inlineStr">
        <is>
          <t>BRCCMM</t>
        </is>
      </c>
      <c r="O1158" t="inlineStr">
        <is>
          <t>NEW</t>
        </is>
      </c>
      <c r="Q1158" t="inlineStr">
        <is>
          <t>NETTER</t>
        </is>
      </c>
    </row>
    <row r="1159">
      <c r="A1159" t="inlineStr">
        <is>
          <t>910703979141</t>
        </is>
      </c>
      <c r="B1159" t="inlineStr">
        <is>
          <t>TCG</t>
        </is>
      </c>
      <c r="C1159" t="inlineStr">
        <is>
          <t>BRCC</t>
        </is>
      </c>
      <c r="D1159" s="6" t="n">
        <v>46253</v>
      </c>
      <c r="E1159" t="inlineStr">
        <is>
          <t>CR</t>
        </is>
      </c>
      <c r="F1159" t="inlineStr">
        <is>
          <t>CHF</t>
        </is>
      </c>
      <c r="G1159" s="7" t="n">
        <v>3770381.412</v>
      </c>
      <c r="H1159" t="inlineStr">
        <is>
          <t>GBP</t>
        </is>
      </c>
      <c r="I1159" s="7" t="n">
        <v>3382032.127</v>
      </c>
      <c r="J1159" s="8" t="n">
        <v>46253.58354166667</v>
      </c>
      <c r="K1159" t="inlineStr">
        <is>
          <t>CF260819 01153</t>
        </is>
      </c>
      <c r="L1159" t="inlineStr">
        <is>
          <t>GL.NOSTRO.CHF.BRCC.008</t>
        </is>
      </c>
      <c r="M1159" t="inlineStr">
        <is>
          <t>Sablewood Settlement Bank</t>
        </is>
      </c>
      <c r="N1159" t="inlineStr">
        <is>
          <t>BRCCTRSY</t>
        </is>
      </c>
      <c r="O1159" t="inlineStr">
        <is>
          <t>NEW</t>
        </is>
      </c>
      <c r="Q1159" t="inlineStr">
        <is>
          <t>GROSS</t>
        </is>
      </c>
    </row>
    <row r="1160">
      <c r="A1160" t="inlineStr">
        <is>
          <t>910703979141</t>
        </is>
      </c>
      <c r="B1160" t="inlineStr">
        <is>
          <t>TCP</t>
        </is>
      </c>
      <c r="C1160" t="inlineStr">
        <is>
          <t>BRCC</t>
        </is>
      </c>
      <c r="D1160" s="6" t="n">
        <v>46253</v>
      </c>
      <c r="E1160" t="inlineStr">
        <is>
          <t>DR</t>
        </is>
      </c>
      <c r="F1160" t="inlineStr">
        <is>
          <t>CHF</t>
        </is>
      </c>
      <c r="G1160" s="7" t="n">
        <v>-5390964.764</v>
      </c>
      <c r="H1160" t="inlineStr">
        <is>
          <t>GBP</t>
        </is>
      </c>
      <c r="I1160" s="7" t="n">
        <v>-4835695.393</v>
      </c>
      <c r="J1160" s="8" t="n">
        <v>46253.42792824074</v>
      </c>
      <c r="K1160" t="inlineStr">
        <is>
          <t>CF260819 01154</t>
        </is>
      </c>
      <c r="L1160" t="inlineStr">
        <is>
          <t>GL.NOSTRO.CHF.BRCC.001</t>
        </is>
      </c>
      <c r="M1160" t="inlineStr">
        <is>
          <t>Umberton Clearing</t>
        </is>
      </c>
      <c r="N1160" t="inlineStr">
        <is>
          <t>BRCCMM</t>
        </is>
      </c>
      <c r="O1160" t="inlineStr">
        <is>
          <t>NEW</t>
        </is>
      </c>
      <c r="Q1160" t="inlineStr">
        <is>
          <t>NETTER</t>
        </is>
      </c>
    </row>
    <row r="1161">
      <c r="A1161" t="inlineStr">
        <is>
          <t>150316825069</t>
        </is>
      </c>
      <c r="B1161" t="inlineStr">
        <is>
          <t>TCG</t>
        </is>
      </c>
      <c r="C1161" t="inlineStr">
        <is>
          <t>BRGX</t>
        </is>
      </c>
      <c r="D1161" s="6" t="n">
        <v>46253</v>
      </c>
      <c r="E1161" t="inlineStr">
        <is>
          <t>DR</t>
        </is>
      </c>
      <c r="F1161" t="inlineStr">
        <is>
          <t>GBP</t>
        </is>
      </c>
      <c r="G1161" s="7" t="n">
        <v>-1460.317</v>
      </c>
      <c r="H1161" t="inlineStr">
        <is>
          <t>GBP</t>
        </is>
      </c>
      <c r="I1161" s="7" t="n">
        <v>-1460.317</v>
      </c>
      <c r="J1161" s="8" t="n">
        <v>46253.70340277778</v>
      </c>
      <c r="K1161" t="inlineStr">
        <is>
          <t>CF260819 01155</t>
        </is>
      </c>
      <c r="L1161" t="inlineStr">
        <is>
          <t>GL.NOSTRO.GBP.BRGX.008</t>
        </is>
      </c>
      <c r="M1161" t="inlineStr">
        <is>
          <t>Nightjar Bank</t>
        </is>
      </c>
      <c r="N1161" t="inlineStr">
        <is>
          <t>BRGX</t>
        </is>
      </c>
      <c r="O1161" t="inlineStr">
        <is>
          <t>AMEND</t>
        </is>
      </c>
      <c r="P1161" t="inlineStr">
        <is>
          <t>NT26081900675</t>
        </is>
      </c>
      <c r="Q1161" t="inlineStr">
        <is>
          <t>INTERNAL</t>
        </is>
      </c>
    </row>
    <row r="1162">
      <c r="A1162" t="inlineStr">
        <is>
          <t>794226063698</t>
        </is>
      </c>
      <c r="B1162" t="inlineStr">
        <is>
          <t>TCP</t>
        </is>
      </c>
      <c r="C1162" t="inlineStr">
        <is>
          <t>BRMD</t>
        </is>
      </c>
      <c r="D1162" s="6" t="n">
        <v>46253</v>
      </c>
      <c r="E1162" t="inlineStr">
        <is>
          <t>CR</t>
        </is>
      </c>
      <c r="F1162" t="inlineStr">
        <is>
          <t>AED</t>
        </is>
      </c>
      <c r="G1162" s="7" t="n">
        <v>28021638.312</v>
      </c>
      <c r="H1162" t="inlineStr">
        <is>
          <t>GBP</t>
        </is>
      </c>
      <c r="I1162" s="7" t="n">
        <v>5968608.96</v>
      </c>
      <c r="J1162" s="8" t="n">
        <v>46253.38893518518</v>
      </c>
      <c r="K1162" t="inlineStr">
        <is>
          <t>CF260819 01156</t>
        </is>
      </c>
      <c r="L1162" t="inlineStr">
        <is>
          <t>GL.NOSTRO.AED.BRMD.005</t>
        </is>
      </c>
      <c r="M1162" t="inlineStr">
        <is>
          <t>Granite Bank</t>
        </is>
      </c>
      <c r="N1162" t="inlineStr">
        <is>
          <t>BRMDTRSY</t>
        </is>
      </c>
      <c r="O1162" t="inlineStr">
        <is>
          <t>NEW</t>
        </is>
      </c>
      <c r="Q1162" t="inlineStr">
        <is>
          <t>INTERNAL</t>
        </is>
      </c>
    </row>
    <row r="1163">
      <c r="A1163" t="inlineStr">
        <is>
          <t>150316825069</t>
        </is>
      </c>
      <c r="B1163" t="inlineStr">
        <is>
          <t>TCG</t>
        </is>
      </c>
      <c r="C1163" t="inlineStr">
        <is>
          <t>BRGX</t>
        </is>
      </c>
      <c r="D1163" s="6" t="n">
        <v>46253</v>
      </c>
      <c r="E1163" t="inlineStr">
        <is>
          <t>DR</t>
        </is>
      </c>
      <c r="F1163" t="inlineStr">
        <is>
          <t>GBP</t>
        </is>
      </c>
      <c r="G1163" s="7" t="n">
        <v>-41202565.736</v>
      </c>
      <c r="H1163" t="inlineStr">
        <is>
          <t>GBP</t>
        </is>
      </c>
      <c r="I1163" s="7" t="n">
        <v>-41202565.736</v>
      </c>
      <c r="J1163" s="8" t="n">
        <v>46253.75408564815</v>
      </c>
      <c r="K1163" t="inlineStr">
        <is>
          <t>CF260819 01157</t>
        </is>
      </c>
      <c r="L1163" t="inlineStr">
        <is>
          <t>GL.NOSTRO.GBP.BRGX.003</t>
        </is>
      </c>
      <c r="M1163" t="inlineStr">
        <is>
          <t>Zephyr Bank</t>
        </is>
      </c>
      <c r="N1163" t="inlineStr">
        <is>
          <t>BRGXTRSY</t>
        </is>
      </c>
      <c r="O1163" t="inlineStr">
        <is>
          <t>NEW</t>
        </is>
      </c>
      <c r="P1163" t="inlineStr">
        <is>
          <t>NT26081900673</t>
        </is>
      </c>
      <c r="Q1163" t="inlineStr">
        <is>
          <t>NETTER</t>
        </is>
      </c>
    </row>
    <row r="1164">
      <c r="A1164" t="inlineStr">
        <is>
          <t>968942362772</t>
        </is>
      </c>
      <c r="B1164" t="inlineStr">
        <is>
          <t>TCP</t>
        </is>
      </c>
      <c r="C1164" t="inlineStr">
        <is>
          <t>BRYG</t>
        </is>
      </c>
      <c r="D1164" s="6" t="n">
        <v>46253</v>
      </c>
      <c r="E1164" t="inlineStr">
        <is>
          <t>CR</t>
        </is>
      </c>
      <c r="F1164" t="inlineStr">
        <is>
          <t>EUR</t>
        </is>
      </c>
      <c r="G1164" s="7" t="n">
        <v>29732.072</v>
      </c>
      <c r="H1164" t="inlineStr">
        <is>
          <t>GBP</t>
        </is>
      </c>
      <c r="I1164" s="7" t="n">
        <v>25510.118</v>
      </c>
      <c r="J1164" s="8" t="n">
        <v>46253.43172453704</v>
      </c>
      <c r="K1164" t="inlineStr">
        <is>
          <t>CF260819 01158</t>
        </is>
      </c>
      <c r="L1164" t="inlineStr">
        <is>
          <t>GL.NOSTRO.EUR.BRYG.008</t>
        </is>
      </c>
      <c r="M1164" t="inlineStr">
        <is>
          <t>Bramble Bank</t>
        </is>
      </c>
      <c r="N1164" t="inlineStr">
        <is>
          <t>BRYG</t>
        </is>
      </c>
      <c r="O1164" t="inlineStr">
        <is>
          <t>NEW</t>
        </is>
      </c>
      <c r="Q1164" t="inlineStr">
        <is>
          <t>GROSS</t>
        </is>
      </c>
    </row>
    <row r="1165">
      <c r="A1165" t="inlineStr">
        <is>
          <t>700726936098</t>
        </is>
      </c>
      <c r="B1165" t="inlineStr">
        <is>
          <t>TCX</t>
        </is>
      </c>
      <c r="C1165" t="inlineStr">
        <is>
          <t>BRMD</t>
        </is>
      </c>
      <c r="D1165" s="6" t="n">
        <v>46253</v>
      </c>
      <c r="E1165" t="inlineStr">
        <is>
          <t>CR</t>
        </is>
      </c>
      <c r="F1165" t="inlineStr">
        <is>
          <t>SAR</t>
        </is>
      </c>
      <c r="G1165" s="7" t="n">
        <v>25786177.033</v>
      </c>
      <c r="H1165" t="inlineStr">
        <is>
          <t>GBP</t>
        </is>
      </c>
      <c r="I1165" s="7" t="n">
        <v>5389311</v>
      </c>
      <c r="J1165" s="8" t="n">
        <v>46253.42048611111</v>
      </c>
      <c r="K1165" t="inlineStr">
        <is>
          <t>CF260819 01159</t>
        </is>
      </c>
      <c r="L1165" t="inlineStr">
        <is>
          <t>GL.NOSTRO.SAR.BRMD.007</t>
        </is>
      </c>
      <c r="M1165" t="inlineStr">
        <is>
          <t>Pinehurst Clearing</t>
        </is>
      </c>
      <c r="N1165" t="inlineStr">
        <is>
          <t>BRMDMM</t>
        </is>
      </c>
      <c r="O1165" t="inlineStr">
        <is>
          <t>NEW</t>
        </is>
      </c>
      <c r="Q1165" t="inlineStr">
        <is>
          <t>NETTER</t>
        </is>
      </c>
    </row>
    <row r="1166">
      <c r="A1166" t="inlineStr">
        <is>
          <t>794226063698</t>
        </is>
      </c>
      <c r="B1166" t="inlineStr">
        <is>
          <t>TCG</t>
        </is>
      </c>
      <c r="C1166" t="inlineStr">
        <is>
          <t>BRMD</t>
        </is>
      </c>
      <c r="D1166" s="6" t="n">
        <v>46253</v>
      </c>
      <c r="E1166" t="inlineStr">
        <is>
          <t>DR</t>
        </is>
      </c>
      <c r="F1166" t="inlineStr">
        <is>
          <t>AED</t>
        </is>
      </c>
      <c r="G1166" s="7" t="n">
        <v>-4311599.043</v>
      </c>
      <c r="H1166" t="inlineStr">
        <is>
          <t>GBP</t>
        </is>
      </c>
      <c r="I1166" s="7" t="n">
        <v>-918370.596</v>
      </c>
      <c r="J1166" s="8" t="n">
        <v>46253.44554398148</v>
      </c>
      <c r="K1166" t="inlineStr">
        <is>
          <t>CF260819 01160</t>
        </is>
      </c>
      <c r="L1166" t="inlineStr">
        <is>
          <t>GL.NOSTRO.AED.BRMD.002</t>
        </is>
      </c>
      <c r="M1166" t="inlineStr">
        <is>
          <t>Yarrow Clearing</t>
        </is>
      </c>
      <c r="N1166" t="inlineStr">
        <is>
          <t>BRMDCASH</t>
        </is>
      </c>
      <c r="O1166" t="inlineStr">
        <is>
          <t>NEW</t>
        </is>
      </c>
      <c r="P1166" t="inlineStr">
        <is>
          <t>NT26081900657</t>
        </is>
      </c>
      <c r="Q1166" t="inlineStr">
        <is>
          <t>GROSS</t>
        </is>
      </c>
    </row>
    <row r="1167">
      <c r="A1167" t="inlineStr">
        <is>
          <t>794226063698</t>
        </is>
      </c>
      <c r="B1167" t="inlineStr">
        <is>
          <t>TCQ</t>
        </is>
      </c>
      <c r="C1167" t="inlineStr">
        <is>
          <t>BRMD</t>
        </is>
      </c>
      <c r="D1167" s="6" t="n">
        <v>46253</v>
      </c>
      <c r="E1167" t="inlineStr">
        <is>
          <t>DR</t>
        </is>
      </c>
      <c r="F1167" t="inlineStr">
        <is>
          <t>AED</t>
        </is>
      </c>
      <c r="G1167" s="7" t="n">
        <v>-450573734.482</v>
      </c>
      <c r="H1167" t="inlineStr">
        <is>
          <t>GBP</t>
        </is>
      </c>
      <c r="I1167" s="7" t="n">
        <v>-95972205.44499999</v>
      </c>
      <c r="J1167" s="8" t="n">
        <v>46253.49994212963</v>
      </c>
      <c r="K1167" t="inlineStr">
        <is>
          <t>CF260819 01161</t>
        </is>
      </c>
      <c r="L1167" t="inlineStr">
        <is>
          <t>GL.NOSTRO.AED.BRMD.008</t>
        </is>
      </c>
      <c r="M1167" t="inlineStr">
        <is>
          <t>Yarrow Commercial Bank</t>
        </is>
      </c>
      <c r="N1167" t="inlineStr">
        <is>
          <t>BRMDCASH</t>
        </is>
      </c>
      <c r="O1167" t="inlineStr">
        <is>
          <t>NEW</t>
        </is>
      </c>
      <c r="P1167" t="inlineStr">
        <is>
          <t>NT26081900660</t>
        </is>
      </c>
      <c r="Q1167" t="inlineStr">
        <is>
          <t>GROSS</t>
        </is>
      </c>
    </row>
    <row r="1168">
      <c r="A1168" t="inlineStr">
        <is>
          <t>968942362772</t>
        </is>
      </c>
      <c r="B1168" t="inlineStr">
        <is>
          <t>TCX</t>
        </is>
      </c>
      <c r="C1168" t="inlineStr">
        <is>
          <t>BRYG</t>
        </is>
      </c>
      <c r="D1168" s="6" t="n">
        <v>46253</v>
      </c>
      <c r="E1168" t="inlineStr">
        <is>
          <t>CR</t>
        </is>
      </c>
      <c r="F1168" t="inlineStr">
        <is>
          <t>EUR</t>
        </is>
      </c>
      <c r="G1168" s="7" t="n">
        <v>232638902.619</v>
      </c>
      <c r="H1168" t="inlineStr">
        <is>
          <t>GBP</t>
        </is>
      </c>
      <c r="I1168" s="7" t="n">
        <v>199604178.447</v>
      </c>
      <c r="J1168" s="8" t="n">
        <v>46253.48893518518</v>
      </c>
      <c r="K1168" t="inlineStr">
        <is>
          <t>CF260819 01162</t>
        </is>
      </c>
      <c r="L1168" t="inlineStr">
        <is>
          <t>GL.NOSTRO.EUR.BRYG.001</t>
        </is>
      </c>
      <c r="M1168" t="inlineStr">
        <is>
          <t>Ironbark Commercial Bank</t>
        </is>
      </c>
      <c r="N1168" t="inlineStr">
        <is>
          <t>BRYGMM</t>
        </is>
      </c>
      <c r="O1168" t="inlineStr">
        <is>
          <t>NEW</t>
        </is>
      </c>
      <c r="Q1168" t="inlineStr">
        <is>
          <t>NETTER</t>
        </is>
      </c>
    </row>
    <row r="1169">
      <c r="A1169" t="inlineStr">
        <is>
          <t>953625291146</t>
        </is>
      </c>
      <c r="B1169" t="inlineStr">
        <is>
          <t>TCC</t>
        </is>
      </c>
      <c r="C1169" t="inlineStr">
        <is>
          <t>BRGL</t>
        </is>
      </c>
      <c r="D1169" s="6" t="n">
        <v>46253</v>
      </c>
      <c r="E1169" t="inlineStr">
        <is>
          <t>CR</t>
        </is>
      </c>
      <c r="F1169" t="inlineStr">
        <is>
          <t>USD</t>
        </is>
      </c>
      <c r="G1169" s="7" t="n">
        <v>5375956531.981</v>
      </c>
      <c r="H1169" t="inlineStr">
        <is>
          <t>GBP</t>
        </is>
      </c>
      <c r="I1169" s="7" t="n">
        <v>4214749921.073</v>
      </c>
      <c r="J1169" s="8" t="n">
        <v>46253.36061342592</v>
      </c>
      <c r="K1169" t="inlineStr">
        <is>
          <t>CF260819 01163</t>
        </is>
      </c>
      <c r="L1169" t="inlineStr">
        <is>
          <t>GL.NOSTRO.USD.BRGL.002</t>
        </is>
      </c>
      <c r="M1169" t="inlineStr">
        <is>
          <t>Cedar Commercial Bank</t>
        </is>
      </c>
      <c r="N1169" t="inlineStr">
        <is>
          <t>BRGLTRSY</t>
        </is>
      </c>
      <c r="O1169" t="inlineStr">
        <is>
          <t>NEW</t>
        </is>
      </c>
      <c r="P1169" t="inlineStr">
        <is>
          <t>NT26081900664</t>
        </is>
      </c>
      <c r="Q1169" t="inlineStr">
        <is>
          <t>NETTER</t>
        </is>
      </c>
    </row>
    <row r="1170">
      <c r="A1170" t="inlineStr">
        <is>
          <t>953625291146</t>
        </is>
      </c>
      <c r="B1170" t="inlineStr">
        <is>
          <t>TCP</t>
        </is>
      </c>
      <c r="C1170" t="inlineStr">
        <is>
          <t>BRGL</t>
        </is>
      </c>
      <c r="D1170" s="6" t="n">
        <v>46253</v>
      </c>
      <c r="E1170" t="inlineStr">
        <is>
          <t>CR</t>
        </is>
      </c>
      <c r="F1170" t="inlineStr">
        <is>
          <t>USD</t>
        </is>
      </c>
      <c r="G1170" s="7" t="n">
        <v>45833193.677</v>
      </c>
      <c r="H1170" t="inlineStr">
        <is>
          <t>GBP</t>
        </is>
      </c>
      <c r="I1170" s="7" t="n">
        <v>35933223.843</v>
      </c>
      <c r="J1170" s="8" t="n">
        <v>46253.24570601852</v>
      </c>
      <c r="K1170" t="inlineStr">
        <is>
          <t>CF260819 01164</t>
        </is>
      </c>
      <c r="L1170" t="inlineStr">
        <is>
          <t>GL.NOSTRO.USD.BRGL.009</t>
        </is>
      </c>
      <c r="M1170" t="inlineStr">
        <is>
          <t>Pinehurst Clearing</t>
        </is>
      </c>
      <c r="N1170" t="inlineStr">
        <is>
          <t>BRGLTRSY</t>
        </is>
      </c>
      <c r="O1170" t="inlineStr">
        <is>
          <t>NEW</t>
        </is>
      </c>
      <c r="P1170" t="inlineStr">
        <is>
          <t>NT26081900679</t>
        </is>
      </c>
      <c r="Q1170" t="inlineStr">
        <is>
          <t>NETTER</t>
        </is>
      </c>
    </row>
    <row r="1171">
      <c r="A1171" t="inlineStr">
        <is>
          <t>359365220160</t>
        </is>
      </c>
      <c r="B1171" t="inlineStr">
        <is>
          <t>TCG</t>
        </is>
      </c>
      <c r="C1171" t="inlineStr">
        <is>
          <t>BRGX</t>
        </is>
      </c>
      <c r="D1171" s="6" t="n">
        <v>46253</v>
      </c>
      <c r="E1171" t="inlineStr">
        <is>
          <t>DR</t>
        </is>
      </c>
      <c r="F1171" t="inlineStr">
        <is>
          <t>EUR</t>
        </is>
      </c>
      <c r="G1171" s="7" t="n">
        <v>-32839.648</v>
      </c>
      <c r="H1171" t="inlineStr">
        <is>
          <t>GBP</t>
        </is>
      </c>
      <c r="I1171" s="7" t="n">
        <v>-28176.418</v>
      </c>
      <c r="J1171" s="8" t="n">
        <v>46253.69655092592</v>
      </c>
      <c r="K1171" t="inlineStr">
        <is>
          <t>CF260819 01165</t>
        </is>
      </c>
      <c r="L1171" t="inlineStr">
        <is>
          <t>GL.NOSTRO.EUR.BRGX.004</t>
        </is>
      </c>
      <c r="M1171" t="inlineStr">
        <is>
          <t>Yarrow Clearing</t>
        </is>
      </c>
      <c r="N1171" t="inlineStr">
        <is>
          <t>BRGXCASH</t>
        </is>
      </c>
      <c r="O1171" t="inlineStr">
        <is>
          <t>NEW</t>
        </is>
      </c>
      <c r="Q1171" t="inlineStr">
        <is>
          <t>NETTER</t>
        </is>
      </c>
    </row>
    <row r="1172">
      <c r="A1172" t="inlineStr">
        <is>
          <t>468341071172</t>
        </is>
      </c>
      <c r="B1172" t="inlineStr">
        <is>
          <t>TCG</t>
        </is>
      </c>
      <c r="C1172" t="inlineStr">
        <is>
          <t>BRCC</t>
        </is>
      </c>
      <c r="D1172" s="6" t="n">
        <v>46253</v>
      </c>
      <c r="E1172" t="inlineStr">
        <is>
          <t>CR</t>
        </is>
      </c>
      <c r="F1172" t="inlineStr">
        <is>
          <t>EUR</t>
        </is>
      </c>
      <c r="G1172" s="7" t="n">
        <v>94487948.51899999</v>
      </c>
      <c r="H1172" t="inlineStr">
        <is>
          <t>GBP</t>
        </is>
      </c>
      <c r="I1172" s="7" t="n">
        <v>81070659.829</v>
      </c>
      <c r="J1172" s="8" t="n">
        <v>46253.2909375</v>
      </c>
      <c r="K1172" t="inlineStr">
        <is>
          <t>CF260819 01166</t>
        </is>
      </c>
      <c r="L1172" t="inlineStr">
        <is>
          <t>GL.NOSTRO.EUR.BRCC.006</t>
        </is>
      </c>
      <c r="M1172" t="inlineStr">
        <is>
          <t>Oriel Trust</t>
        </is>
      </c>
      <c r="N1172" t="inlineStr">
        <is>
          <t>BRCC</t>
        </is>
      </c>
      <c r="O1172" t="inlineStr">
        <is>
          <t>NEW</t>
        </is>
      </c>
      <c r="Q1172" t="inlineStr">
        <is>
          <t>NETTER</t>
        </is>
      </c>
    </row>
    <row r="1173">
      <c r="A1173" t="inlineStr">
        <is>
          <t>824840705580</t>
        </is>
      </c>
      <c r="B1173" t="inlineStr">
        <is>
          <t>TCP</t>
        </is>
      </c>
      <c r="C1173" t="inlineStr">
        <is>
          <t>BRGL</t>
        </is>
      </c>
      <c r="D1173" s="6" t="n">
        <v>46253</v>
      </c>
      <c r="E1173" t="inlineStr">
        <is>
          <t>DR</t>
        </is>
      </c>
      <c r="F1173" t="inlineStr">
        <is>
          <t>EUR</t>
        </is>
      </c>
      <c r="G1173" s="7" t="n">
        <v>-1020931.685</v>
      </c>
      <c r="H1173" t="inlineStr">
        <is>
          <t>GBP</t>
        </is>
      </c>
      <c r="I1173" s="7" t="n">
        <v>-875959.3860000001</v>
      </c>
      <c r="J1173" s="8" t="n">
        <v>46253.32950231482</v>
      </c>
      <c r="K1173" t="inlineStr">
        <is>
          <t>CF260819 01167</t>
        </is>
      </c>
      <c r="L1173" t="inlineStr">
        <is>
          <t>GL.NOSTRO.EUR.BRGL.003</t>
        </is>
      </c>
      <c r="M1173" t="inlineStr">
        <is>
          <t>Yarrow Bank</t>
        </is>
      </c>
      <c r="N1173" t="inlineStr">
        <is>
          <t>BRGLCASH</t>
        </is>
      </c>
      <c r="O1173" t="inlineStr">
        <is>
          <t>NEW</t>
        </is>
      </c>
      <c r="Q1173" t="inlineStr">
        <is>
          <t>GROSS</t>
        </is>
      </c>
    </row>
    <row r="1174">
      <c r="A1174" t="inlineStr">
        <is>
          <t>953625291146</t>
        </is>
      </c>
      <c r="B1174" t="inlineStr">
        <is>
          <t>TCG</t>
        </is>
      </c>
      <c r="C1174" t="inlineStr">
        <is>
          <t>BRGL</t>
        </is>
      </c>
      <c r="D1174" s="6" t="n">
        <v>46253</v>
      </c>
      <c r="E1174" t="inlineStr">
        <is>
          <t>CR</t>
        </is>
      </c>
      <c r="F1174" t="inlineStr">
        <is>
          <t>USD</t>
        </is>
      </c>
      <c r="G1174" s="7" t="n">
        <v>95883816.13</v>
      </c>
      <c r="H1174" t="inlineStr">
        <is>
          <t>GBP</t>
        </is>
      </c>
      <c r="I1174" s="7" t="n">
        <v>75172911.846</v>
      </c>
      <c r="J1174" s="8" t="n">
        <v>46253.49641203704</v>
      </c>
      <c r="K1174" t="inlineStr">
        <is>
          <t>CF260819 01168</t>
        </is>
      </c>
      <c r="L1174" t="inlineStr">
        <is>
          <t>GL.NOSTRO.USD.BRGL.006</t>
        </is>
      </c>
      <c r="M1174" t="inlineStr">
        <is>
          <t>Yarrow Bank</t>
        </is>
      </c>
      <c r="N1174" t="inlineStr">
        <is>
          <t>BRGLMM</t>
        </is>
      </c>
      <c r="O1174" t="inlineStr">
        <is>
          <t>NEW</t>
        </is>
      </c>
      <c r="P1174" t="inlineStr">
        <is>
          <t>NT26081900673</t>
        </is>
      </c>
      <c r="Q1174" t="inlineStr">
        <is>
          <t>NETTER</t>
        </is>
      </c>
    </row>
    <row r="1175">
      <c r="A1175" t="inlineStr">
        <is>
          <t>621381112674</t>
        </is>
      </c>
      <c r="B1175" t="inlineStr">
        <is>
          <t>TCQ</t>
        </is>
      </c>
      <c r="C1175" t="inlineStr">
        <is>
          <t>BRAA</t>
        </is>
      </c>
      <c r="D1175" s="6" t="n">
        <v>46253</v>
      </c>
      <c r="E1175" t="inlineStr">
        <is>
          <t>DR</t>
        </is>
      </c>
      <c r="F1175" t="inlineStr">
        <is>
          <t>PLN</t>
        </is>
      </c>
      <c r="G1175" s="7" t="n">
        <v>-26872252.909</v>
      </c>
      <c r="H1175" t="inlineStr">
        <is>
          <t>GBP</t>
        </is>
      </c>
      <c r="I1175" s="7" t="n">
        <v>-5320706.076</v>
      </c>
      <c r="J1175" s="8" t="n">
        <v>46253.50231481482</v>
      </c>
      <c r="K1175" t="inlineStr">
        <is>
          <t>CF260819 01169</t>
        </is>
      </c>
      <c r="L1175" t="inlineStr">
        <is>
          <t>GL.NOSTRO.PLN.BRAA.004</t>
        </is>
      </c>
      <c r="M1175" t="inlineStr">
        <is>
          <t>Mallow Clearing</t>
        </is>
      </c>
      <c r="N1175" t="inlineStr">
        <is>
          <t>BRAATRSY</t>
        </is>
      </c>
      <c r="O1175" t="inlineStr">
        <is>
          <t>AMEND</t>
        </is>
      </c>
      <c r="Q1175" t="inlineStr">
        <is>
          <t>INTERNAL</t>
        </is>
      </c>
    </row>
    <row r="1176">
      <c r="A1176" t="inlineStr">
        <is>
          <t>132544340094</t>
        </is>
      </c>
      <c r="B1176" t="inlineStr">
        <is>
          <t>TCQ</t>
        </is>
      </c>
      <c r="C1176" t="inlineStr">
        <is>
          <t>BRYG</t>
        </is>
      </c>
      <c r="D1176" s="6" t="n">
        <v>46253</v>
      </c>
      <c r="E1176" t="inlineStr">
        <is>
          <t>CR</t>
        </is>
      </c>
      <c r="F1176" t="inlineStr">
        <is>
          <t>CZK</t>
        </is>
      </c>
      <c r="G1176" s="7" t="n">
        <v>10524444.04</v>
      </c>
      <c r="H1176" t="inlineStr">
        <is>
          <t>GBP</t>
        </is>
      </c>
      <c r="I1176" s="7" t="n">
        <v>356778.653</v>
      </c>
      <c r="J1176" s="8" t="n">
        <v>46253.57065972222</v>
      </c>
      <c r="K1176" t="inlineStr">
        <is>
          <t>CF260819 01170</t>
        </is>
      </c>
      <c r="L1176" t="inlineStr">
        <is>
          <t>GL.NOSTRO.CZK.BRYG.005</t>
        </is>
      </c>
      <c r="M1176" t="inlineStr">
        <is>
          <t>Dunlin Bank</t>
        </is>
      </c>
      <c r="N1176" t="inlineStr">
        <is>
          <t>BRYGTRSY</t>
        </is>
      </c>
      <c r="O1176" t="inlineStr">
        <is>
          <t>AMEND</t>
        </is>
      </c>
      <c r="Q1176" t="inlineStr">
        <is>
          <t>INTERNAL</t>
        </is>
      </c>
    </row>
    <row r="1177">
      <c r="A1177" t="inlineStr">
        <is>
          <t>150316825069</t>
        </is>
      </c>
      <c r="B1177" t="inlineStr">
        <is>
          <t>TCG</t>
        </is>
      </c>
      <c r="C1177" t="inlineStr">
        <is>
          <t>BRGX</t>
        </is>
      </c>
      <c r="D1177" s="6" t="n">
        <v>46253</v>
      </c>
      <c r="E1177" t="inlineStr">
        <is>
          <t>CR</t>
        </is>
      </c>
      <c r="F1177" t="inlineStr">
        <is>
          <t>GBP</t>
        </is>
      </c>
      <c r="G1177" s="7" t="n">
        <v>15993.677</v>
      </c>
      <c r="H1177" t="inlineStr">
        <is>
          <t>GBP</t>
        </is>
      </c>
      <c r="I1177" s="7" t="n">
        <v>15993.677</v>
      </c>
      <c r="J1177" s="8" t="n">
        <v>46253.66149305556</v>
      </c>
      <c r="K1177" t="inlineStr">
        <is>
          <t>CF260819 01171</t>
        </is>
      </c>
      <c r="L1177" t="inlineStr">
        <is>
          <t>GL.NOSTRO.GBP.BRGX.009</t>
        </is>
      </c>
      <c r="M1177" t="inlineStr">
        <is>
          <t>Ironbark Commercial Bank</t>
        </is>
      </c>
      <c r="N1177" t="inlineStr">
        <is>
          <t>BRGX</t>
        </is>
      </c>
      <c r="O1177" t="inlineStr">
        <is>
          <t>NEW</t>
        </is>
      </c>
      <c r="P1177" t="inlineStr">
        <is>
          <t>NT26081900668</t>
        </is>
      </c>
      <c r="Q1177" t="inlineStr">
        <is>
          <t>NETTER</t>
        </is>
      </c>
    </row>
    <row r="1178">
      <c r="A1178" t="inlineStr">
        <is>
          <t>499062838623</t>
        </is>
      </c>
      <c r="B1178" t="inlineStr">
        <is>
          <t>TCQ</t>
        </is>
      </c>
      <c r="C1178" t="inlineStr">
        <is>
          <t>BRBX</t>
        </is>
      </c>
      <c r="D1178" s="6" t="n">
        <v>46253</v>
      </c>
      <c r="E1178" t="inlineStr">
        <is>
          <t>DR</t>
        </is>
      </c>
      <c r="F1178" t="inlineStr">
        <is>
          <t>USD</t>
        </is>
      </c>
      <c r="G1178" s="7" t="n">
        <v>-16700614.562</v>
      </c>
      <c r="H1178" t="inlineStr">
        <is>
          <t>GBP</t>
        </is>
      </c>
      <c r="I1178" s="7" t="n">
        <v>-13093281.817</v>
      </c>
      <c r="J1178" s="8" t="n">
        <v>46253.68668981481</v>
      </c>
      <c r="K1178" t="inlineStr">
        <is>
          <t>CF260819 01172</t>
        </is>
      </c>
      <c r="L1178" t="inlineStr">
        <is>
          <t>GL.NOSTRO.USD.BRBX.005</t>
        </is>
      </c>
      <c r="M1178" t="inlineStr">
        <is>
          <t>Oriel Trust</t>
        </is>
      </c>
      <c r="N1178" t="inlineStr">
        <is>
          <t>BRBX</t>
        </is>
      </c>
      <c r="O1178" t="inlineStr">
        <is>
          <t>NEW</t>
        </is>
      </c>
      <c r="P1178" t="inlineStr">
        <is>
          <t>NT26081900658</t>
        </is>
      </c>
      <c r="Q1178" t="inlineStr">
        <is>
          <t>NETTER</t>
        </is>
      </c>
    </row>
    <row r="1179">
      <c r="A1179" t="inlineStr">
        <is>
          <t>468341071172</t>
        </is>
      </c>
      <c r="B1179" t="inlineStr">
        <is>
          <t>TCP</t>
        </is>
      </c>
      <c r="C1179" t="inlineStr">
        <is>
          <t>BRCC</t>
        </is>
      </c>
      <c r="D1179" s="6" t="n">
        <v>46253</v>
      </c>
      <c r="E1179" t="inlineStr">
        <is>
          <t>CR</t>
        </is>
      </c>
      <c r="F1179" t="inlineStr">
        <is>
          <t>EUR</t>
        </is>
      </c>
      <c r="G1179" s="7" t="n">
        <v>30495681.29</v>
      </c>
      <c r="H1179" t="inlineStr">
        <is>
          <t>GBP</t>
        </is>
      </c>
      <c r="I1179" s="7" t="n">
        <v>26165294.547</v>
      </c>
      <c r="J1179" s="8" t="n">
        <v>46253.33859953703</v>
      </c>
      <c r="K1179" t="inlineStr">
        <is>
          <t>CF260819 01173</t>
        </is>
      </c>
      <c r="L1179" t="inlineStr">
        <is>
          <t>GL.NOSTRO.EUR.BRCC.008</t>
        </is>
      </c>
      <c r="M1179" t="inlineStr">
        <is>
          <t>Harrow Clearing</t>
        </is>
      </c>
      <c r="N1179" t="inlineStr">
        <is>
          <t>BRCCCASH</t>
        </is>
      </c>
      <c r="O1179" t="inlineStr">
        <is>
          <t>NEW</t>
        </is>
      </c>
      <c r="Q1179" t="inlineStr">
        <is>
          <t>GROSS</t>
        </is>
      </c>
    </row>
    <row r="1180">
      <c r="A1180" t="inlineStr">
        <is>
          <t>499062838623</t>
        </is>
      </c>
      <c r="B1180" t="inlineStr">
        <is>
          <t>TCX</t>
        </is>
      </c>
      <c r="C1180" t="inlineStr">
        <is>
          <t>BRBX</t>
        </is>
      </c>
      <c r="D1180" s="6" t="n">
        <v>46253</v>
      </c>
      <c r="E1180" t="inlineStr">
        <is>
          <t>DR</t>
        </is>
      </c>
      <c r="F1180" t="inlineStr">
        <is>
          <t>USD</t>
        </is>
      </c>
      <c r="G1180" s="7" t="n">
        <v>-259093749.766</v>
      </c>
      <c r="H1180" t="inlineStr">
        <is>
          <t>GBP</t>
        </is>
      </c>
      <c r="I1180" s="7" t="n">
        <v>-203129499.817</v>
      </c>
      <c r="J1180" s="8" t="n">
        <v>46253.55001157407</v>
      </c>
      <c r="K1180" t="inlineStr">
        <is>
          <t>CF260819 01174</t>
        </is>
      </c>
      <c r="L1180" t="inlineStr">
        <is>
          <t>GL.NOSTRO.USD.BRBX.006</t>
        </is>
      </c>
      <c r="M1180" t="inlineStr">
        <is>
          <t>Redstart Commercial Bank</t>
        </is>
      </c>
      <c r="N1180" t="inlineStr">
        <is>
          <t>BRBXMM</t>
        </is>
      </c>
      <c r="O1180" t="inlineStr">
        <is>
          <t>NEW</t>
        </is>
      </c>
      <c r="Q1180" t="inlineStr">
        <is>
          <t>INTERNAL</t>
        </is>
      </c>
    </row>
    <row r="1181">
      <c r="A1181" t="inlineStr">
        <is>
          <t>726928343448</t>
        </is>
      </c>
      <c r="B1181" t="inlineStr">
        <is>
          <t>TCP</t>
        </is>
      </c>
      <c r="C1181" t="inlineStr">
        <is>
          <t>BRGX</t>
        </is>
      </c>
      <c r="D1181" s="6" t="n">
        <v>46253</v>
      </c>
      <c r="E1181" t="inlineStr">
        <is>
          <t>CR</t>
        </is>
      </c>
      <c r="F1181" t="inlineStr">
        <is>
          <t>EUR</t>
        </is>
      </c>
      <c r="G1181" s="7" t="n">
        <v>22354222.061</v>
      </c>
      <c r="H1181" t="inlineStr">
        <is>
          <t>GBP</t>
        </is>
      </c>
      <c r="I1181" s="7" t="n">
        <v>19179922.528</v>
      </c>
      <c r="J1181" s="8" t="n">
        <v>46253.36150462963</v>
      </c>
      <c r="K1181" t="inlineStr">
        <is>
          <t>CF260819 01175</t>
        </is>
      </c>
      <c r="L1181" t="inlineStr">
        <is>
          <t>GL.NOSTRO.EUR.BRGX.008</t>
        </is>
      </c>
      <c r="M1181" t="inlineStr">
        <is>
          <t>Oriel Trust</t>
        </is>
      </c>
      <c r="N1181" t="inlineStr">
        <is>
          <t>BRGXMM</t>
        </is>
      </c>
      <c r="O1181" t="inlineStr">
        <is>
          <t>CANCEL</t>
        </is>
      </c>
      <c r="Q1181" t="inlineStr">
        <is>
          <t>NETTER</t>
        </is>
      </c>
    </row>
    <row r="1182">
      <c r="A1182" t="inlineStr">
        <is>
          <t>824840705580</t>
        </is>
      </c>
      <c r="B1182" t="inlineStr">
        <is>
          <t>TCG</t>
        </is>
      </c>
      <c r="C1182" t="inlineStr">
        <is>
          <t>BRGL</t>
        </is>
      </c>
      <c r="D1182" s="6" t="n">
        <v>46253</v>
      </c>
      <c r="E1182" t="inlineStr">
        <is>
          <t>CR</t>
        </is>
      </c>
      <c r="F1182" t="inlineStr">
        <is>
          <t>EUR</t>
        </is>
      </c>
      <c r="G1182" s="7" t="n">
        <v>269773092.973</v>
      </c>
      <c r="H1182" t="inlineStr">
        <is>
          <t>GBP</t>
        </is>
      </c>
      <c r="I1182" s="7" t="n">
        <v>231465313.771</v>
      </c>
      <c r="J1182" s="8" t="n">
        <v>46253.63751157407</v>
      </c>
      <c r="K1182" t="inlineStr">
        <is>
          <t>CF260819 01176</t>
        </is>
      </c>
      <c r="L1182" t="inlineStr">
        <is>
          <t>GL.NOSTRO.EUR.BRGL.003</t>
        </is>
      </c>
      <c r="M1182" t="inlineStr">
        <is>
          <t>Zephyr Commercial Bank</t>
        </is>
      </c>
      <c r="N1182" t="inlineStr">
        <is>
          <t>BRGLCASH</t>
        </is>
      </c>
      <c r="O1182" t="inlineStr">
        <is>
          <t>NEW</t>
        </is>
      </c>
      <c r="P1182" t="inlineStr">
        <is>
          <t>NT26081900675</t>
        </is>
      </c>
      <c r="Q1182" t="inlineStr">
        <is>
          <t>NETTER</t>
        </is>
      </c>
    </row>
    <row r="1183">
      <c r="A1183" t="inlineStr">
        <is>
          <t>927538182434</t>
        </is>
      </c>
      <c r="B1183" t="inlineStr">
        <is>
          <t>TCC</t>
        </is>
      </c>
      <c r="C1183" t="inlineStr">
        <is>
          <t>BRNK</t>
        </is>
      </c>
      <c r="D1183" s="6" t="n">
        <v>46253</v>
      </c>
      <c r="E1183" t="inlineStr">
        <is>
          <t>DR</t>
        </is>
      </c>
      <c r="F1183" t="inlineStr">
        <is>
          <t>CNY</t>
        </is>
      </c>
      <c r="G1183" s="7" t="n">
        <v>-51116034.661</v>
      </c>
      <c r="H1183" t="inlineStr">
        <is>
          <t>GBP</t>
        </is>
      </c>
      <c r="I1183" s="7" t="n">
        <v>-5571647.778</v>
      </c>
      <c r="J1183" s="8" t="n">
        <v>46253.43497685185</v>
      </c>
      <c r="K1183" t="inlineStr">
        <is>
          <t>CF260819 01177</t>
        </is>
      </c>
      <c r="L1183" t="inlineStr">
        <is>
          <t>GL.NOSTRO.CNY.BRNK.001</t>
        </is>
      </c>
      <c r="M1183" t="inlineStr">
        <is>
          <t>Sablewood Commercial Bank</t>
        </is>
      </c>
      <c r="N1183" t="inlineStr">
        <is>
          <t>BRNKMM</t>
        </is>
      </c>
      <c r="O1183" t="inlineStr">
        <is>
          <t>NEW</t>
        </is>
      </c>
      <c r="P1183" t="inlineStr">
        <is>
          <t>NT26081900682</t>
        </is>
      </c>
      <c r="Q1183" t="inlineStr">
        <is>
          <t>NETTER</t>
        </is>
      </c>
    </row>
    <row r="1184">
      <c r="A1184" t="inlineStr">
        <is>
          <t>968942362772</t>
        </is>
      </c>
      <c r="B1184" t="inlineStr">
        <is>
          <t>TCP</t>
        </is>
      </c>
      <c r="C1184" t="inlineStr">
        <is>
          <t>BRYG</t>
        </is>
      </c>
      <c r="D1184" s="6" t="n">
        <v>46253</v>
      </c>
      <c r="E1184" t="inlineStr">
        <is>
          <t>DR</t>
        </is>
      </c>
      <c r="F1184" t="inlineStr">
        <is>
          <t>EUR</t>
        </is>
      </c>
      <c r="G1184" s="7" t="n">
        <v>-12662548.006</v>
      </c>
      <c r="H1184" t="inlineStr">
        <is>
          <t>GBP</t>
        </is>
      </c>
      <c r="I1184" s="7" t="n">
        <v>-10864466.189</v>
      </c>
      <c r="J1184" s="8" t="n">
        <v>46253.64607638889</v>
      </c>
      <c r="K1184" t="inlineStr">
        <is>
          <t>CF260819 01178</t>
        </is>
      </c>
      <c r="L1184" t="inlineStr">
        <is>
          <t>GL.NOSTRO.EUR.BRYG.002</t>
        </is>
      </c>
      <c r="M1184" t="inlineStr">
        <is>
          <t>Sablewood Settlement Bank</t>
        </is>
      </c>
      <c r="N1184" t="inlineStr">
        <is>
          <t>BRYGMM</t>
        </is>
      </c>
      <c r="O1184" t="inlineStr">
        <is>
          <t>NEW</t>
        </is>
      </c>
      <c r="P1184" t="inlineStr">
        <is>
          <t>NT26081900693</t>
        </is>
      </c>
      <c r="Q1184" t="inlineStr">
        <is>
          <t>INTERNAL</t>
        </is>
      </c>
    </row>
    <row r="1185">
      <c r="A1185" t="inlineStr">
        <is>
          <t>468341071172</t>
        </is>
      </c>
      <c r="B1185" t="inlineStr">
        <is>
          <t>TCG</t>
        </is>
      </c>
      <c r="C1185" t="inlineStr">
        <is>
          <t>BRCC</t>
        </is>
      </c>
      <c r="D1185" s="6" t="n">
        <v>46253</v>
      </c>
      <c r="E1185" t="inlineStr">
        <is>
          <t>DR</t>
        </is>
      </c>
      <c r="F1185" t="inlineStr">
        <is>
          <t>EUR</t>
        </is>
      </c>
      <c r="G1185" s="7" t="n">
        <v>-5316.409</v>
      </c>
      <c r="H1185" t="inlineStr">
        <is>
          <t>GBP</t>
        </is>
      </c>
      <c r="I1185" s="7" t="n">
        <v>-4561.479</v>
      </c>
      <c r="J1185" s="8" t="n">
        <v>46253.31743055556</v>
      </c>
      <c r="K1185" t="inlineStr">
        <is>
          <t>CF260819 01179</t>
        </is>
      </c>
      <c r="L1185" t="inlineStr">
        <is>
          <t>GL.NOSTRO.EUR.BRCC.004</t>
        </is>
      </c>
      <c r="M1185" t="inlineStr">
        <is>
          <t>Pinehurst Settlement Bank</t>
        </is>
      </c>
      <c r="N1185" t="inlineStr">
        <is>
          <t>BRCCMM</t>
        </is>
      </c>
      <c r="O1185" t="inlineStr">
        <is>
          <t>NEW</t>
        </is>
      </c>
      <c r="Q1185" t="inlineStr">
        <is>
          <t>INTERNAL</t>
        </is>
      </c>
    </row>
    <row r="1186">
      <c r="A1186" t="inlineStr">
        <is>
          <t>898317028833</t>
        </is>
      </c>
      <c r="B1186" t="inlineStr">
        <is>
          <t>TCX</t>
        </is>
      </c>
      <c r="C1186" t="inlineStr">
        <is>
          <t>BRAA</t>
        </is>
      </c>
      <c r="D1186" s="6" t="n">
        <v>46253</v>
      </c>
      <c r="E1186" t="inlineStr">
        <is>
          <t>DR</t>
        </is>
      </c>
      <c r="F1186" t="inlineStr">
        <is>
          <t>GBP</t>
        </is>
      </c>
      <c r="G1186" s="7" t="n">
        <v>-956485660.443</v>
      </c>
      <c r="H1186" t="inlineStr">
        <is>
          <t>GBP</t>
        </is>
      </c>
      <c r="I1186" s="7" t="n">
        <v>-956485660.443</v>
      </c>
      <c r="J1186" s="8" t="n">
        <v>46253.62777777778</v>
      </c>
      <c r="K1186" t="inlineStr">
        <is>
          <t>CF260819 01180</t>
        </is>
      </c>
      <c r="L1186" t="inlineStr">
        <is>
          <t>GL.NOSTRO.GBP.BRAA.002</t>
        </is>
      </c>
      <c r="M1186" t="inlineStr">
        <is>
          <t>Nightjar Trust</t>
        </is>
      </c>
      <c r="N1186" t="inlineStr">
        <is>
          <t>BRAAMM</t>
        </is>
      </c>
      <c r="O1186" t="inlineStr">
        <is>
          <t>NEW</t>
        </is>
      </c>
      <c r="Q1186" t="inlineStr">
        <is>
          <t>GROSS</t>
        </is>
      </c>
    </row>
    <row r="1187">
      <c r="A1187" t="inlineStr">
        <is>
          <t>968942362772</t>
        </is>
      </c>
      <c r="B1187" t="inlineStr">
        <is>
          <t>TCQ</t>
        </is>
      </c>
      <c r="C1187" t="inlineStr">
        <is>
          <t>BRYG</t>
        </is>
      </c>
      <c r="D1187" s="6" t="n">
        <v>46253</v>
      </c>
      <c r="E1187" t="inlineStr">
        <is>
          <t>DR</t>
        </is>
      </c>
      <c r="F1187" t="inlineStr">
        <is>
          <t>EUR</t>
        </is>
      </c>
      <c r="G1187" s="7" t="n">
        <v>-15332026.836</v>
      </c>
      <c r="H1187" t="inlineStr">
        <is>
          <t>GBP</t>
        </is>
      </c>
      <c r="I1187" s="7" t="n">
        <v>-13154879.025</v>
      </c>
      <c r="J1187" s="8" t="n">
        <v>46253.69484953704</v>
      </c>
      <c r="K1187" t="inlineStr">
        <is>
          <t>CF260819 01181</t>
        </is>
      </c>
      <c r="L1187" t="inlineStr">
        <is>
          <t>GL.NOSTRO.EUR.BRYG.001</t>
        </is>
      </c>
      <c r="M1187" t="inlineStr">
        <is>
          <t>Elmwood Settlement Bank</t>
        </is>
      </c>
      <c r="N1187" t="inlineStr">
        <is>
          <t>BRYG</t>
        </is>
      </c>
      <c r="O1187" t="inlineStr">
        <is>
          <t>NEW</t>
        </is>
      </c>
      <c r="P1187" t="inlineStr">
        <is>
          <t>NT26081900678</t>
        </is>
      </c>
      <c r="Q1187" t="inlineStr">
        <is>
          <t>INTERNAL</t>
        </is>
      </c>
    </row>
    <row r="1188">
      <c r="A1188" t="inlineStr">
        <is>
          <t>171857983160</t>
        </is>
      </c>
      <c r="B1188" t="inlineStr">
        <is>
          <t>TCX</t>
        </is>
      </c>
      <c r="C1188" t="inlineStr">
        <is>
          <t>BRBX</t>
        </is>
      </c>
      <c r="D1188" s="6" t="n">
        <v>46253</v>
      </c>
      <c r="E1188" t="inlineStr">
        <is>
          <t>CR</t>
        </is>
      </c>
      <c r="F1188" t="inlineStr">
        <is>
          <t>AUD</t>
        </is>
      </c>
      <c r="G1188" s="7" t="n">
        <v>272804952.088</v>
      </c>
      <c r="H1188" t="inlineStr">
        <is>
          <t>GBP</t>
        </is>
      </c>
      <c r="I1188" s="7" t="n">
        <v>139948940.421</v>
      </c>
      <c r="J1188" s="8" t="n">
        <v>46253.49414351852</v>
      </c>
      <c r="K1188" t="inlineStr">
        <is>
          <t>CF260819 01182</t>
        </is>
      </c>
      <c r="L1188" t="inlineStr">
        <is>
          <t>GL.NOSTRO.AUD.BRBX.005</t>
        </is>
      </c>
      <c r="M1188" t="inlineStr">
        <is>
          <t>Umberton Clearing</t>
        </is>
      </c>
      <c r="N1188" t="inlineStr">
        <is>
          <t>BRBXTRSY</t>
        </is>
      </c>
      <c r="O1188" t="inlineStr">
        <is>
          <t>NEW</t>
        </is>
      </c>
      <c r="Q1188" t="inlineStr">
        <is>
          <t>NETTER</t>
        </is>
      </c>
    </row>
    <row r="1189">
      <c r="A1189" t="inlineStr">
        <is>
          <t>150316825069</t>
        </is>
      </c>
      <c r="B1189" t="inlineStr">
        <is>
          <t>TCC</t>
        </is>
      </c>
      <c r="C1189" t="inlineStr">
        <is>
          <t>BRGX</t>
        </is>
      </c>
      <c r="D1189" s="6" t="n">
        <v>46253</v>
      </c>
      <c r="E1189" t="inlineStr">
        <is>
          <t>CR</t>
        </is>
      </c>
      <c r="F1189" t="inlineStr">
        <is>
          <t>GBP</t>
        </is>
      </c>
      <c r="G1189" s="7" t="n">
        <v>183024.18</v>
      </c>
      <c r="H1189" t="inlineStr">
        <is>
          <t>GBP</t>
        </is>
      </c>
      <c r="I1189" s="7" t="n">
        <v>183024.18</v>
      </c>
      <c r="J1189" s="8" t="n">
        <v>46253.79045138889</v>
      </c>
      <c r="K1189" t="inlineStr">
        <is>
          <t>CF260819 01183</t>
        </is>
      </c>
      <c r="L1189" t="inlineStr">
        <is>
          <t>GL.NOSTRO.GBP.BRGX.008</t>
        </is>
      </c>
      <c r="M1189" t="inlineStr">
        <is>
          <t>Yarrow Bank</t>
        </is>
      </c>
      <c r="N1189" t="inlineStr">
        <is>
          <t>BRGXCASH</t>
        </is>
      </c>
      <c r="O1189" t="inlineStr">
        <is>
          <t>NEW</t>
        </is>
      </c>
      <c r="Q1189" t="inlineStr">
        <is>
          <t>INTERNAL</t>
        </is>
      </c>
    </row>
    <row r="1190">
      <c r="A1190" t="inlineStr">
        <is>
          <t>150316825069</t>
        </is>
      </c>
      <c r="B1190" t="inlineStr">
        <is>
          <t>TCX</t>
        </is>
      </c>
      <c r="C1190" t="inlineStr">
        <is>
          <t>BRGX</t>
        </is>
      </c>
      <c r="D1190" s="6" t="n">
        <v>46253</v>
      </c>
      <c r="E1190" t="inlineStr">
        <is>
          <t>CR</t>
        </is>
      </c>
      <c r="F1190" t="inlineStr">
        <is>
          <t>GBP</t>
        </is>
      </c>
      <c r="G1190" s="7" t="n">
        <v>48901132.148</v>
      </c>
      <c r="H1190" t="inlineStr">
        <is>
          <t>GBP</t>
        </is>
      </c>
      <c r="I1190" s="7" t="n">
        <v>48901132.148</v>
      </c>
      <c r="J1190" s="8" t="n">
        <v>46253.37615740741</v>
      </c>
      <c r="K1190" t="inlineStr">
        <is>
          <t>CF260819 01184</t>
        </is>
      </c>
      <c r="L1190" t="inlineStr">
        <is>
          <t>GL.NOSTRO.GBP.BRGX.002</t>
        </is>
      </c>
      <c r="M1190" t="inlineStr">
        <is>
          <t>Zephyr Commercial Bank</t>
        </is>
      </c>
      <c r="N1190" t="inlineStr">
        <is>
          <t>BRGXMM</t>
        </is>
      </c>
      <c r="O1190" t="inlineStr">
        <is>
          <t>NEW</t>
        </is>
      </c>
      <c r="P1190" t="inlineStr">
        <is>
          <t>NT26081900688</t>
        </is>
      </c>
      <c r="Q1190" t="inlineStr">
        <is>
          <t>NETTER</t>
        </is>
      </c>
    </row>
    <row r="1191">
      <c r="A1191" t="inlineStr">
        <is>
          <t>953625291146</t>
        </is>
      </c>
      <c r="B1191" t="inlineStr">
        <is>
          <t>TCP</t>
        </is>
      </c>
      <c r="C1191" t="inlineStr">
        <is>
          <t>BRGL</t>
        </is>
      </c>
      <c r="D1191" s="6" t="n">
        <v>46253</v>
      </c>
      <c r="E1191" t="inlineStr">
        <is>
          <t>CR</t>
        </is>
      </c>
      <c r="F1191" t="inlineStr">
        <is>
          <t>USD</t>
        </is>
      </c>
      <c r="G1191" s="7" t="n">
        <v>400189386.38</v>
      </c>
      <c r="H1191" t="inlineStr">
        <is>
          <t>GBP</t>
        </is>
      </c>
      <c r="I1191" s="7" t="n">
        <v>313748478.922</v>
      </c>
      <c r="J1191" s="8" t="n">
        <v>46253.84325231481</v>
      </c>
      <c r="K1191" t="inlineStr">
        <is>
          <t>CF260819 01185</t>
        </is>
      </c>
      <c r="L1191" t="inlineStr">
        <is>
          <t>GL.NOSTRO.USD.BRGL.001</t>
        </is>
      </c>
      <c r="M1191" t="inlineStr">
        <is>
          <t>Elmwood Clearing</t>
        </is>
      </c>
      <c r="N1191" t="inlineStr">
        <is>
          <t>BRGLTRSY</t>
        </is>
      </c>
      <c r="O1191" t="inlineStr">
        <is>
          <t>NEW</t>
        </is>
      </c>
      <c r="P1191" t="inlineStr">
        <is>
          <t>NT26081900689</t>
        </is>
      </c>
      <c r="Q1191" t="inlineStr">
        <is>
          <t>NETTER</t>
        </is>
      </c>
    </row>
    <row r="1192">
      <c r="A1192" t="inlineStr">
        <is>
          <t>794226063698</t>
        </is>
      </c>
      <c r="B1192" t="inlineStr">
        <is>
          <t>TCP</t>
        </is>
      </c>
      <c r="C1192" t="inlineStr">
        <is>
          <t>BRMD</t>
        </is>
      </c>
      <c r="D1192" s="6" t="n">
        <v>46253</v>
      </c>
      <c r="E1192" t="inlineStr">
        <is>
          <t>CR</t>
        </is>
      </c>
      <c r="F1192" t="inlineStr">
        <is>
          <t>AED</t>
        </is>
      </c>
      <c r="G1192" s="7" t="n">
        <v>2386009.229</v>
      </c>
      <c r="H1192" t="inlineStr">
        <is>
          <t>GBP</t>
        </is>
      </c>
      <c r="I1192" s="7" t="n">
        <v>508219.966</v>
      </c>
      <c r="J1192" s="8" t="n">
        <v>46253.51721064815</v>
      </c>
      <c r="K1192" t="inlineStr">
        <is>
          <t>CF260819 01186</t>
        </is>
      </c>
      <c r="L1192" t="inlineStr">
        <is>
          <t>GL.NOSTRO.AED.BRMD.002</t>
        </is>
      </c>
      <c r="M1192" t="inlineStr">
        <is>
          <t>Elmwood Clearing</t>
        </is>
      </c>
      <c r="N1192" t="inlineStr">
        <is>
          <t>BRMD</t>
        </is>
      </c>
      <c r="O1192" t="inlineStr">
        <is>
          <t>AMEND</t>
        </is>
      </c>
      <c r="Q1192" t="inlineStr">
        <is>
          <t>GROSS</t>
        </is>
      </c>
    </row>
    <row r="1193">
      <c r="A1193" t="inlineStr">
        <is>
          <t>150316825069</t>
        </is>
      </c>
      <c r="B1193" t="inlineStr">
        <is>
          <t>TCQ</t>
        </is>
      </c>
      <c r="C1193" t="inlineStr">
        <is>
          <t>BRGX</t>
        </is>
      </c>
      <c r="D1193" s="6" t="n">
        <v>46253</v>
      </c>
      <c r="E1193" t="inlineStr">
        <is>
          <t>DR</t>
        </is>
      </c>
      <c r="F1193" t="inlineStr">
        <is>
          <t>GBP</t>
        </is>
      </c>
      <c r="G1193" s="7" t="n">
        <v>-11294259.512</v>
      </c>
      <c r="H1193" t="inlineStr">
        <is>
          <t>GBP</t>
        </is>
      </c>
      <c r="I1193" s="7" t="n">
        <v>-11294259.512</v>
      </c>
      <c r="J1193" s="8" t="n">
        <v>46253.43694444445</v>
      </c>
      <c r="K1193" t="inlineStr">
        <is>
          <t>CF260819 01187</t>
        </is>
      </c>
      <c r="L1193" t="inlineStr">
        <is>
          <t>GL.NOSTRO.GBP.BRGX.008</t>
        </is>
      </c>
      <c r="M1193" t="inlineStr">
        <is>
          <t>Vetchling Bank</t>
        </is>
      </c>
      <c r="N1193" t="inlineStr">
        <is>
          <t>BRGXTRSY</t>
        </is>
      </c>
      <c r="O1193" t="inlineStr">
        <is>
          <t>NEW</t>
        </is>
      </c>
      <c r="Q1193" t="inlineStr">
        <is>
          <t>GROSS</t>
        </is>
      </c>
    </row>
    <row r="1194">
      <c r="A1194" t="inlineStr">
        <is>
          <t>794226063698</t>
        </is>
      </c>
      <c r="B1194" t="inlineStr">
        <is>
          <t>TCP</t>
        </is>
      </c>
      <c r="C1194" t="inlineStr">
        <is>
          <t>BRMD</t>
        </is>
      </c>
      <c r="D1194" s="6" t="n">
        <v>46253</v>
      </c>
      <c r="E1194" t="inlineStr">
        <is>
          <t>DR</t>
        </is>
      </c>
      <c r="F1194" t="inlineStr">
        <is>
          <t>AED</t>
        </is>
      </c>
      <c r="G1194" s="7" t="n">
        <v>-239295.837</v>
      </c>
      <c r="H1194" t="inlineStr">
        <is>
          <t>GBP</t>
        </is>
      </c>
      <c r="I1194" s="7" t="n">
        <v>-50970.013</v>
      </c>
      <c r="J1194" s="8" t="n">
        <v>46253.38311342592</v>
      </c>
      <c r="K1194" t="inlineStr">
        <is>
          <t>CF260819 01188</t>
        </is>
      </c>
      <c r="L1194" t="inlineStr">
        <is>
          <t>GL.NOSTRO.AED.BRMD.007</t>
        </is>
      </c>
      <c r="M1194" t="inlineStr">
        <is>
          <t>Nightjar Trust</t>
        </is>
      </c>
      <c r="N1194" t="inlineStr">
        <is>
          <t>BRMDMM</t>
        </is>
      </c>
      <c r="O1194" t="inlineStr">
        <is>
          <t>NEW</t>
        </is>
      </c>
      <c r="Q1194" t="inlineStr">
        <is>
          <t>GROSS</t>
        </is>
      </c>
    </row>
    <row r="1195">
      <c r="A1195" t="inlineStr">
        <is>
          <t>359365220160</t>
        </is>
      </c>
      <c r="B1195" t="inlineStr">
        <is>
          <t>TCQ</t>
        </is>
      </c>
      <c r="C1195" t="inlineStr">
        <is>
          <t>BRGX</t>
        </is>
      </c>
      <c r="D1195" s="6" t="n">
        <v>46253</v>
      </c>
      <c r="E1195" t="inlineStr">
        <is>
          <t>CR</t>
        </is>
      </c>
      <c r="F1195" t="inlineStr">
        <is>
          <t>EUR</t>
        </is>
      </c>
      <c r="G1195" s="7" t="n">
        <v>976225.166</v>
      </c>
      <c r="H1195" t="inlineStr">
        <is>
          <t>GBP</t>
        </is>
      </c>
      <c r="I1195" s="7" t="n">
        <v>837601.192</v>
      </c>
      <c r="J1195" s="8" t="n">
        <v>46253.63005787037</v>
      </c>
      <c r="K1195" t="inlineStr">
        <is>
          <t>CF260819 01189</t>
        </is>
      </c>
      <c r="L1195" t="inlineStr">
        <is>
          <t>GL.NOSTRO.EUR.BRGX.009</t>
        </is>
      </c>
      <c r="M1195" t="inlineStr">
        <is>
          <t>Mallow Commercial Bank</t>
        </is>
      </c>
      <c r="N1195" t="inlineStr">
        <is>
          <t>BRGXTRSY</t>
        </is>
      </c>
      <c r="O1195" t="inlineStr">
        <is>
          <t>NEW</t>
        </is>
      </c>
      <c r="Q1195" t="inlineStr">
        <is>
          <t>NETTER</t>
        </is>
      </c>
    </row>
    <row r="1196">
      <c r="A1196" t="inlineStr">
        <is>
          <t>468341071172</t>
        </is>
      </c>
      <c r="B1196" t="inlineStr">
        <is>
          <t>TCC</t>
        </is>
      </c>
      <c r="C1196" t="inlineStr">
        <is>
          <t>BRCC</t>
        </is>
      </c>
      <c r="D1196" s="6" t="n">
        <v>46253</v>
      </c>
      <c r="E1196" t="inlineStr">
        <is>
          <t>DR</t>
        </is>
      </c>
      <c r="F1196" t="inlineStr">
        <is>
          <t>EUR</t>
        </is>
      </c>
      <c r="G1196" s="7" t="n">
        <v>-7497084.703</v>
      </c>
      <c r="H1196" t="inlineStr">
        <is>
          <t>GBP</t>
        </is>
      </c>
      <c r="I1196" s="7" t="n">
        <v>-6432498.675</v>
      </c>
      <c r="J1196" s="8" t="n">
        <v>46253.60729166667</v>
      </c>
      <c r="K1196" t="inlineStr">
        <is>
          <t>CF260819 01190</t>
        </is>
      </c>
      <c r="L1196" t="inlineStr">
        <is>
          <t>GL.NOSTRO.EUR.BRCC.003</t>
        </is>
      </c>
      <c r="M1196" t="inlineStr">
        <is>
          <t>Juniper Bank</t>
        </is>
      </c>
      <c r="N1196" t="inlineStr">
        <is>
          <t>BRCCTRSY</t>
        </is>
      </c>
      <c r="O1196" t="inlineStr">
        <is>
          <t>NEW</t>
        </is>
      </c>
      <c r="Q1196" t="inlineStr">
        <is>
          <t>GROSS</t>
        </is>
      </c>
    </row>
    <row r="1197">
      <c r="A1197" t="inlineStr">
        <is>
          <t>499062838623</t>
        </is>
      </c>
      <c r="B1197" t="inlineStr">
        <is>
          <t>TCQ</t>
        </is>
      </c>
      <c r="C1197" t="inlineStr">
        <is>
          <t>BRBX</t>
        </is>
      </c>
      <c r="D1197" s="6" t="n">
        <v>46253</v>
      </c>
      <c r="E1197" t="inlineStr">
        <is>
          <t>CR</t>
        </is>
      </c>
      <c r="F1197" t="inlineStr">
        <is>
          <t>USD</t>
        </is>
      </c>
      <c r="G1197" s="7" t="n">
        <v>11175.672</v>
      </c>
      <c r="H1197" t="inlineStr">
        <is>
          <t>GBP</t>
        </is>
      </c>
      <c r="I1197" s="7" t="n">
        <v>8761.727000000001</v>
      </c>
      <c r="J1197" s="8" t="n">
        <v>46253.44079861111</v>
      </c>
      <c r="K1197" t="inlineStr">
        <is>
          <t>CF260819 01191</t>
        </is>
      </c>
      <c r="L1197" t="inlineStr">
        <is>
          <t>GL.NOSTRO.USD.BRBX.008</t>
        </is>
      </c>
      <c r="M1197" t="inlineStr">
        <is>
          <t>Zephyr Commercial Bank</t>
        </is>
      </c>
      <c r="N1197" t="inlineStr">
        <is>
          <t>BRBXCASH</t>
        </is>
      </c>
      <c r="O1197" t="inlineStr">
        <is>
          <t>NEW</t>
        </is>
      </c>
      <c r="Q1197" t="inlineStr">
        <is>
          <t>NETTER</t>
        </is>
      </c>
    </row>
    <row r="1198">
      <c r="A1198" t="inlineStr">
        <is>
          <t>468341071172</t>
        </is>
      </c>
      <c r="B1198" t="inlineStr">
        <is>
          <t>TCC</t>
        </is>
      </c>
      <c r="C1198" t="inlineStr">
        <is>
          <t>BRCC</t>
        </is>
      </c>
      <c r="D1198" s="6" t="n">
        <v>46253</v>
      </c>
      <c r="E1198" t="inlineStr">
        <is>
          <t>DR</t>
        </is>
      </c>
      <c r="F1198" t="inlineStr">
        <is>
          <t>EUR</t>
        </is>
      </c>
      <c r="G1198" s="7" t="n">
        <v>-621000.187</v>
      </c>
      <c r="H1198" t="inlineStr">
        <is>
          <t>GBP</t>
        </is>
      </c>
      <c r="I1198" s="7" t="n">
        <v>-532818.16</v>
      </c>
      <c r="J1198" s="8" t="n">
        <v>46253.41011574074</v>
      </c>
      <c r="K1198" t="inlineStr">
        <is>
          <t>CF260819 01192</t>
        </is>
      </c>
      <c r="L1198" t="inlineStr">
        <is>
          <t>GL.NOSTRO.EUR.BRCC.005</t>
        </is>
      </c>
      <c r="M1198" t="inlineStr">
        <is>
          <t>Pinehurst Bank</t>
        </is>
      </c>
      <c r="N1198" t="inlineStr">
        <is>
          <t>BRCCMM</t>
        </is>
      </c>
      <c r="O1198" t="inlineStr">
        <is>
          <t>NEW</t>
        </is>
      </c>
      <c r="P1198" t="inlineStr">
        <is>
          <t>NT26081900662</t>
        </is>
      </c>
      <c r="Q1198" t="inlineStr">
        <is>
          <t>GROSS</t>
        </is>
      </c>
    </row>
    <row r="1199">
      <c r="A1199" t="inlineStr">
        <is>
          <t>150316825069</t>
        </is>
      </c>
      <c r="B1199" t="inlineStr">
        <is>
          <t>TCC</t>
        </is>
      </c>
      <c r="C1199" t="inlineStr">
        <is>
          <t>BRGX</t>
        </is>
      </c>
      <c r="D1199" s="6" t="n">
        <v>46253</v>
      </c>
      <c r="E1199" t="inlineStr">
        <is>
          <t>CR</t>
        </is>
      </c>
      <c r="F1199" t="inlineStr">
        <is>
          <t>GBP</t>
        </is>
      </c>
      <c r="G1199" s="7" t="n">
        <v>27182622.109</v>
      </c>
      <c r="H1199" t="inlineStr">
        <is>
          <t>GBP</t>
        </is>
      </c>
      <c r="I1199" s="7" t="n">
        <v>27182622.109</v>
      </c>
      <c r="J1199" s="8" t="n">
        <v>46253.38287037037</v>
      </c>
      <c r="K1199" t="inlineStr">
        <is>
          <t>CF260819 01193</t>
        </is>
      </c>
      <c r="L1199" t="inlineStr">
        <is>
          <t>GL.NOSTRO.GBP.BRGX.004</t>
        </is>
      </c>
      <c r="M1199" t="inlineStr">
        <is>
          <t>Juniper Bank</t>
        </is>
      </c>
      <c r="N1199" t="inlineStr">
        <is>
          <t>BRGX</t>
        </is>
      </c>
      <c r="O1199" t="inlineStr">
        <is>
          <t>NEW</t>
        </is>
      </c>
      <c r="Q1199" t="inlineStr">
        <is>
          <t>NETTER</t>
        </is>
      </c>
    </row>
    <row r="1200">
      <c r="A1200" t="inlineStr">
        <is>
          <t>171857983160</t>
        </is>
      </c>
      <c r="B1200" t="inlineStr">
        <is>
          <t>TCG</t>
        </is>
      </c>
      <c r="C1200" t="inlineStr">
        <is>
          <t>BRBX</t>
        </is>
      </c>
      <c r="D1200" s="6" t="n">
        <v>46253</v>
      </c>
      <c r="E1200" t="inlineStr">
        <is>
          <t>DR</t>
        </is>
      </c>
      <c r="F1200" t="inlineStr">
        <is>
          <t>AUD</t>
        </is>
      </c>
      <c r="G1200" s="7" t="n">
        <v>-174681604.877</v>
      </c>
      <c r="H1200" t="inlineStr">
        <is>
          <t>GBP</t>
        </is>
      </c>
      <c r="I1200" s="7" t="n">
        <v>-89611663.302</v>
      </c>
      <c r="J1200" s="8" t="n">
        <v>46253.58774305556</v>
      </c>
      <c r="K1200" t="inlineStr">
        <is>
          <t>CF260819 01194</t>
        </is>
      </c>
      <c r="L1200" t="inlineStr">
        <is>
          <t>GL.NOSTRO.AUD.BRBX.008</t>
        </is>
      </c>
      <c r="M1200" t="inlineStr">
        <is>
          <t>Vetchling Settlement Bank</t>
        </is>
      </c>
      <c r="N1200" t="inlineStr">
        <is>
          <t>BRBXCASH</t>
        </is>
      </c>
      <c r="O1200" t="inlineStr">
        <is>
          <t>NEW</t>
        </is>
      </c>
      <c r="Q1200" t="inlineStr">
        <is>
          <t>GROSS</t>
        </is>
      </c>
    </row>
    <row r="1201">
      <c r="A1201" t="inlineStr">
        <is>
          <t>968942362772</t>
        </is>
      </c>
      <c r="B1201" t="inlineStr">
        <is>
          <t>TCC</t>
        </is>
      </c>
      <c r="C1201" t="inlineStr">
        <is>
          <t>BRYG</t>
        </is>
      </c>
      <c r="D1201" s="6" t="n">
        <v>46253</v>
      </c>
      <c r="E1201" t="inlineStr">
        <is>
          <t>CR</t>
        </is>
      </c>
      <c r="F1201" t="inlineStr">
        <is>
          <t>EUR</t>
        </is>
      </c>
      <c r="G1201" s="7" t="n">
        <v>28119568.98</v>
      </c>
      <c r="H1201" t="inlineStr">
        <is>
          <t>GBP</t>
        </is>
      </c>
      <c r="I1201" s="7" t="n">
        <v>24126590.185</v>
      </c>
      <c r="J1201" s="8" t="n">
        <v>46253.75679398148</v>
      </c>
      <c r="K1201" t="inlineStr">
        <is>
          <t>CF260819 01195</t>
        </is>
      </c>
      <c r="L1201" t="inlineStr">
        <is>
          <t>GL.NOSTRO.EUR.BRYG.009</t>
        </is>
      </c>
      <c r="M1201" t="inlineStr">
        <is>
          <t>Bramble Bank</t>
        </is>
      </c>
      <c r="N1201" t="inlineStr">
        <is>
          <t>BRYGTRSY</t>
        </is>
      </c>
      <c r="O1201" t="inlineStr">
        <is>
          <t>NEW</t>
        </is>
      </c>
      <c r="P1201" t="inlineStr">
        <is>
          <t>NT26081900678</t>
        </is>
      </c>
      <c r="Q1201" t="inlineStr">
        <is>
          <t>GROSS</t>
        </is>
      </c>
    </row>
    <row r="1202">
      <c r="A1202" t="inlineStr">
        <is>
          <t>150316825069</t>
        </is>
      </c>
      <c r="B1202" t="inlineStr">
        <is>
          <t>TCX</t>
        </is>
      </c>
      <c r="C1202" t="inlineStr">
        <is>
          <t>BRGX</t>
        </is>
      </c>
      <c r="D1202" s="6" t="n">
        <v>46253</v>
      </c>
      <c r="E1202" t="inlineStr">
        <is>
          <t>CR</t>
        </is>
      </c>
      <c r="F1202" t="inlineStr">
        <is>
          <t>GBP</t>
        </is>
      </c>
      <c r="G1202" s="7" t="n">
        <v>96488936.43700001</v>
      </c>
      <c r="H1202" t="inlineStr">
        <is>
          <t>GBP</t>
        </is>
      </c>
      <c r="I1202" s="7" t="n">
        <v>96488936.43700001</v>
      </c>
      <c r="J1202" s="8" t="n">
        <v>46253.37138888889</v>
      </c>
      <c r="K1202" t="inlineStr">
        <is>
          <t>CF260819 01196</t>
        </is>
      </c>
      <c r="L1202" t="inlineStr">
        <is>
          <t>GL.NOSTRO.GBP.BRGX.003</t>
        </is>
      </c>
      <c r="M1202" t="inlineStr">
        <is>
          <t>Wrenfield Commercial Bank</t>
        </is>
      </c>
      <c r="N1202" t="inlineStr">
        <is>
          <t>BRGXTRSY</t>
        </is>
      </c>
      <c r="O1202" t="inlineStr">
        <is>
          <t>NEW</t>
        </is>
      </c>
      <c r="Q1202" t="inlineStr">
        <is>
          <t>NETTER</t>
        </is>
      </c>
    </row>
    <row r="1203">
      <c r="A1203" t="inlineStr">
        <is>
          <t>794226063698</t>
        </is>
      </c>
      <c r="B1203" t="inlineStr">
        <is>
          <t>TCP</t>
        </is>
      </c>
      <c r="C1203" t="inlineStr">
        <is>
          <t>BRMD</t>
        </is>
      </c>
      <c r="D1203" s="6" t="n">
        <v>46253</v>
      </c>
      <c r="E1203" t="inlineStr">
        <is>
          <t>CR</t>
        </is>
      </c>
      <c r="F1203" t="inlineStr">
        <is>
          <t>AED</t>
        </is>
      </c>
      <c r="G1203" s="7" t="n">
        <v>2537332.498</v>
      </c>
      <c r="H1203" t="inlineStr">
        <is>
          <t>GBP</t>
        </is>
      </c>
      <c r="I1203" s="7" t="n">
        <v>540451.822</v>
      </c>
      <c r="J1203" s="8" t="n">
        <v>46253.30157407407</v>
      </c>
      <c r="K1203" t="inlineStr">
        <is>
          <t>CF260819 01197</t>
        </is>
      </c>
      <c r="L1203" t="inlineStr">
        <is>
          <t>GL.NOSTRO.AED.BRMD.007</t>
        </is>
      </c>
      <c r="M1203" t="inlineStr">
        <is>
          <t>Larkspur Clearing</t>
        </is>
      </c>
      <c r="N1203" t="inlineStr">
        <is>
          <t>BRMDTRSY</t>
        </is>
      </c>
      <c r="O1203" t="inlineStr">
        <is>
          <t>NEW</t>
        </is>
      </c>
      <c r="P1203" t="inlineStr">
        <is>
          <t>NT26081900667</t>
        </is>
      </c>
      <c r="Q1203" t="inlineStr">
        <is>
          <t>INTERNAL</t>
        </is>
      </c>
    </row>
    <row r="1204">
      <c r="A1204" t="inlineStr">
        <is>
          <t>150316825069</t>
        </is>
      </c>
      <c r="B1204" t="inlineStr">
        <is>
          <t>TCX</t>
        </is>
      </c>
      <c r="C1204" t="inlineStr">
        <is>
          <t>BRGX</t>
        </is>
      </c>
      <c r="D1204" s="6" t="n">
        <v>46253</v>
      </c>
      <c r="E1204" t="inlineStr">
        <is>
          <t>DR</t>
        </is>
      </c>
      <c r="F1204" t="inlineStr">
        <is>
          <t>GBP</t>
        </is>
      </c>
      <c r="G1204" s="7" t="n">
        <v>-29406524.352</v>
      </c>
      <c r="H1204" t="inlineStr">
        <is>
          <t>GBP</t>
        </is>
      </c>
      <c r="I1204" s="7" t="n">
        <v>-29406524.352</v>
      </c>
      <c r="J1204" s="8" t="n">
        <v>46253.33505787037</v>
      </c>
      <c r="K1204" t="inlineStr">
        <is>
          <t>CF260819 01198</t>
        </is>
      </c>
      <c r="L1204" t="inlineStr">
        <is>
          <t>GL.NOSTRO.GBP.BRGX.002</t>
        </is>
      </c>
      <c r="M1204" t="inlineStr">
        <is>
          <t>Wrenfield Commercial Bank</t>
        </is>
      </c>
      <c r="N1204" t="inlineStr">
        <is>
          <t>BRGXTRSY</t>
        </is>
      </c>
      <c r="O1204" t="inlineStr">
        <is>
          <t>NEW</t>
        </is>
      </c>
      <c r="Q1204" t="inlineStr">
        <is>
          <t>NETTER</t>
        </is>
      </c>
    </row>
    <row r="1205">
      <c r="A1205" t="inlineStr">
        <is>
          <t>898317028833</t>
        </is>
      </c>
      <c r="B1205" t="inlineStr">
        <is>
          <t>TCG</t>
        </is>
      </c>
      <c r="C1205" t="inlineStr">
        <is>
          <t>BRAA</t>
        </is>
      </c>
      <c r="D1205" s="6" t="n">
        <v>46253</v>
      </c>
      <c r="E1205" t="inlineStr">
        <is>
          <t>CR</t>
        </is>
      </c>
      <c r="F1205" t="inlineStr">
        <is>
          <t>GBP</t>
        </is>
      </c>
      <c r="G1205" s="7" t="n">
        <v>1947785.305</v>
      </c>
      <c r="H1205" t="inlineStr">
        <is>
          <t>GBP</t>
        </is>
      </c>
      <c r="I1205" s="7" t="n">
        <v>1947785.305</v>
      </c>
      <c r="J1205" s="8" t="n">
        <v>46253.43980324074</v>
      </c>
      <c r="K1205" t="inlineStr">
        <is>
          <t>CF260819 01199</t>
        </is>
      </c>
      <c r="L1205" t="inlineStr">
        <is>
          <t>GL.NOSTRO.GBP.BRAA.001</t>
        </is>
      </c>
      <c r="M1205" t="inlineStr">
        <is>
          <t>Mallow Clearing</t>
        </is>
      </c>
      <c r="N1205" t="inlineStr">
        <is>
          <t>BRAAMM</t>
        </is>
      </c>
      <c r="O1205" t="inlineStr">
        <is>
          <t>NEW</t>
        </is>
      </c>
      <c r="P1205" t="inlineStr">
        <is>
          <t>NT26081900657</t>
        </is>
      </c>
      <c r="Q1205" t="inlineStr">
        <is>
          <t>NETTER</t>
        </is>
      </c>
    </row>
    <row r="1206">
      <c r="A1206" t="inlineStr">
        <is>
          <t>621381112674</t>
        </is>
      </c>
      <c r="B1206" t="inlineStr">
        <is>
          <t>TCP</t>
        </is>
      </c>
      <c r="C1206" t="inlineStr">
        <is>
          <t>BRAA</t>
        </is>
      </c>
      <c r="D1206" s="6" t="n">
        <v>46253</v>
      </c>
      <c r="E1206" t="inlineStr">
        <is>
          <t>CR</t>
        </is>
      </c>
      <c r="F1206" t="inlineStr">
        <is>
          <t>PLN</t>
        </is>
      </c>
      <c r="G1206" s="7" t="n">
        <v>29823620.788</v>
      </c>
      <c r="H1206" t="inlineStr">
        <is>
          <t>GBP</t>
        </is>
      </c>
      <c r="I1206" s="7" t="n">
        <v>5905076.916</v>
      </c>
      <c r="J1206" s="8" t="n">
        <v>46253.70773148148</v>
      </c>
      <c r="K1206" t="inlineStr">
        <is>
          <t>CF260819 01200</t>
        </is>
      </c>
      <c r="L1206" t="inlineStr">
        <is>
          <t>GL.NOSTRO.PLN.BRAA.008</t>
        </is>
      </c>
      <c r="M1206" t="inlineStr">
        <is>
          <t>Ironbark Commercial Bank</t>
        </is>
      </c>
      <c r="N1206" t="inlineStr">
        <is>
          <t>BRAA</t>
        </is>
      </c>
      <c r="O1206" t="inlineStr">
        <is>
          <t>NEW</t>
        </is>
      </c>
      <c r="P1206" t="inlineStr">
        <is>
          <t>NT26081900677</t>
        </is>
      </c>
      <c r="Q1206" t="inlineStr">
        <is>
          <t>INTERNAL</t>
        </is>
      </c>
    </row>
    <row r="1207">
      <c r="A1207" t="inlineStr">
        <is>
          <t>150316825069</t>
        </is>
      </c>
      <c r="B1207" t="inlineStr">
        <is>
          <t>TCG</t>
        </is>
      </c>
      <c r="C1207" t="inlineStr">
        <is>
          <t>BRGX</t>
        </is>
      </c>
      <c r="D1207" s="6" t="n">
        <v>46253</v>
      </c>
      <c r="E1207" t="inlineStr">
        <is>
          <t>DR</t>
        </is>
      </c>
      <c r="F1207" t="inlineStr">
        <is>
          <t>GBP</t>
        </is>
      </c>
      <c r="G1207" s="7" t="n">
        <v>-12337223.546</v>
      </c>
      <c r="H1207" t="inlineStr">
        <is>
          <t>GBP</t>
        </is>
      </c>
      <c r="I1207" s="7" t="n">
        <v>-12337223.546</v>
      </c>
      <c r="J1207" s="8" t="n">
        <v>46253.30474537037</v>
      </c>
      <c r="K1207" t="inlineStr">
        <is>
          <t>CF260819 01201</t>
        </is>
      </c>
      <c r="L1207" t="inlineStr">
        <is>
          <t>GL.NOSTRO.GBP.BRGX.005</t>
        </is>
      </c>
      <c r="M1207" t="inlineStr">
        <is>
          <t>Yarrow Clearing</t>
        </is>
      </c>
      <c r="N1207" t="inlineStr">
        <is>
          <t>BRGXMM</t>
        </is>
      </c>
      <c r="O1207" t="inlineStr">
        <is>
          <t>NEW</t>
        </is>
      </c>
      <c r="Q1207" t="inlineStr">
        <is>
          <t>NETTER</t>
        </is>
      </c>
    </row>
    <row r="1208">
      <c r="A1208" t="inlineStr">
        <is>
          <t>150316825069</t>
        </is>
      </c>
      <c r="B1208" t="inlineStr">
        <is>
          <t>TCX</t>
        </is>
      </c>
      <c r="C1208" t="inlineStr">
        <is>
          <t>BRGX</t>
        </is>
      </c>
      <c r="D1208" s="6" t="n">
        <v>46253</v>
      </c>
      <c r="E1208" t="inlineStr">
        <is>
          <t>DR</t>
        </is>
      </c>
      <c r="F1208" t="inlineStr">
        <is>
          <t>GBP</t>
        </is>
      </c>
      <c r="G1208" s="7" t="n">
        <v>-3.98</v>
      </c>
      <c r="H1208" t="inlineStr">
        <is>
          <t>GBP</t>
        </is>
      </c>
      <c r="I1208" s="7" t="n">
        <v>-3.98</v>
      </c>
      <c r="J1208" s="8" t="n">
        <v>46253.27993055555</v>
      </c>
      <c r="K1208" t="inlineStr">
        <is>
          <t>CF260819 01202</t>
        </is>
      </c>
      <c r="L1208" t="inlineStr">
        <is>
          <t>GL.NOSTRO.GBP.BRGX.007</t>
        </is>
      </c>
      <c r="M1208" t="inlineStr">
        <is>
          <t>Pinehurst Settlement Bank</t>
        </is>
      </c>
      <c r="N1208" t="inlineStr">
        <is>
          <t>BRGX</t>
        </is>
      </c>
      <c r="O1208" t="inlineStr">
        <is>
          <t>NEW</t>
        </is>
      </c>
      <c r="Q1208" t="inlineStr">
        <is>
          <t>NETTER</t>
        </is>
      </c>
    </row>
    <row r="1209">
      <c r="A1209" t="inlineStr">
        <is>
          <t>898317028833</t>
        </is>
      </c>
      <c r="B1209" t="inlineStr">
        <is>
          <t>TCP</t>
        </is>
      </c>
      <c r="C1209" t="inlineStr">
        <is>
          <t>BRAA</t>
        </is>
      </c>
      <c r="D1209" s="6" t="n">
        <v>46253</v>
      </c>
      <c r="E1209" t="inlineStr">
        <is>
          <t>CR</t>
        </is>
      </c>
      <c r="F1209" t="inlineStr">
        <is>
          <t>GBP</t>
        </is>
      </c>
      <c r="G1209" s="7" t="n">
        <v>23814946.234</v>
      </c>
      <c r="H1209" t="inlineStr">
        <is>
          <t>GBP</t>
        </is>
      </c>
      <c r="I1209" s="7" t="n">
        <v>23814946.234</v>
      </c>
      <c r="J1209" s="8" t="n">
        <v>46253.3956712963</v>
      </c>
      <c r="K1209" t="inlineStr">
        <is>
          <t>CF260819 01203</t>
        </is>
      </c>
      <c r="L1209" t="inlineStr">
        <is>
          <t>GL.NOSTRO.GBP.BRAA.005</t>
        </is>
      </c>
      <c r="M1209" t="inlineStr">
        <is>
          <t>Nightjar Trust</t>
        </is>
      </c>
      <c r="N1209" t="inlineStr">
        <is>
          <t>BRAACASH</t>
        </is>
      </c>
      <c r="O1209" t="inlineStr">
        <is>
          <t>NEW</t>
        </is>
      </c>
      <c r="Q1209" t="inlineStr">
        <is>
          <t>GROSS</t>
        </is>
      </c>
    </row>
    <row r="1210">
      <c r="A1210" t="inlineStr">
        <is>
          <t>794226063698</t>
        </is>
      </c>
      <c r="B1210" t="inlineStr">
        <is>
          <t>TCX</t>
        </is>
      </c>
      <c r="C1210" t="inlineStr">
        <is>
          <t>BRMD</t>
        </is>
      </c>
      <c r="D1210" s="6" t="n">
        <v>46253</v>
      </c>
      <c r="E1210" t="inlineStr">
        <is>
          <t>CR</t>
        </is>
      </c>
      <c r="F1210" t="inlineStr">
        <is>
          <t>AED</t>
        </is>
      </c>
      <c r="G1210" s="7" t="n">
        <v>1305091.188</v>
      </c>
      <c r="H1210" t="inlineStr">
        <is>
          <t>GBP</t>
        </is>
      </c>
      <c r="I1210" s="7" t="n">
        <v>277984.423</v>
      </c>
      <c r="J1210" s="8" t="n">
        <v>46253.4808449074</v>
      </c>
      <c r="K1210" t="inlineStr">
        <is>
          <t>CF260819 01204</t>
        </is>
      </c>
      <c r="L1210" t="inlineStr">
        <is>
          <t>GL.NOSTRO.AED.BRMD.003</t>
        </is>
      </c>
      <c r="M1210" t="inlineStr">
        <is>
          <t>Larkspur Clearing</t>
        </is>
      </c>
      <c r="N1210" t="inlineStr">
        <is>
          <t>BRMD</t>
        </is>
      </c>
      <c r="O1210" t="inlineStr">
        <is>
          <t>NEW</t>
        </is>
      </c>
      <c r="P1210" t="inlineStr">
        <is>
          <t>NT26081900672</t>
        </is>
      </c>
      <c r="Q1210" t="inlineStr">
        <is>
          <t>NETTER</t>
        </is>
      </c>
    </row>
    <row r="1211">
      <c r="A1211" t="inlineStr">
        <is>
          <t>132544340094</t>
        </is>
      </c>
      <c r="B1211" t="inlineStr">
        <is>
          <t>TCX</t>
        </is>
      </c>
      <c r="C1211" t="inlineStr">
        <is>
          <t>BRYG</t>
        </is>
      </c>
      <c r="D1211" s="6" t="n">
        <v>46253</v>
      </c>
      <c r="E1211" t="inlineStr">
        <is>
          <t>DR</t>
        </is>
      </c>
      <c r="F1211" t="inlineStr">
        <is>
          <t>CZK</t>
        </is>
      </c>
      <c r="G1211" s="7" t="n">
        <v>-1641593.849</v>
      </c>
      <c r="H1211" t="inlineStr">
        <is>
          <t>GBP</t>
        </is>
      </c>
      <c r="I1211" s="7" t="n">
        <v>-55650.031</v>
      </c>
      <c r="J1211" s="8" t="n">
        <v>46253.25435185185</v>
      </c>
      <c r="K1211" t="inlineStr">
        <is>
          <t>CF260819 01205</t>
        </is>
      </c>
      <c r="L1211" t="inlineStr">
        <is>
          <t>GL.NOSTRO.CZK.BRYG.008</t>
        </is>
      </c>
      <c r="M1211" t="inlineStr">
        <is>
          <t>Redstart Commercial Bank</t>
        </is>
      </c>
      <c r="N1211" t="inlineStr">
        <is>
          <t>BRYGMM</t>
        </is>
      </c>
      <c r="O1211" t="inlineStr">
        <is>
          <t>AMEND</t>
        </is>
      </c>
      <c r="P1211" t="inlineStr">
        <is>
          <t>NT26081900656</t>
        </is>
      </c>
      <c r="Q1211" t="inlineStr">
        <is>
          <t>GROSS</t>
        </is>
      </c>
    </row>
    <row r="1212">
      <c r="A1212" t="inlineStr">
        <is>
          <t>968942362772</t>
        </is>
      </c>
      <c r="B1212" t="inlineStr">
        <is>
          <t>TCX</t>
        </is>
      </c>
      <c r="C1212" t="inlineStr">
        <is>
          <t>BRYG</t>
        </is>
      </c>
      <c r="D1212" s="6" t="n">
        <v>46253</v>
      </c>
      <c r="E1212" t="inlineStr">
        <is>
          <t>CR</t>
        </is>
      </c>
      <c r="F1212" t="inlineStr">
        <is>
          <t>EUR</t>
        </is>
      </c>
      <c r="G1212" s="7" t="n">
        <v>69165853.337</v>
      </c>
      <c r="H1212" t="inlineStr">
        <is>
          <t>GBP</t>
        </is>
      </c>
      <c r="I1212" s="7" t="n">
        <v>59344302.163</v>
      </c>
      <c r="J1212" s="8" t="n">
        <v>46253.55697916666</v>
      </c>
      <c r="K1212" t="inlineStr">
        <is>
          <t>CF260819 01206</t>
        </is>
      </c>
      <c r="L1212" t="inlineStr">
        <is>
          <t>GL.NOSTRO.EUR.BRYG.009</t>
        </is>
      </c>
      <c r="M1212" t="inlineStr">
        <is>
          <t>Yarrow Commercial Bank</t>
        </is>
      </c>
      <c r="N1212" t="inlineStr">
        <is>
          <t>BRYGCASH</t>
        </is>
      </c>
      <c r="O1212" t="inlineStr">
        <is>
          <t>NEW</t>
        </is>
      </c>
      <c r="P1212" t="inlineStr">
        <is>
          <t>NT26081900674</t>
        </is>
      </c>
      <c r="Q1212" t="inlineStr">
        <is>
          <t>GROSS</t>
        </is>
      </c>
    </row>
    <row r="1213">
      <c r="A1213" t="inlineStr">
        <is>
          <t>927538182434</t>
        </is>
      </c>
      <c r="B1213" t="inlineStr">
        <is>
          <t>TCG</t>
        </is>
      </c>
      <c r="C1213" t="inlineStr">
        <is>
          <t>BRNK</t>
        </is>
      </c>
      <c r="D1213" s="6" t="n">
        <v>46253</v>
      </c>
      <c r="E1213" t="inlineStr">
        <is>
          <t>DR</t>
        </is>
      </c>
      <c r="F1213" t="inlineStr">
        <is>
          <t>CNY</t>
        </is>
      </c>
      <c r="G1213" s="7" t="n">
        <v>-21355019.623</v>
      </c>
      <c r="H1213" t="inlineStr">
        <is>
          <t>GBP</t>
        </is>
      </c>
      <c r="I1213" s="7" t="n">
        <v>-2327697.139</v>
      </c>
      <c r="J1213" s="8" t="n">
        <v>46253.4253125</v>
      </c>
      <c r="K1213" t="inlineStr">
        <is>
          <t>CF260819 01207</t>
        </is>
      </c>
      <c r="L1213" t="inlineStr">
        <is>
          <t>GL.NOSTRO.CNY.BRNK.001</t>
        </is>
      </c>
      <c r="M1213" t="inlineStr">
        <is>
          <t>Pinehurst Bank</t>
        </is>
      </c>
      <c r="N1213" t="inlineStr">
        <is>
          <t>BRNKCASH</t>
        </is>
      </c>
      <c r="O1213" t="inlineStr">
        <is>
          <t>NEW</t>
        </is>
      </c>
      <c r="Q1213" t="inlineStr">
        <is>
          <t>INTERNAL</t>
        </is>
      </c>
    </row>
    <row r="1214">
      <c r="A1214" t="inlineStr">
        <is>
          <t>898317028833</t>
        </is>
      </c>
      <c r="B1214" t="inlineStr">
        <is>
          <t>TCG</t>
        </is>
      </c>
      <c r="C1214" t="inlineStr">
        <is>
          <t>BRAA</t>
        </is>
      </c>
      <c r="D1214" s="6" t="n">
        <v>46253</v>
      </c>
      <c r="E1214" t="inlineStr">
        <is>
          <t>CR</t>
        </is>
      </c>
      <c r="F1214" t="inlineStr">
        <is>
          <t>GBP</t>
        </is>
      </c>
      <c r="G1214" s="7" t="n">
        <v>1051564.643</v>
      </c>
      <c r="H1214" t="inlineStr">
        <is>
          <t>GBP</t>
        </is>
      </c>
      <c r="I1214" s="7" t="n">
        <v>1051564.643</v>
      </c>
      <c r="J1214" s="8" t="n">
        <v>46253.42932870371</v>
      </c>
      <c r="K1214" t="inlineStr">
        <is>
          <t>CF260819 01208</t>
        </is>
      </c>
      <c r="L1214" t="inlineStr">
        <is>
          <t>GL.NOSTRO.GBP.BRAA.004</t>
        </is>
      </c>
      <c r="M1214" t="inlineStr">
        <is>
          <t>Sablewood Settlement Bank</t>
        </is>
      </c>
      <c r="N1214" t="inlineStr">
        <is>
          <t>BRAAMM</t>
        </is>
      </c>
      <c r="O1214" t="inlineStr">
        <is>
          <t>NEW</t>
        </is>
      </c>
      <c r="Q1214" t="inlineStr">
        <is>
          <t>NETTER</t>
        </is>
      </c>
    </row>
    <row r="1215">
      <c r="A1215" t="inlineStr">
        <is>
          <t>953625291146</t>
        </is>
      </c>
      <c r="B1215" t="inlineStr">
        <is>
          <t>TCX</t>
        </is>
      </c>
      <c r="C1215" t="inlineStr">
        <is>
          <t>BRGL</t>
        </is>
      </c>
      <c r="D1215" s="6" t="n">
        <v>46253</v>
      </c>
      <c r="E1215" t="inlineStr">
        <is>
          <t>DR</t>
        </is>
      </c>
      <c r="F1215" t="inlineStr">
        <is>
          <t>USD</t>
        </is>
      </c>
      <c r="G1215" s="7" t="n">
        <v>-1684363.076</v>
      </c>
      <c r="H1215" t="inlineStr">
        <is>
          <t>GBP</t>
        </is>
      </c>
      <c r="I1215" s="7" t="n">
        <v>-1320540.652</v>
      </c>
      <c r="J1215" s="8" t="n">
        <v>46253.73871527778</v>
      </c>
      <c r="K1215" t="inlineStr">
        <is>
          <t>CF260819 01209</t>
        </is>
      </c>
      <c r="L1215" t="inlineStr">
        <is>
          <t>GL.NOSTRO.USD.BRGL.008</t>
        </is>
      </c>
      <c r="M1215" t="inlineStr">
        <is>
          <t>Cedar Commercial Bank</t>
        </is>
      </c>
      <c r="N1215" t="inlineStr">
        <is>
          <t>BRGL</t>
        </is>
      </c>
      <c r="O1215" t="inlineStr">
        <is>
          <t>NEW</t>
        </is>
      </c>
      <c r="Q1215" t="inlineStr">
        <is>
          <t>NETTER</t>
        </is>
      </c>
    </row>
    <row r="1216">
      <c r="A1216" t="inlineStr">
        <is>
          <t>968942362772</t>
        </is>
      </c>
      <c r="B1216" t="inlineStr">
        <is>
          <t>TCQ</t>
        </is>
      </c>
      <c r="C1216" t="inlineStr">
        <is>
          <t>BRYG</t>
        </is>
      </c>
      <c r="D1216" s="6" t="n">
        <v>46253</v>
      </c>
      <c r="E1216" t="inlineStr">
        <is>
          <t>DR</t>
        </is>
      </c>
      <c r="F1216" t="inlineStr">
        <is>
          <t>EUR</t>
        </is>
      </c>
      <c r="G1216" s="7" t="n">
        <v>-7749036.877</v>
      </c>
      <c r="H1216" t="inlineStr">
        <is>
          <t>GBP</t>
        </is>
      </c>
      <c r="I1216" s="7" t="n">
        <v>-6648673.64</v>
      </c>
      <c r="J1216" s="8" t="n">
        <v>46253.58300925926</v>
      </c>
      <c r="K1216" t="inlineStr">
        <is>
          <t>CF260819 01210</t>
        </is>
      </c>
      <c r="L1216" t="inlineStr">
        <is>
          <t>GL.NOSTRO.EUR.BRYG.002</t>
        </is>
      </c>
      <c r="M1216" t="inlineStr">
        <is>
          <t>Vetchling Settlement Bank</t>
        </is>
      </c>
      <c r="N1216" t="inlineStr">
        <is>
          <t>BRYG</t>
        </is>
      </c>
      <c r="O1216" t="inlineStr">
        <is>
          <t>AMEND</t>
        </is>
      </c>
      <c r="Q1216" t="inlineStr">
        <is>
          <t>NETTER</t>
        </is>
      </c>
    </row>
    <row r="1217">
      <c r="A1217" t="inlineStr">
        <is>
          <t>968942362772</t>
        </is>
      </c>
      <c r="B1217" t="inlineStr">
        <is>
          <t>TCP</t>
        </is>
      </c>
      <c r="C1217" t="inlineStr">
        <is>
          <t>BRYG</t>
        </is>
      </c>
      <c r="D1217" s="6" t="n">
        <v>46253</v>
      </c>
      <c r="E1217" t="inlineStr">
        <is>
          <t>CR</t>
        </is>
      </c>
      <c r="F1217" t="inlineStr">
        <is>
          <t>EUR</t>
        </is>
      </c>
      <c r="G1217" s="7" t="n">
        <v>2543005.098</v>
      </c>
      <c r="H1217" t="inlineStr">
        <is>
          <t>GBP</t>
        </is>
      </c>
      <c r="I1217" s="7" t="n">
        <v>2181898.374</v>
      </c>
      <c r="J1217" s="8" t="n">
        <v>46253.72873842593</v>
      </c>
      <c r="K1217" t="inlineStr">
        <is>
          <t>CF260819 01211</t>
        </is>
      </c>
      <c r="L1217" t="inlineStr">
        <is>
          <t>GL.NOSTRO.EUR.BRYG.002</t>
        </is>
      </c>
      <c r="M1217" t="inlineStr">
        <is>
          <t>Yarrow Bank</t>
        </is>
      </c>
      <c r="N1217" t="inlineStr">
        <is>
          <t>BRYGTRSY</t>
        </is>
      </c>
      <c r="O1217" t="inlineStr">
        <is>
          <t>NEW</t>
        </is>
      </c>
      <c r="Q1217" t="inlineStr">
        <is>
          <t>GROSS</t>
        </is>
      </c>
    </row>
    <row r="1218">
      <c r="A1218" t="inlineStr">
        <is>
          <t>150316825069</t>
        </is>
      </c>
      <c r="B1218" t="inlineStr">
        <is>
          <t>TCQ</t>
        </is>
      </c>
      <c r="C1218" t="inlineStr">
        <is>
          <t>BRGX</t>
        </is>
      </c>
      <c r="D1218" s="6" t="n">
        <v>46253</v>
      </c>
      <c r="E1218" t="inlineStr">
        <is>
          <t>DR</t>
        </is>
      </c>
      <c r="F1218" t="inlineStr">
        <is>
          <t>GBP</t>
        </is>
      </c>
      <c r="G1218" s="7" t="n">
        <v>-4328631.976</v>
      </c>
      <c r="H1218" t="inlineStr">
        <is>
          <t>GBP</t>
        </is>
      </c>
      <c r="I1218" s="7" t="n">
        <v>-4328631.976</v>
      </c>
      <c r="J1218" s="8" t="n">
        <v>46253.47582175926</v>
      </c>
      <c r="K1218" t="inlineStr">
        <is>
          <t>CF260819 01212</t>
        </is>
      </c>
      <c r="L1218" t="inlineStr">
        <is>
          <t>GL.NOSTRO.GBP.BRGX.005</t>
        </is>
      </c>
      <c r="M1218" t="inlineStr">
        <is>
          <t>Nightjar Trust</t>
        </is>
      </c>
      <c r="N1218" t="inlineStr">
        <is>
          <t>BRGXTRSY</t>
        </is>
      </c>
      <c r="O1218" t="inlineStr">
        <is>
          <t>NEW</t>
        </is>
      </c>
      <c r="Q1218" t="inlineStr">
        <is>
          <t>NETTER</t>
        </is>
      </c>
    </row>
    <row r="1219">
      <c r="A1219" t="inlineStr">
        <is>
          <t>132544340094</t>
        </is>
      </c>
      <c r="B1219" t="inlineStr">
        <is>
          <t>TCC</t>
        </is>
      </c>
      <c r="C1219" t="inlineStr">
        <is>
          <t>BRYG</t>
        </is>
      </c>
      <c r="D1219" s="6" t="n">
        <v>46253</v>
      </c>
      <c r="E1219" t="inlineStr">
        <is>
          <t>DR</t>
        </is>
      </c>
      <c r="F1219" t="inlineStr">
        <is>
          <t>CZK</t>
        </is>
      </c>
      <c r="G1219" s="7" t="n">
        <v>-50631648.41</v>
      </c>
      <c r="H1219" t="inlineStr">
        <is>
          <t>GBP</t>
        </is>
      </c>
      <c r="I1219" s="7" t="n">
        <v>-1716412.881</v>
      </c>
      <c r="J1219" s="8" t="n">
        <v>46253.40783564815</v>
      </c>
      <c r="K1219" t="inlineStr">
        <is>
          <t>CF260819 01213</t>
        </is>
      </c>
      <c r="L1219" t="inlineStr">
        <is>
          <t>GL.NOSTRO.CZK.BRYG.004</t>
        </is>
      </c>
      <c r="M1219" t="inlineStr">
        <is>
          <t>Vetchling Settlement Bank</t>
        </is>
      </c>
      <c r="N1219" t="inlineStr">
        <is>
          <t>BRYG</t>
        </is>
      </c>
      <c r="O1219" t="inlineStr">
        <is>
          <t>NEW</t>
        </is>
      </c>
      <c r="P1219" t="inlineStr">
        <is>
          <t>NT26081900674</t>
        </is>
      </c>
      <c r="Q1219" t="inlineStr">
        <is>
          <t>NETTER</t>
        </is>
      </c>
    </row>
    <row r="1220">
      <c r="A1220" t="inlineStr">
        <is>
          <t>824840705580</t>
        </is>
      </c>
      <c r="B1220" t="inlineStr">
        <is>
          <t>TCX</t>
        </is>
      </c>
      <c r="C1220" t="inlineStr">
        <is>
          <t>BRGL</t>
        </is>
      </c>
      <c r="D1220" s="6" t="n">
        <v>46253</v>
      </c>
      <c r="E1220" t="inlineStr">
        <is>
          <t>CR</t>
        </is>
      </c>
      <c r="F1220" t="inlineStr">
        <is>
          <t>EUR</t>
        </is>
      </c>
      <c r="G1220" s="7" t="n">
        <v>37499220.201</v>
      </c>
      <c r="H1220" t="inlineStr">
        <is>
          <t>GBP</t>
        </is>
      </c>
      <c r="I1220" s="7" t="n">
        <v>32174330.932</v>
      </c>
      <c r="J1220" s="8" t="n">
        <v>46253.63936342593</v>
      </c>
      <c r="K1220" t="inlineStr">
        <is>
          <t>CF260819 01214</t>
        </is>
      </c>
      <c r="L1220" t="inlineStr">
        <is>
          <t>GL.NOSTRO.EUR.BRGL.004</t>
        </is>
      </c>
      <c r="M1220" t="inlineStr">
        <is>
          <t>Larkspur Clearing</t>
        </is>
      </c>
      <c r="N1220" t="inlineStr">
        <is>
          <t>BRGLCASH</t>
        </is>
      </c>
      <c r="O1220" t="inlineStr">
        <is>
          <t>NEW</t>
        </is>
      </c>
      <c r="Q1220" t="inlineStr">
        <is>
          <t>NETTER</t>
        </is>
      </c>
    </row>
    <row r="1221">
      <c r="A1221" t="inlineStr">
        <is>
          <t>726928343448</t>
        </is>
      </c>
      <c r="B1221" t="inlineStr">
        <is>
          <t>TCG</t>
        </is>
      </c>
      <c r="C1221" t="inlineStr">
        <is>
          <t>BRGX</t>
        </is>
      </c>
      <c r="D1221" s="6" t="n">
        <v>46253</v>
      </c>
      <c r="E1221" t="inlineStr">
        <is>
          <t>CR</t>
        </is>
      </c>
      <c r="F1221" t="inlineStr">
        <is>
          <t>EUR</t>
        </is>
      </c>
      <c r="G1221" s="7" t="n">
        <v>306192.094</v>
      </c>
      <c r="H1221" t="inlineStr">
        <is>
          <t>GBP</t>
        </is>
      </c>
      <c r="I1221" s="7" t="n">
        <v>262712.817</v>
      </c>
      <c r="J1221" s="8" t="n">
        <v>46253.41488425926</v>
      </c>
      <c r="K1221" t="inlineStr">
        <is>
          <t>CF260819 01215</t>
        </is>
      </c>
      <c r="L1221" t="inlineStr">
        <is>
          <t>GL.NOSTRO.EUR.BRGX.001</t>
        </is>
      </c>
      <c r="M1221" t="inlineStr">
        <is>
          <t>Juniper Bank</t>
        </is>
      </c>
      <c r="N1221" t="inlineStr">
        <is>
          <t>BRGX</t>
        </is>
      </c>
      <c r="O1221" t="inlineStr">
        <is>
          <t>NEW</t>
        </is>
      </c>
      <c r="P1221" t="inlineStr">
        <is>
          <t>NT26081900675</t>
        </is>
      </c>
      <c r="Q1221" t="inlineStr">
        <is>
          <t>NETTER</t>
        </is>
      </c>
    </row>
    <row r="1222">
      <c r="A1222" t="inlineStr">
        <is>
          <t>150316825069</t>
        </is>
      </c>
      <c r="B1222" t="inlineStr">
        <is>
          <t>TCC</t>
        </is>
      </c>
      <c r="C1222" t="inlineStr">
        <is>
          <t>BRGX</t>
        </is>
      </c>
      <c r="D1222" s="6" t="n">
        <v>46253</v>
      </c>
      <c r="E1222" t="inlineStr">
        <is>
          <t>CR</t>
        </is>
      </c>
      <c r="F1222" t="inlineStr">
        <is>
          <t>GBP</t>
        </is>
      </c>
      <c r="G1222" s="7" t="n">
        <v>1584868.061</v>
      </c>
      <c r="H1222" t="inlineStr">
        <is>
          <t>GBP</t>
        </is>
      </c>
      <c r="I1222" s="7" t="n">
        <v>1584868.061</v>
      </c>
      <c r="J1222" s="8" t="n">
        <v>46253.66429398148</v>
      </c>
      <c r="K1222" t="inlineStr">
        <is>
          <t>CF260819 01216</t>
        </is>
      </c>
      <c r="L1222" t="inlineStr">
        <is>
          <t>GL.NOSTRO.GBP.BRGX.008</t>
        </is>
      </c>
      <c r="M1222" t="inlineStr">
        <is>
          <t>Sablewood Settlement Bank</t>
        </is>
      </c>
      <c r="N1222" t="inlineStr">
        <is>
          <t>BRGXMM</t>
        </is>
      </c>
      <c r="O1222" t="inlineStr">
        <is>
          <t>NEW</t>
        </is>
      </c>
      <c r="Q1222" t="inlineStr">
        <is>
          <t>NETTER</t>
        </is>
      </c>
    </row>
    <row r="1223">
      <c r="A1223" t="inlineStr">
        <is>
          <t>150316825069</t>
        </is>
      </c>
      <c r="B1223" t="inlineStr">
        <is>
          <t>TCX</t>
        </is>
      </c>
      <c r="C1223" t="inlineStr">
        <is>
          <t>BRGX</t>
        </is>
      </c>
      <c r="D1223" s="6" t="n">
        <v>46253</v>
      </c>
      <c r="E1223" t="inlineStr">
        <is>
          <t>CR</t>
        </is>
      </c>
      <c r="F1223" t="inlineStr">
        <is>
          <t>GBP</t>
        </is>
      </c>
      <c r="G1223" s="7" t="n">
        <v>4651847.63</v>
      </c>
      <c r="H1223" t="inlineStr">
        <is>
          <t>GBP</t>
        </is>
      </c>
      <c r="I1223" s="7" t="n">
        <v>4651847.63</v>
      </c>
      <c r="J1223" s="8" t="n">
        <v>46253.21663194444</v>
      </c>
      <c r="K1223" t="inlineStr">
        <is>
          <t>CF260819 01217</t>
        </is>
      </c>
      <c r="L1223" t="inlineStr">
        <is>
          <t>GL.NOSTRO.GBP.BRGX.007</t>
        </is>
      </c>
      <c r="M1223" t="inlineStr">
        <is>
          <t>Bramble Bank</t>
        </is>
      </c>
      <c r="N1223" t="inlineStr">
        <is>
          <t>BRGXCASH</t>
        </is>
      </c>
      <c r="O1223" t="inlineStr">
        <is>
          <t>NEW</t>
        </is>
      </c>
      <c r="P1223" t="inlineStr">
        <is>
          <t>NT26081900673</t>
        </is>
      </c>
      <c r="Q1223" t="inlineStr">
        <is>
          <t>NETTER</t>
        </is>
      </c>
    </row>
    <row r="1224">
      <c r="A1224" t="inlineStr">
        <is>
          <t>910703979141</t>
        </is>
      </c>
      <c r="B1224" t="inlineStr">
        <is>
          <t>TCG</t>
        </is>
      </c>
      <c r="C1224" t="inlineStr">
        <is>
          <t>BRCC</t>
        </is>
      </c>
      <c r="D1224" s="6" t="n">
        <v>46253</v>
      </c>
      <c r="E1224" t="inlineStr">
        <is>
          <t>DR</t>
        </is>
      </c>
      <c r="F1224" t="inlineStr">
        <is>
          <t>CHF</t>
        </is>
      </c>
      <c r="G1224" s="7" t="n">
        <v>-2763142.478</v>
      </c>
      <c r="H1224" t="inlineStr">
        <is>
          <t>GBP</t>
        </is>
      </c>
      <c r="I1224" s="7" t="n">
        <v>-2478538.803</v>
      </c>
      <c r="J1224" s="8" t="n">
        <v>46253.66508101852</v>
      </c>
      <c r="K1224" t="inlineStr">
        <is>
          <t>CF260819 01218</t>
        </is>
      </c>
      <c r="L1224" t="inlineStr">
        <is>
          <t>GL.NOSTRO.CHF.BRCC.004</t>
        </is>
      </c>
      <c r="M1224" t="inlineStr">
        <is>
          <t>Elmwood Clearing</t>
        </is>
      </c>
      <c r="N1224" t="inlineStr">
        <is>
          <t>BRCCCASH</t>
        </is>
      </c>
      <c r="O1224" t="inlineStr">
        <is>
          <t>NEW</t>
        </is>
      </c>
      <c r="P1224" t="inlineStr">
        <is>
          <t>NT26081900693</t>
        </is>
      </c>
      <c r="Q1224" t="inlineStr">
        <is>
          <t>INTERNAL</t>
        </is>
      </c>
    </row>
    <row r="1225">
      <c r="A1225" t="inlineStr">
        <is>
          <t>953625291146</t>
        </is>
      </c>
      <c r="B1225" t="inlineStr">
        <is>
          <t>TCQ</t>
        </is>
      </c>
      <c r="C1225" t="inlineStr">
        <is>
          <t>BRGL</t>
        </is>
      </c>
      <c r="D1225" s="6" t="n">
        <v>46253</v>
      </c>
      <c r="E1225" t="inlineStr">
        <is>
          <t>DR</t>
        </is>
      </c>
      <c r="F1225" t="inlineStr">
        <is>
          <t>USD</t>
        </is>
      </c>
      <c r="G1225" s="7" t="n">
        <v>-106.098</v>
      </c>
      <c r="H1225" t="inlineStr">
        <is>
          <t>GBP</t>
        </is>
      </c>
      <c r="I1225" s="7" t="n">
        <v>-83.181</v>
      </c>
      <c r="J1225" s="8" t="n">
        <v>46253.70188657408</v>
      </c>
      <c r="K1225" t="inlineStr">
        <is>
          <t>CF260819 01219</t>
        </is>
      </c>
      <c r="L1225" t="inlineStr">
        <is>
          <t>GL.NOSTRO.USD.BRGL.008</t>
        </is>
      </c>
      <c r="M1225" t="inlineStr">
        <is>
          <t>Elmwood Bank</t>
        </is>
      </c>
      <c r="N1225" t="inlineStr">
        <is>
          <t>BRGL</t>
        </is>
      </c>
      <c r="O1225" t="inlineStr">
        <is>
          <t>NEW</t>
        </is>
      </c>
      <c r="Q1225" t="inlineStr">
        <is>
          <t>NETTER</t>
        </is>
      </c>
    </row>
    <row r="1226">
      <c r="A1226" t="inlineStr">
        <is>
          <t>468341071172</t>
        </is>
      </c>
      <c r="B1226" t="inlineStr">
        <is>
          <t>TCC</t>
        </is>
      </c>
      <c r="C1226" t="inlineStr">
        <is>
          <t>BRCC</t>
        </is>
      </c>
      <c r="D1226" s="6" t="n">
        <v>46253</v>
      </c>
      <c r="E1226" t="inlineStr">
        <is>
          <t>CR</t>
        </is>
      </c>
      <c r="F1226" t="inlineStr">
        <is>
          <t>EUR</t>
        </is>
      </c>
      <c r="G1226" s="7" t="n">
        <v>29761475.913</v>
      </c>
      <c r="H1226" t="inlineStr">
        <is>
          <t>GBP</t>
        </is>
      </c>
      <c r="I1226" s="7" t="n">
        <v>25535346.333</v>
      </c>
      <c r="J1226" s="8" t="n">
        <v>46253.63111111111</v>
      </c>
      <c r="K1226" t="inlineStr">
        <is>
          <t>CF260819 01220</t>
        </is>
      </c>
      <c r="L1226" t="inlineStr">
        <is>
          <t>GL.NOSTRO.EUR.BRCC.002</t>
        </is>
      </c>
      <c r="M1226" t="inlineStr">
        <is>
          <t>Elmwood Clearing</t>
        </is>
      </c>
      <c r="N1226" t="inlineStr">
        <is>
          <t>BRCCTRSY</t>
        </is>
      </c>
      <c r="O1226" t="inlineStr">
        <is>
          <t>NEW</t>
        </is>
      </c>
      <c r="Q1226" t="inlineStr">
        <is>
          <t>NETTER</t>
        </is>
      </c>
    </row>
    <row r="1227">
      <c r="A1227" t="inlineStr">
        <is>
          <t>794226063698</t>
        </is>
      </c>
      <c r="B1227" t="inlineStr">
        <is>
          <t>TCX</t>
        </is>
      </c>
      <c r="C1227" t="inlineStr">
        <is>
          <t>BRMD</t>
        </is>
      </c>
      <c r="D1227" s="6" t="n">
        <v>46253</v>
      </c>
      <c r="E1227" t="inlineStr">
        <is>
          <t>DR</t>
        </is>
      </c>
      <c r="F1227" t="inlineStr">
        <is>
          <t>AED</t>
        </is>
      </c>
      <c r="G1227" s="7" t="n">
        <v>-1795813.385</v>
      </c>
      <c r="H1227" t="inlineStr">
        <is>
          <t>GBP</t>
        </is>
      </c>
      <c r="I1227" s="7" t="n">
        <v>-382508.251</v>
      </c>
      <c r="J1227" s="8" t="n">
        <v>46253.30944444444</v>
      </c>
      <c r="K1227" t="inlineStr">
        <is>
          <t>CF260819 01221</t>
        </is>
      </c>
      <c r="L1227" t="inlineStr">
        <is>
          <t>GL.NOSTRO.AED.BRMD.004</t>
        </is>
      </c>
      <c r="M1227" t="inlineStr">
        <is>
          <t>Bramble Bank</t>
        </is>
      </c>
      <c r="N1227" t="inlineStr">
        <is>
          <t>BRMD</t>
        </is>
      </c>
      <c r="O1227" t="inlineStr">
        <is>
          <t>NEW</t>
        </is>
      </c>
      <c r="P1227" t="inlineStr">
        <is>
          <t>NT26081900688</t>
        </is>
      </c>
      <c r="Q1227" t="inlineStr">
        <is>
          <t>GROSS</t>
        </is>
      </c>
    </row>
    <row r="1228">
      <c r="A1228" t="inlineStr">
        <is>
          <t>910703979141</t>
        </is>
      </c>
      <c r="B1228" t="inlineStr">
        <is>
          <t>TCP</t>
        </is>
      </c>
      <c r="C1228" t="inlineStr">
        <is>
          <t>BRCC</t>
        </is>
      </c>
      <c r="D1228" s="6" t="n">
        <v>46253</v>
      </c>
      <c r="E1228" t="inlineStr">
        <is>
          <t>DR</t>
        </is>
      </c>
      <c r="F1228" t="inlineStr">
        <is>
          <t>CHF</t>
        </is>
      </c>
      <c r="G1228" s="7" t="n">
        <v>-1523573.947</v>
      </c>
      <c r="H1228" t="inlineStr">
        <is>
          <t>GBP</t>
        </is>
      </c>
      <c r="I1228" s="7" t="n">
        <v>-1366645.83</v>
      </c>
      <c r="J1228" s="8" t="n">
        <v>46253.47055555556</v>
      </c>
      <c r="K1228" t="inlineStr">
        <is>
          <t>CF260819 01222</t>
        </is>
      </c>
      <c r="L1228" t="inlineStr">
        <is>
          <t>GL.NOSTRO.CHF.BRCC.003</t>
        </is>
      </c>
      <c r="M1228" t="inlineStr">
        <is>
          <t>Mallow Trust</t>
        </is>
      </c>
      <c r="N1228" t="inlineStr">
        <is>
          <t>BRCCTRSY</t>
        </is>
      </c>
      <c r="O1228" t="inlineStr">
        <is>
          <t>NEW</t>
        </is>
      </c>
      <c r="Q1228" t="inlineStr">
        <is>
          <t>NETTER</t>
        </is>
      </c>
    </row>
    <row r="1229">
      <c r="A1229" t="inlineStr">
        <is>
          <t>132544340094</t>
        </is>
      </c>
      <c r="B1229" t="inlineStr">
        <is>
          <t>TCG</t>
        </is>
      </c>
      <c r="C1229" t="inlineStr">
        <is>
          <t>BRYG</t>
        </is>
      </c>
      <c r="D1229" s="6" t="n">
        <v>46253</v>
      </c>
      <c r="E1229" t="inlineStr">
        <is>
          <t>CR</t>
        </is>
      </c>
      <c r="F1229" t="inlineStr">
        <is>
          <t>CZK</t>
        </is>
      </c>
      <c r="G1229" s="7" t="n">
        <v>701129.455</v>
      </c>
      <c r="H1229" t="inlineStr">
        <is>
          <t>GBP</t>
        </is>
      </c>
      <c r="I1229" s="7" t="n">
        <v>23768.289</v>
      </c>
      <c r="J1229" s="8" t="n">
        <v>46253.61708333333</v>
      </c>
      <c r="K1229" t="inlineStr">
        <is>
          <t>CF260819 01223</t>
        </is>
      </c>
      <c r="L1229" t="inlineStr">
        <is>
          <t>GL.NOSTRO.CZK.BRYG.002</t>
        </is>
      </c>
      <c r="M1229" t="inlineStr">
        <is>
          <t>Dunlin Clearing</t>
        </is>
      </c>
      <c r="N1229" t="inlineStr">
        <is>
          <t>BRYGCASH</t>
        </is>
      </c>
      <c r="O1229" t="inlineStr">
        <is>
          <t>NEW</t>
        </is>
      </c>
      <c r="P1229" t="inlineStr">
        <is>
          <t>NT26081900668</t>
        </is>
      </c>
      <c r="Q1229" t="inlineStr">
        <is>
          <t>NETTER</t>
        </is>
      </c>
    </row>
    <row r="1230">
      <c r="A1230" t="inlineStr">
        <is>
          <t>150316825069</t>
        </is>
      </c>
      <c r="B1230" t="inlineStr">
        <is>
          <t>TCQ</t>
        </is>
      </c>
      <c r="C1230" t="inlineStr">
        <is>
          <t>BRGX</t>
        </is>
      </c>
      <c r="D1230" s="6" t="n">
        <v>46253</v>
      </c>
      <c r="E1230" t="inlineStr">
        <is>
          <t>DR</t>
        </is>
      </c>
      <c r="F1230" t="inlineStr">
        <is>
          <t>GBP</t>
        </is>
      </c>
      <c r="G1230" s="7" t="n">
        <v>-1387306446.162</v>
      </c>
      <c r="H1230" t="inlineStr">
        <is>
          <t>GBP</t>
        </is>
      </c>
      <c r="I1230" s="7" t="n">
        <v>-1387306446.162</v>
      </c>
      <c r="J1230" s="8" t="n">
        <v>46253.68739583333</v>
      </c>
      <c r="K1230" t="inlineStr">
        <is>
          <t>CF260819 01224</t>
        </is>
      </c>
      <c r="L1230" t="inlineStr">
        <is>
          <t>GL.NOSTRO.GBP.BRGX.007</t>
        </is>
      </c>
      <c r="M1230" t="inlineStr">
        <is>
          <t>Dunlin Bank</t>
        </is>
      </c>
      <c r="N1230" t="inlineStr">
        <is>
          <t>BRGX</t>
        </is>
      </c>
      <c r="O1230" t="inlineStr">
        <is>
          <t>NEW</t>
        </is>
      </c>
      <c r="P1230" t="inlineStr">
        <is>
          <t>NT26081900673</t>
        </is>
      </c>
      <c r="Q1230" t="inlineStr">
        <is>
          <t>GROSS</t>
        </is>
      </c>
    </row>
    <row r="1231">
      <c r="A1231" t="inlineStr">
        <is>
          <t>794226063698</t>
        </is>
      </c>
      <c r="B1231" t="inlineStr">
        <is>
          <t>TCC</t>
        </is>
      </c>
      <c r="C1231" t="inlineStr">
        <is>
          <t>BRMD</t>
        </is>
      </c>
      <c r="D1231" s="6" t="n">
        <v>46253</v>
      </c>
      <c r="E1231" t="inlineStr">
        <is>
          <t>DR</t>
        </is>
      </c>
      <c r="F1231" t="inlineStr">
        <is>
          <t>AED</t>
        </is>
      </c>
      <c r="G1231" s="7" t="n">
        <v>-8935380.992000001</v>
      </c>
      <c r="H1231" t="inlineStr">
        <is>
          <t>GBP</t>
        </is>
      </c>
      <c r="I1231" s="7" t="n">
        <v>-1903236.151</v>
      </c>
      <c r="J1231" s="8" t="n">
        <v>46253.4169675926</v>
      </c>
      <c r="K1231" t="inlineStr">
        <is>
          <t>CF260819 01225</t>
        </is>
      </c>
      <c r="L1231" t="inlineStr">
        <is>
          <t>GL.NOSTRO.AED.BRMD.002</t>
        </is>
      </c>
      <c r="M1231" t="inlineStr">
        <is>
          <t>Thornbury Bank</t>
        </is>
      </c>
      <c r="N1231" t="inlineStr">
        <is>
          <t>BRMDCASH</t>
        </is>
      </c>
      <c r="O1231" t="inlineStr">
        <is>
          <t>NEW</t>
        </is>
      </c>
      <c r="Q1231" t="inlineStr">
        <is>
          <t>NETTER</t>
        </is>
      </c>
    </row>
    <row r="1232">
      <c r="A1232" t="inlineStr">
        <is>
          <t>132544340094</t>
        </is>
      </c>
      <c r="B1232" t="inlineStr">
        <is>
          <t>TCP</t>
        </is>
      </c>
      <c r="C1232" t="inlineStr">
        <is>
          <t>BRYG</t>
        </is>
      </c>
      <c r="D1232" s="6" t="n">
        <v>46253</v>
      </c>
      <c r="E1232" t="inlineStr">
        <is>
          <t>DR</t>
        </is>
      </c>
      <c r="F1232" t="inlineStr">
        <is>
          <t>CZK</t>
        </is>
      </c>
      <c r="G1232" s="7" t="n">
        <v>-416397499.67</v>
      </c>
      <c r="H1232" t="inlineStr">
        <is>
          <t>GBP</t>
        </is>
      </c>
      <c r="I1232" s="7" t="n">
        <v>-14115875.239</v>
      </c>
      <c r="J1232" s="8" t="n">
        <v>46253.39993055556</v>
      </c>
      <c r="K1232" t="inlineStr">
        <is>
          <t>CF260819 01226</t>
        </is>
      </c>
      <c r="L1232" t="inlineStr">
        <is>
          <t>GL.NOSTRO.CZK.BRYG.004</t>
        </is>
      </c>
      <c r="M1232" t="inlineStr">
        <is>
          <t>Wrenfield Settlement Bank</t>
        </is>
      </c>
      <c r="N1232" t="inlineStr">
        <is>
          <t>BRYGCASH</t>
        </is>
      </c>
      <c r="O1232" t="inlineStr">
        <is>
          <t>NEW</t>
        </is>
      </c>
      <c r="Q1232" t="inlineStr">
        <is>
          <t>GROSS</t>
        </is>
      </c>
    </row>
    <row r="1233">
      <c r="A1233" t="inlineStr">
        <is>
          <t>150316825069</t>
        </is>
      </c>
      <c r="B1233" t="inlineStr">
        <is>
          <t>TCQ</t>
        </is>
      </c>
      <c r="C1233" t="inlineStr">
        <is>
          <t>BRGX</t>
        </is>
      </c>
      <c r="D1233" s="6" t="n">
        <v>46253</v>
      </c>
      <c r="E1233" t="inlineStr">
        <is>
          <t>CR</t>
        </is>
      </c>
      <c r="F1233" t="inlineStr">
        <is>
          <t>GBP</t>
        </is>
      </c>
      <c r="G1233" s="7" t="n">
        <v>1990271.231</v>
      </c>
      <c r="H1233" t="inlineStr">
        <is>
          <t>GBP</t>
        </is>
      </c>
      <c r="I1233" s="7" t="n">
        <v>1990271.231</v>
      </c>
      <c r="J1233" s="8" t="n">
        <v>46253.67907407408</v>
      </c>
      <c r="K1233" t="inlineStr">
        <is>
          <t>CF260819 01227</t>
        </is>
      </c>
      <c r="L1233" t="inlineStr">
        <is>
          <t>GL.NOSTRO.GBP.BRGX.007</t>
        </is>
      </c>
      <c r="M1233" t="inlineStr">
        <is>
          <t>Wrenfield Commercial Bank</t>
        </is>
      </c>
      <c r="N1233" t="inlineStr">
        <is>
          <t>BRGX</t>
        </is>
      </c>
      <c r="O1233" t="inlineStr">
        <is>
          <t>NEW</t>
        </is>
      </c>
      <c r="Q1233" t="inlineStr">
        <is>
          <t>GROSS</t>
        </is>
      </c>
    </row>
    <row r="1234">
      <c r="A1234" t="inlineStr">
        <is>
          <t>621381112674</t>
        </is>
      </c>
      <c r="B1234" t="inlineStr">
        <is>
          <t>TCG</t>
        </is>
      </c>
      <c r="C1234" t="inlineStr">
        <is>
          <t>BRAA</t>
        </is>
      </c>
      <c r="D1234" s="6" t="n">
        <v>46253</v>
      </c>
      <c r="E1234" t="inlineStr">
        <is>
          <t>DR</t>
        </is>
      </c>
      <c r="F1234" t="inlineStr">
        <is>
          <t>PLN</t>
        </is>
      </c>
      <c r="G1234" s="7" t="n">
        <v>-1253301.031</v>
      </c>
      <c r="H1234" t="inlineStr">
        <is>
          <t>GBP</t>
        </is>
      </c>
      <c r="I1234" s="7" t="n">
        <v>-248153.604</v>
      </c>
      <c r="J1234" s="8" t="n">
        <v>46253.631875</v>
      </c>
      <c r="K1234" t="inlineStr">
        <is>
          <t>CF260819 01228</t>
        </is>
      </c>
      <c r="L1234" t="inlineStr">
        <is>
          <t>GL.NOSTRO.PLN.BRAA.001</t>
        </is>
      </c>
      <c r="M1234" t="inlineStr">
        <is>
          <t>Dunlin Bank</t>
        </is>
      </c>
      <c r="N1234" t="inlineStr">
        <is>
          <t>BRAA</t>
        </is>
      </c>
      <c r="O1234" t="inlineStr">
        <is>
          <t>NEW</t>
        </is>
      </c>
      <c r="P1234" t="inlineStr">
        <is>
          <t>NT26081900679</t>
        </is>
      </c>
      <c r="Q1234" t="inlineStr">
        <is>
          <t>NETTER</t>
        </is>
      </c>
    </row>
    <row r="1235">
      <c r="A1235" t="inlineStr">
        <is>
          <t>910703979141</t>
        </is>
      </c>
      <c r="B1235" t="inlineStr">
        <is>
          <t>TCG</t>
        </is>
      </c>
      <c r="C1235" t="inlineStr">
        <is>
          <t>BRCC</t>
        </is>
      </c>
      <c r="D1235" s="6" t="n">
        <v>46253</v>
      </c>
      <c r="E1235" t="inlineStr">
        <is>
          <t>CR</t>
        </is>
      </c>
      <c r="F1235" t="inlineStr">
        <is>
          <t>CHF</t>
        </is>
      </c>
      <c r="G1235" s="7" t="n">
        <v>736187250.954</v>
      </c>
      <c r="H1235" t="inlineStr">
        <is>
          <t>GBP</t>
        </is>
      </c>
      <c r="I1235" s="7" t="n">
        <v>660359964.1059999</v>
      </c>
      <c r="J1235" s="8" t="n">
        <v>46253.63693287037</v>
      </c>
      <c r="K1235" t="inlineStr">
        <is>
          <t>CF260819 01229</t>
        </is>
      </c>
      <c r="L1235" t="inlineStr">
        <is>
          <t>GL.NOSTRO.CHF.BRCC.006</t>
        </is>
      </c>
      <c r="M1235" t="inlineStr">
        <is>
          <t>Dunlin Bank</t>
        </is>
      </c>
      <c r="N1235" t="inlineStr">
        <is>
          <t>BRCCMM</t>
        </is>
      </c>
      <c r="O1235" t="inlineStr">
        <is>
          <t>NEW</t>
        </is>
      </c>
      <c r="Q1235" t="inlineStr">
        <is>
          <t>INTERNAL</t>
        </is>
      </c>
    </row>
    <row r="1236">
      <c r="A1236" t="inlineStr">
        <is>
          <t>898317028833</t>
        </is>
      </c>
      <c r="B1236" t="inlineStr">
        <is>
          <t>TCC</t>
        </is>
      </c>
      <c r="C1236" t="inlineStr">
        <is>
          <t>BRAA</t>
        </is>
      </c>
      <c r="D1236" s="6" t="n">
        <v>46253</v>
      </c>
      <c r="E1236" t="inlineStr">
        <is>
          <t>DR</t>
        </is>
      </c>
      <c r="F1236" t="inlineStr">
        <is>
          <t>GBP</t>
        </is>
      </c>
      <c r="G1236" s="7" t="n">
        <v>-14909828.908</v>
      </c>
      <c r="H1236" t="inlineStr">
        <is>
          <t>GBP</t>
        </is>
      </c>
      <c r="I1236" s="7" t="n">
        <v>-14909828.908</v>
      </c>
      <c r="J1236" s="8" t="n">
        <v>46253.49681712963</v>
      </c>
      <c r="K1236" t="inlineStr">
        <is>
          <t>CF260819 01230</t>
        </is>
      </c>
      <c r="L1236" t="inlineStr">
        <is>
          <t>GL.NOSTRO.GBP.BRAA.002</t>
        </is>
      </c>
      <c r="M1236" t="inlineStr">
        <is>
          <t>Granite Bank</t>
        </is>
      </c>
      <c r="N1236" t="inlineStr">
        <is>
          <t>BRAAMM</t>
        </is>
      </c>
      <c r="O1236" t="inlineStr">
        <is>
          <t>NEW</t>
        </is>
      </c>
      <c r="Q1236" t="inlineStr">
        <is>
          <t>GROSS</t>
        </is>
      </c>
    </row>
    <row r="1237">
      <c r="A1237" t="inlineStr">
        <is>
          <t>726928343448</t>
        </is>
      </c>
      <c r="B1237" t="inlineStr">
        <is>
          <t>TCP</t>
        </is>
      </c>
      <c r="C1237" t="inlineStr">
        <is>
          <t>BRGX</t>
        </is>
      </c>
      <c r="D1237" s="6" t="n">
        <v>46253</v>
      </c>
      <c r="E1237" t="inlineStr">
        <is>
          <t>CR</t>
        </is>
      </c>
      <c r="F1237" t="inlineStr">
        <is>
          <t>EUR</t>
        </is>
      </c>
      <c r="G1237" s="7" t="n">
        <v>582537416.929</v>
      </c>
      <c r="H1237" t="inlineStr">
        <is>
          <t>GBP</t>
        </is>
      </c>
      <c r="I1237" s="7" t="n">
        <v>499817103.725</v>
      </c>
      <c r="J1237" s="8" t="n">
        <v>46253.30297453704</v>
      </c>
      <c r="K1237" t="inlineStr">
        <is>
          <t>CF260819 01231</t>
        </is>
      </c>
      <c r="L1237" t="inlineStr">
        <is>
          <t>GL.NOSTRO.EUR.BRGX.002</t>
        </is>
      </c>
      <c r="M1237" t="inlineStr">
        <is>
          <t>Vetchling Settlement Bank</t>
        </is>
      </c>
      <c r="N1237" t="inlineStr">
        <is>
          <t>BRGXTRSY</t>
        </is>
      </c>
      <c r="O1237" t="inlineStr">
        <is>
          <t>NEW</t>
        </is>
      </c>
      <c r="Q1237" t="inlineStr">
        <is>
          <t>GROSS</t>
        </is>
      </c>
    </row>
    <row r="1238">
      <c r="A1238" t="inlineStr">
        <is>
          <t>953625291146</t>
        </is>
      </c>
      <c r="B1238" t="inlineStr">
        <is>
          <t>TCG</t>
        </is>
      </c>
      <c r="C1238" t="inlineStr">
        <is>
          <t>BRGL</t>
        </is>
      </c>
      <c r="D1238" s="6" t="n">
        <v>46253</v>
      </c>
      <c r="E1238" t="inlineStr">
        <is>
          <t>DR</t>
        </is>
      </c>
      <c r="F1238" t="inlineStr">
        <is>
          <t>USD</t>
        </is>
      </c>
      <c r="G1238" s="7" t="n">
        <v>-242929009.77</v>
      </c>
      <c r="H1238" t="inlineStr">
        <is>
          <t>GBP</t>
        </is>
      </c>
      <c r="I1238" s="7" t="n">
        <v>-190456343.66</v>
      </c>
      <c r="J1238" s="8" t="n">
        <v>46253.34133101852</v>
      </c>
      <c r="K1238" t="inlineStr">
        <is>
          <t>CF260819 01232</t>
        </is>
      </c>
      <c r="L1238" t="inlineStr">
        <is>
          <t>GL.NOSTRO.USD.BRGL.009</t>
        </is>
      </c>
      <c r="M1238" t="inlineStr">
        <is>
          <t>Dunlin Bank</t>
        </is>
      </c>
      <c r="N1238" t="inlineStr">
        <is>
          <t>BRGLMM</t>
        </is>
      </c>
      <c r="O1238" t="inlineStr">
        <is>
          <t>NEW</t>
        </is>
      </c>
      <c r="P1238" t="inlineStr">
        <is>
          <t>NT26081900665</t>
        </is>
      </c>
      <c r="Q1238" t="inlineStr">
        <is>
          <t>NETTER</t>
        </is>
      </c>
    </row>
    <row r="1239">
      <c r="A1239" t="inlineStr">
        <is>
          <t>150316825069</t>
        </is>
      </c>
      <c r="B1239" t="inlineStr">
        <is>
          <t>TCG</t>
        </is>
      </c>
      <c r="C1239" t="inlineStr">
        <is>
          <t>BRGX</t>
        </is>
      </c>
      <c r="D1239" s="6" t="n">
        <v>46253</v>
      </c>
      <c r="E1239" t="inlineStr">
        <is>
          <t>DR</t>
        </is>
      </c>
      <c r="F1239" t="inlineStr">
        <is>
          <t>GBP</t>
        </is>
      </c>
      <c r="G1239" s="7" t="n">
        <v>-2630365.904</v>
      </c>
      <c r="H1239" t="inlineStr">
        <is>
          <t>GBP</t>
        </is>
      </c>
      <c r="I1239" s="7" t="n">
        <v>-2630365.904</v>
      </c>
      <c r="J1239" s="8" t="n">
        <v>46253.42659722222</v>
      </c>
      <c r="K1239" t="inlineStr">
        <is>
          <t>CF260819 01233</t>
        </is>
      </c>
      <c r="L1239" t="inlineStr">
        <is>
          <t>GL.NOSTRO.GBP.BRGX.005</t>
        </is>
      </c>
      <c r="M1239" t="inlineStr">
        <is>
          <t>Vetchling Bank</t>
        </is>
      </c>
      <c r="N1239" t="inlineStr">
        <is>
          <t>BRGXCASH</t>
        </is>
      </c>
      <c r="O1239" t="inlineStr">
        <is>
          <t>NEW</t>
        </is>
      </c>
      <c r="Q1239" t="inlineStr">
        <is>
          <t>INTERNAL</t>
        </is>
      </c>
    </row>
    <row r="1240">
      <c r="A1240" t="inlineStr">
        <is>
          <t>824840705580</t>
        </is>
      </c>
      <c r="B1240" t="inlineStr">
        <is>
          <t>TCP</t>
        </is>
      </c>
      <c r="C1240" t="inlineStr">
        <is>
          <t>BRGL</t>
        </is>
      </c>
      <c r="D1240" s="6" t="n">
        <v>46253</v>
      </c>
      <c r="E1240" t="inlineStr">
        <is>
          <t>CR</t>
        </is>
      </c>
      <c r="F1240" t="inlineStr">
        <is>
          <t>EUR</t>
        </is>
      </c>
      <c r="G1240" s="7" t="n">
        <v>34835162.349</v>
      </c>
      <c r="H1240" t="inlineStr">
        <is>
          <t>GBP</t>
        </is>
      </c>
      <c r="I1240" s="7" t="n">
        <v>29888569.295</v>
      </c>
      <c r="J1240" s="8" t="n">
        <v>46253.36004629629</v>
      </c>
      <c r="K1240" t="inlineStr">
        <is>
          <t>CF260819 01234</t>
        </is>
      </c>
      <c r="L1240" t="inlineStr">
        <is>
          <t>GL.NOSTRO.EUR.BRGL.004</t>
        </is>
      </c>
      <c r="M1240" t="inlineStr">
        <is>
          <t>Juniper Settlement Bank</t>
        </is>
      </c>
      <c r="N1240" t="inlineStr">
        <is>
          <t>BRGLTRSY</t>
        </is>
      </c>
      <c r="O1240" t="inlineStr">
        <is>
          <t>NEW</t>
        </is>
      </c>
      <c r="P1240" t="inlineStr">
        <is>
          <t>NT26081900664</t>
        </is>
      </c>
      <c r="Q1240" t="inlineStr">
        <is>
          <t>NETTER</t>
        </is>
      </c>
    </row>
    <row r="1241">
      <c r="A1241" t="inlineStr">
        <is>
          <t>910703979141</t>
        </is>
      </c>
      <c r="B1241" t="inlineStr">
        <is>
          <t>TCP</t>
        </is>
      </c>
      <c r="C1241" t="inlineStr">
        <is>
          <t>BRCC</t>
        </is>
      </c>
      <c r="D1241" s="6" t="n">
        <v>46253</v>
      </c>
      <c r="E1241" t="inlineStr">
        <is>
          <t>DR</t>
        </is>
      </c>
      <c r="F1241" t="inlineStr">
        <is>
          <t>CHF</t>
        </is>
      </c>
      <c r="G1241" s="7" t="n">
        <v>-12201163.818</v>
      </c>
      <c r="H1241" t="inlineStr">
        <is>
          <t>GBP</t>
        </is>
      </c>
      <c r="I1241" s="7" t="n">
        <v>-10944443.945</v>
      </c>
      <c r="J1241" s="8" t="n">
        <v>46253.60606481481</v>
      </c>
      <c r="K1241" t="inlineStr">
        <is>
          <t>CF260819 01235</t>
        </is>
      </c>
      <c r="L1241" t="inlineStr">
        <is>
          <t>GL.NOSTRO.CHF.BRCC.006</t>
        </is>
      </c>
      <c r="M1241" t="inlineStr">
        <is>
          <t>Ironbark Commercial Bank</t>
        </is>
      </c>
      <c r="N1241" t="inlineStr">
        <is>
          <t>BRCC</t>
        </is>
      </c>
      <c r="O1241" t="inlineStr">
        <is>
          <t>NEW</t>
        </is>
      </c>
      <c r="Q1241" t="inlineStr">
        <is>
          <t>GROSS</t>
        </is>
      </c>
    </row>
    <row r="1242">
      <c r="A1242" t="inlineStr">
        <is>
          <t>359365220160</t>
        </is>
      </c>
      <c r="B1242" t="inlineStr">
        <is>
          <t>TCC</t>
        </is>
      </c>
      <c r="C1242" t="inlineStr">
        <is>
          <t>BRGX</t>
        </is>
      </c>
      <c r="D1242" s="6" t="n">
        <v>46253</v>
      </c>
      <c r="E1242" t="inlineStr">
        <is>
          <t>CR</t>
        </is>
      </c>
      <c r="F1242" t="inlineStr">
        <is>
          <t>EUR</t>
        </is>
      </c>
      <c r="G1242" s="7" t="n">
        <v>40844024.154</v>
      </c>
      <c r="H1242" t="inlineStr">
        <is>
          <t>GBP</t>
        </is>
      </c>
      <c r="I1242" s="7" t="n">
        <v>35044172.724</v>
      </c>
      <c r="J1242" s="8" t="n">
        <v>46253.69752314815</v>
      </c>
      <c r="K1242" t="inlineStr">
        <is>
          <t>CF260819 01236</t>
        </is>
      </c>
      <c r="L1242" t="inlineStr">
        <is>
          <t>GL.NOSTRO.EUR.BRGX.005</t>
        </is>
      </c>
      <c r="M1242" t="inlineStr">
        <is>
          <t>Oriel Trust</t>
        </is>
      </c>
      <c r="N1242" t="inlineStr">
        <is>
          <t>BRGX</t>
        </is>
      </c>
      <c r="O1242" t="inlineStr">
        <is>
          <t>NEW</t>
        </is>
      </c>
      <c r="Q1242" t="inlineStr">
        <is>
          <t>NETTER</t>
        </is>
      </c>
    </row>
    <row r="1243">
      <c r="A1243" t="inlineStr">
        <is>
          <t>120047354818</t>
        </is>
      </c>
      <c r="B1243" t="inlineStr">
        <is>
          <t>TCX</t>
        </is>
      </c>
      <c r="C1243" t="inlineStr">
        <is>
          <t>BRNK</t>
        </is>
      </c>
      <c r="D1243" s="6" t="n">
        <v>46253</v>
      </c>
      <c r="E1243" t="inlineStr">
        <is>
          <t>CR</t>
        </is>
      </c>
      <c r="F1243" t="inlineStr">
        <is>
          <t>USD</t>
        </is>
      </c>
      <c r="G1243" s="7" t="n">
        <v>2562071.364</v>
      </c>
      <c r="H1243" t="inlineStr">
        <is>
          <t>GBP</t>
        </is>
      </c>
      <c r="I1243" s="7" t="n">
        <v>2008663.949</v>
      </c>
      <c r="J1243" s="8" t="n">
        <v>46253.665625</v>
      </c>
      <c r="K1243" t="inlineStr">
        <is>
          <t>CF260819 01237</t>
        </is>
      </c>
      <c r="L1243" t="inlineStr">
        <is>
          <t>GL.NOSTRO.USD.BRNK.002</t>
        </is>
      </c>
      <c r="M1243" t="inlineStr">
        <is>
          <t>Granite Clearing</t>
        </is>
      </c>
      <c r="N1243" t="inlineStr">
        <is>
          <t>BRNKCASH</t>
        </is>
      </c>
      <c r="O1243" t="inlineStr">
        <is>
          <t>NEW</t>
        </is>
      </c>
      <c r="Q1243" t="inlineStr">
        <is>
          <t>GROSS</t>
        </is>
      </c>
    </row>
    <row r="1244">
      <c r="A1244" t="inlineStr">
        <is>
          <t>953625291146</t>
        </is>
      </c>
      <c r="B1244" t="inlineStr">
        <is>
          <t>TCG</t>
        </is>
      </c>
      <c r="C1244" t="inlineStr">
        <is>
          <t>BRGL</t>
        </is>
      </c>
      <c r="D1244" s="6" t="n">
        <v>46253</v>
      </c>
      <c r="E1244" t="inlineStr">
        <is>
          <t>DR</t>
        </is>
      </c>
      <c r="F1244" t="inlineStr">
        <is>
          <t>USD</t>
        </is>
      </c>
      <c r="G1244" s="7" t="n">
        <v>-545845441.783</v>
      </c>
      <c r="H1244" t="inlineStr">
        <is>
          <t>GBP</t>
        </is>
      </c>
      <c r="I1244" s="7" t="n">
        <v>-427942826.358</v>
      </c>
      <c r="J1244" s="8" t="n">
        <v>46253.60959490741</v>
      </c>
      <c r="K1244" t="inlineStr">
        <is>
          <t>CF260819 01238</t>
        </is>
      </c>
      <c r="L1244" t="inlineStr">
        <is>
          <t>GL.NOSTRO.USD.BRGL.006</t>
        </is>
      </c>
      <c r="M1244" t="inlineStr">
        <is>
          <t>Wrenfield Settlement Bank</t>
        </is>
      </c>
      <c r="N1244" t="inlineStr">
        <is>
          <t>BRGLMM</t>
        </is>
      </c>
      <c r="O1244" t="inlineStr">
        <is>
          <t>NEW</t>
        </is>
      </c>
      <c r="Q1244" t="inlineStr">
        <is>
          <t>GROSS</t>
        </is>
      </c>
    </row>
    <row r="1245">
      <c r="A1245" t="inlineStr">
        <is>
          <t>910703979141</t>
        </is>
      </c>
      <c r="B1245" t="inlineStr">
        <is>
          <t>TCX</t>
        </is>
      </c>
      <c r="C1245" t="inlineStr">
        <is>
          <t>BRCC</t>
        </is>
      </c>
      <c r="D1245" s="6" t="n">
        <v>46253</v>
      </c>
      <c r="E1245" t="inlineStr">
        <is>
          <t>DR</t>
        </is>
      </c>
      <c r="F1245" t="inlineStr">
        <is>
          <t>CHF</t>
        </is>
      </c>
      <c r="G1245" s="7" t="n">
        <v>-58323.757</v>
      </c>
      <c r="H1245" t="inlineStr">
        <is>
          <t>GBP</t>
        </is>
      </c>
      <c r="I1245" s="7" t="n">
        <v>-52316.41</v>
      </c>
      <c r="J1245" s="8" t="n">
        <v>46253.53994212963</v>
      </c>
      <c r="K1245" t="inlineStr">
        <is>
          <t>CF260819 01239</t>
        </is>
      </c>
      <c r="L1245" t="inlineStr">
        <is>
          <t>GL.NOSTRO.CHF.BRCC.001</t>
        </is>
      </c>
      <c r="M1245" t="inlineStr">
        <is>
          <t>Mallow Clearing</t>
        </is>
      </c>
      <c r="N1245" t="inlineStr">
        <is>
          <t>BRCCTRSY</t>
        </is>
      </c>
      <c r="O1245" t="inlineStr">
        <is>
          <t>NEW</t>
        </is>
      </c>
      <c r="Q1245" t="inlineStr">
        <is>
          <t>NETTER</t>
        </is>
      </c>
    </row>
    <row r="1246">
      <c r="A1246" t="inlineStr">
        <is>
          <t>953625291146</t>
        </is>
      </c>
      <c r="B1246" t="inlineStr">
        <is>
          <t>TCQ</t>
        </is>
      </c>
      <c r="C1246" t="inlineStr">
        <is>
          <t>BRGL</t>
        </is>
      </c>
      <c r="D1246" s="6" t="n">
        <v>46253</v>
      </c>
      <c r="E1246" t="inlineStr">
        <is>
          <t>CR</t>
        </is>
      </c>
      <c r="F1246" t="inlineStr">
        <is>
          <t>USD</t>
        </is>
      </c>
      <c r="G1246" s="7" t="n">
        <v>106.871</v>
      </c>
      <c r="H1246" t="inlineStr">
        <is>
          <t>GBP</t>
        </is>
      </c>
      <c r="I1246" s="7" t="n">
        <v>83.78700000000001</v>
      </c>
      <c r="J1246" s="8" t="n">
        <v>46253.4027662037</v>
      </c>
      <c r="K1246" t="inlineStr">
        <is>
          <t>CF260819 01240</t>
        </is>
      </c>
      <c r="L1246" t="inlineStr">
        <is>
          <t>GL.NOSTRO.USD.BRGL.004</t>
        </is>
      </c>
      <c r="M1246" t="inlineStr">
        <is>
          <t>Pinehurst Settlement Bank</t>
        </is>
      </c>
      <c r="N1246" t="inlineStr">
        <is>
          <t>BRGLTRSY</t>
        </is>
      </c>
      <c r="O1246" t="inlineStr">
        <is>
          <t>NEW</t>
        </is>
      </c>
      <c r="P1246" t="inlineStr">
        <is>
          <t>NT26081900663</t>
        </is>
      </c>
      <c r="Q1246" t="inlineStr">
        <is>
          <t>GROSS</t>
        </is>
      </c>
    </row>
    <row r="1247">
      <c r="A1247" t="inlineStr">
        <is>
          <t>968942362772</t>
        </is>
      </c>
      <c r="B1247" t="inlineStr">
        <is>
          <t>TCP</t>
        </is>
      </c>
      <c r="C1247" t="inlineStr">
        <is>
          <t>BRYG</t>
        </is>
      </c>
      <c r="D1247" s="6" t="n">
        <v>46253</v>
      </c>
      <c r="E1247" t="inlineStr">
        <is>
          <t>DR</t>
        </is>
      </c>
      <c r="F1247" t="inlineStr">
        <is>
          <t>EUR</t>
        </is>
      </c>
      <c r="G1247" s="7" t="n">
        <v>-19599506.447</v>
      </c>
      <c r="H1247" t="inlineStr">
        <is>
          <t>GBP</t>
        </is>
      </c>
      <c r="I1247" s="7" t="n">
        <v>-16816376.532</v>
      </c>
      <c r="J1247" s="8" t="n">
        <v>46253.61165509259</v>
      </c>
      <c r="K1247" t="inlineStr">
        <is>
          <t>CF260819 01241</t>
        </is>
      </c>
      <c r="L1247" t="inlineStr">
        <is>
          <t>GL.NOSTRO.EUR.BRYG.002</t>
        </is>
      </c>
      <c r="M1247" t="inlineStr">
        <is>
          <t>Ironbark Trust</t>
        </is>
      </c>
      <c r="N1247" t="inlineStr">
        <is>
          <t>BRYGMM</t>
        </is>
      </c>
      <c r="O1247" t="inlineStr">
        <is>
          <t>AMEND</t>
        </is>
      </c>
      <c r="P1247" t="inlineStr">
        <is>
          <t>NT26081900689</t>
        </is>
      </c>
      <c r="Q1247" t="inlineStr">
        <is>
          <t>INTERNAL</t>
        </is>
      </c>
    </row>
    <row r="1248">
      <c r="A1248" t="inlineStr">
        <is>
          <t>150316825069</t>
        </is>
      </c>
      <c r="B1248" t="inlineStr">
        <is>
          <t>TCC</t>
        </is>
      </c>
      <c r="C1248" t="inlineStr">
        <is>
          <t>BRGX</t>
        </is>
      </c>
      <c r="D1248" s="6" t="n">
        <v>46253</v>
      </c>
      <c r="E1248" t="inlineStr">
        <is>
          <t>DR</t>
        </is>
      </c>
      <c r="F1248" t="inlineStr">
        <is>
          <t>GBP</t>
        </is>
      </c>
      <c r="G1248" s="7" t="n">
        <v>-441485736.444</v>
      </c>
      <c r="H1248" t="inlineStr">
        <is>
          <t>GBP</t>
        </is>
      </c>
      <c r="I1248" s="7" t="n">
        <v>-441485736.444</v>
      </c>
      <c r="J1248" s="8" t="n">
        <v>46253.47114583333</v>
      </c>
      <c r="K1248" t="inlineStr">
        <is>
          <t>CF260819 01242</t>
        </is>
      </c>
      <c r="L1248" t="inlineStr">
        <is>
          <t>GL.NOSTRO.GBP.BRGX.003</t>
        </is>
      </c>
      <c r="M1248" t="inlineStr">
        <is>
          <t>Juniper Bank</t>
        </is>
      </c>
      <c r="N1248" t="inlineStr">
        <is>
          <t>BRGXMM</t>
        </is>
      </c>
      <c r="O1248" t="inlineStr">
        <is>
          <t>NEW</t>
        </is>
      </c>
      <c r="P1248" t="inlineStr">
        <is>
          <t>NT26081900669</t>
        </is>
      </c>
      <c r="Q1248" t="inlineStr">
        <is>
          <t>NETTER</t>
        </is>
      </c>
    </row>
    <row r="1249">
      <c r="A1249" t="inlineStr">
        <is>
          <t>284925023085</t>
        </is>
      </c>
      <c r="B1249" t="inlineStr">
        <is>
          <t>TCP</t>
        </is>
      </c>
      <c r="C1249" t="inlineStr">
        <is>
          <t>BRMD</t>
        </is>
      </c>
      <c r="D1249" s="6" t="n">
        <v>46253</v>
      </c>
      <c r="E1249" t="inlineStr">
        <is>
          <t>CR</t>
        </is>
      </c>
      <c r="F1249" t="inlineStr">
        <is>
          <t>MXN</t>
        </is>
      </c>
      <c r="G1249" s="7" t="n">
        <v>25552872.085</v>
      </c>
      <c r="H1249" t="inlineStr">
        <is>
          <t>GBP</t>
        </is>
      </c>
      <c r="I1249" s="7" t="n">
        <v>1093662.925</v>
      </c>
      <c r="J1249" s="8" t="n">
        <v>46253.35032407408</v>
      </c>
      <c r="K1249" t="inlineStr">
        <is>
          <t>CF260819 01243</t>
        </is>
      </c>
      <c r="L1249" t="inlineStr">
        <is>
          <t>GL.NOSTRO.MXN.BRMD.003</t>
        </is>
      </c>
      <c r="M1249" t="inlineStr">
        <is>
          <t>Redstart Commercial Bank</t>
        </is>
      </c>
      <c r="N1249" t="inlineStr">
        <is>
          <t>BRMDMM</t>
        </is>
      </c>
      <c r="O1249" t="inlineStr">
        <is>
          <t>NEW</t>
        </is>
      </c>
      <c r="Q1249" t="inlineStr">
        <is>
          <t>NETTER</t>
        </is>
      </c>
    </row>
    <row r="1250">
      <c r="A1250" t="inlineStr">
        <is>
          <t>726928343448</t>
        </is>
      </c>
      <c r="B1250" t="inlineStr">
        <is>
          <t>TCC</t>
        </is>
      </c>
      <c r="C1250" t="inlineStr">
        <is>
          <t>BRGX</t>
        </is>
      </c>
      <c r="D1250" s="6" t="n">
        <v>46253</v>
      </c>
      <c r="E1250" t="inlineStr">
        <is>
          <t>CR</t>
        </is>
      </c>
      <c r="F1250" t="inlineStr">
        <is>
          <t>EUR</t>
        </is>
      </c>
      <c r="G1250" s="7" t="n">
        <v>989605479.602</v>
      </c>
      <c r="H1250" t="inlineStr">
        <is>
          <t>GBP</t>
        </is>
      </c>
      <c r="I1250" s="7" t="n">
        <v>849081501.499</v>
      </c>
      <c r="J1250" s="8" t="n">
        <v>46253.57721064815</v>
      </c>
      <c r="K1250" t="inlineStr">
        <is>
          <t>CF260819 01244</t>
        </is>
      </c>
      <c r="L1250" t="inlineStr">
        <is>
          <t>GL.NOSTRO.EUR.BRGX.005</t>
        </is>
      </c>
      <c r="M1250" t="inlineStr">
        <is>
          <t>Wrenfield Commercial Bank</t>
        </is>
      </c>
      <c r="N1250" t="inlineStr">
        <is>
          <t>BRGXTRSY</t>
        </is>
      </c>
      <c r="O1250" t="inlineStr">
        <is>
          <t>NEW</t>
        </is>
      </c>
      <c r="Q1250" t="inlineStr">
        <is>
          <t>NETTER</t>
        </is>
      </c>
    </row>
    <row r="1251">
      <c r="A1251" t="inlineStr">
        <is>
          <t>499062838623</t>
        </is>
      </c>
      <c r="B1251" t="inlineStr">
        <is>
          <t>TCC</t>
        </is>
      </c>
      <c r="C1251" t="inlineStr">
        <is>
          <t>BRBX</t>
        </is>
      </c>
      <c r="D1251" s="6" t="n">
        <v>46253</v>
      </c>
      <c r="E1251" t="inlineStr">
        <is>
          <t>CR</t>
        </is>
      </c>
      <c r="F1251" t="inlineStr">
        <is>
          <t>USD</t>
        </is>
      </c>
      <c r="G1251" s="7" t="n">
        <v>12093969.457</v>
      </c>
      <c r="H1251" t="inlineStr">
        <is>
          <t>GBP</t>
        </is>
      </c>
      <c r="I1251" s="7" t="n">
        <v>9481672.054</v>
      </c>
      <c r="J1251" s="8" t="n">
        <v>46253.60820601852</v>
      </c>
      <c r="K1251" t="inlineStr">
        <is>
          <t>CF260819 01245</t>
        </is>
      </c>
      <c r="L1251" t="inlineStr">
        <is>
          <t>GL.NOSTRO.USD.BRBX.001</t>
        </is>
      </c>
      <c r="M1251" t="inlineStr">
        <is>
          <t>Alder Clearing</t>
        </is>
      </c>
      <c r="N1251" t="inlineStr">
        <is>
          <t>BRBX</t>
        </is>
      </c>
      <c r="O1251" t="inlineStr">
        <is>
          <t>NEW</t>
        </is>
      </c>
      <c r="P1251" t="inlineStr">
        <is>
          <t>NT26081900676</t>
        </is>
      </c>
      <c r="Q1251" t="inlineStr">
        <is>
          <t>GROSS</t>
        </is>
      </c>
    </row>
    <row r="1252">
      <c r="A1252" t="inlineStr">
        <is>
          <t>794226063698</t>
        </is>
      </c>
      <c r="B1252" t="inlineStr">
        <is>
          <t>TCQ</t>
        </is>
      </c>
      <c r="C1252" t="inlineStr">
        <is>
          <t>BRMD</t>
        </is>
      </c>
      <c r="D1252" s="6" t="n">
        <v>46253</v>
      </c>
      <c r="E1252" t="inlineStr">
        <is>
          <t>CR</t>
        </is>
      </c>
      <c r="F1252" t="inlineStr">
        <is>
          <t>AED</t>
        </is>
      </c>
      <c r="G1252" s="7" t="n">
        <v>1954319446.123</v>
      </c>
      <c r="H1252" t="inlineStr">
        <is>
          <t>GBP</t>
        </is>
      </c>
      <c r="I1252" s="7" t="n">
        <v>416270042.024</v>
      </c>
      <c r="J1252" s="8" t="n">
        <v>46253.70524305556</v>
      </c>
      <c r="K1252" t="inlineStr">
        <is>
          <t>CF260819 01246</t>
        </is>
      </c>
      <c r="L1252" t="inlineStr">
        <is>
          <t>GL.NOSTRO.AED.BRMD.004</t>
        </is>
      </c>
      <c r="M1252" t="inlineStr">
        <is>
          <t>Elmwood Settlement Bank</t>
        </is>
      </c>
      <c r="N1252" t="inlineStr">
        <is>
          <t>BRMD</t>
        </is>
      </c>
      <c r="O1252" t="inlineStr">
        <is>
          <t>NEW</t>
        </is>
      </c>
      <c r="P1252" t="inlineStr">
        <is>
          <t>NT26081900685</t>
        </is>
      </c>
      <c r="Q1252" t="inlineStr">
        <is>
          <t>INTERNAL</t>
        </is>
      </c>
    </row>
    <row r="1253">
      <c r="A1253" t="inlineStr">
        <is>
          <t>898317028833</t>
        </is>
      </c>
      <c r="B1253" t="inlineStr">
        <is>
          <t>TCQ</t>
        </is>
      </c>
      <c r="C1253" t="inlineStr">
        <is>
          <t>BRAA</t>
        </is>
      </c>
      <c r="D1253" s="6" t="n">
        <v>46253</v>
      </c>
      <c r="E1253" t="inlineStr">
        <is>
          <t>DR</t>
        </is>
      </c>
      <c r="F1253" t="inlineStr">
        <is>
          <t>GBP</t>
        </is>
      </c>
      <c r="G1253" s="7" t="n">
        <v>-383861.398</v>
      </c>
      <c r="H1253" t="inlineStr">
        <is>
          <t>GBP</t>
        </is>
      </c>
      <c r="I1253" s="7" t="n">
        <v>-383861.398</v>
      </c>
      <c r="J1253" s="8" t="n">
        <v>46253.33146990741</v>
      </c>
      <c r="K1253" t="inlineStr">
        <is>
          <t>CF260819 01247</t>
        </is>
      </c>
      <c r="L1253" t="inlineStr">
        <is>
          <t>GL.NOSTRO.GBP.BRAA.009</t>
        </is>
      </c>
      <c r="M1253" t="inlineStr">
        <is>
          <t>Dunlin Bank</t>
        </is>
      </c>
      <c r="N1253" t="inlineStr">
        <is>
          <t>BRAAMM</t>
        </is>
      </c>
      <c r="O1253" t="inlineStr">
        <is>
          <t>AMEND</t>
        </is>
      </c>
      <c r="P1253" t="inlineStr">
        <is>
          <t>NT26081900689</t>
        </is>
      </c>
      <c r="Q1253" t="inlineStr">
        <is>
          <t>NETTER</t>
        </is>
      </c>
    </row>
    <row r="1254">
      <c r="A1254" t="inlineStr">
        <is>
          <t>284925023085</t>
        </is>
      </c>
      <c r="B1254" t="inlineStr">
        <is>
          <t>TCQ</t>
        </is>
      </c>
      <c r="C1254" t="inlineStr">
        <is>
          <t>BRMD</t>
        </is>
      </c>
      <c r="D1254" s="6" t="n">
        <v>46253</v>
      </c>
      <c r="E1254" t="inlineStr">
        <is>
          <t>CR</t>
        </is>
      </c>
      <c r="F1254" t="inlineStr">
        <is>
          <t>MXN</t>
        </is>
      </c>
      <c r="G1254" s="7" t="n">
        <v>26555277.426</v>
      </c>
      <c r="H1254" t="inlineStr">
        <is>
          <t>GBP</t>
        </is>
      </c>
      <c r="I1254" s="7" t="n">
        <v>1136565.874</v>
      </c>
      <c r="J1254" s="8" t="n">
        <v>46253.56621527778</v>
      </c>
      <c r="K1254" t="inlineStr">
        <is>
          <t>CF260819 01248</t>
        </is>
      </c>
      <c r="L1254" t="inlineStr">
        <is>
          <t>GL.NOSTRO.MXN.BRMD.006</t>
        </is>
      </c>
      <c r="M1254" t="inlineStr">
        <is>
          <t>Dunlin Clearing</t>
        </is>
      </c>
      <c r="N1254" t="inlineStr">
        <is>
          <t>BRMDCASH</t>
        </is>
      </c>
      <c r="O1254" t="inlineStr">
        <is>
          <t>NEW</t>
        </is>
      </c>
      <c r="P1254" t="inlineStr">
        <is>
          <t>NT26081900695</t>
        </is>
      </c>
      <c r="Q1254" t="inlineStr">
        <is>
          <t>NETTER</t>
        </is>
      </c>
    </row>
    <row r="1255">
      <c r="A1255" t="inlineStr">
        <is>
          <t>265771593142</t>
        </is>
      </c>
      <c r="B1255" t="inlineStr">
        <is>
          <t>TCG</t>
        </is>
      </c>
      <c r="C1255" t="inlineStr">
        <is>
          <t>BRYG</t>
        </is>
      </c>
      <c r="D1255" s="6" t="n">
        <v>46253</v>
      </c>
      <c r="E1255" t="inlineStr">
        <is>
          <t>CR</t>
        </is>
      </c>
      <c r="F1255" t="inlineStr">
        <is>
          <t>EUR</t>
        </is>
      </c>
      <c r="G1255" s="7" t="n">
        <v>16063589.525</v>
      </c>
      <c r="H1255" t="inlineStr">
        <is>
          <t>GBP</t>
        </is>
      </c>
      <c r="I1255" s="7" t="n">
        <v>13782559.812</v>
      </c>
      <c r="J1255" s="8" t="n">
        <v>46253.56541666666</v>
      </c>
      <c r="K1255" t="inlineStr">
        <is>
          <t>CF260819 01249</t>
        </is>
      </c>
      <c r="L1255" t="inlineStr">
        <is>
          <t>GL.NOSTRO.EUR.BRYG.005</t>
        </is>
      </c>
      <c r="M1255" t="inlineStr">
        <is>
          <t>Elmwood Settlement Bank</t>
        </is>
      </c>
      <c r="N1255" t="inlineStr">
        <is>
          <t>BRYGMM</t>
        </is>
      </c>
      <c r="O1255" t="inlineStr">
        <is>
          <t>NEW</t>
        </is>
      </c>
      <c r="P1255" t="inlineStr">
        <is>
          <t>NT26081900663</t>
        </is>
      </c>
      <c r="Q1255" t="inlineStr">
        <is>
          <t>NETTER</t>
        </is>
      </c>
    </row>
    <row r="1256">
      <c r="A1256" t="inlineStr">
        <is>
          <t>132544340094</t>
        </is>
      </c>
      <c r="B1256" t="inlineStr">
        <is>
          <t>TCP</t>
        </is>
      </c>
      <c r="C1256" t="inlineStr">
        <is>
          <t>BRYG</t>
        </is>
      </c>
      <c r="D1256" s="6" t="n">
        <v>46253</v>
      </c>
      <c r="E1256" t="inlineStr">
        <is>
          <t>CR</t>
        </is>
      </c>
      <c r="F1256" t="inlineStr">
        <is>
          <t>CZK</t>
        </is>
      </c>
      <c r="G1256" s="7" t="n">
        <v>40474742.815</v>
      </c>
      <c r="H1256" t="inlineStr">
        <is>
          <t>GBP</t>
        </is>
      </c>
      <c r="I1256" s="7" t="n">
        <v>1372093.781</v>
      </c>
      <c r="J1256" s="8" t="n">
        <v>46253.59097222222</v>
      </c>
      <c r="K1256" t="inlineStr">
        <is>
          <t>CF260819 01250</t>
        </is>
      </c>
      <c r="L1256" t="inlineStr">
        <is>
          <t>GL.NOSTRO.CZK.BRYG.008</t>
        </is>
      </c>
      <c r="M1256" t="inlineStr">
        <is>
          <t>Sablewood Clearing</t>
        </is>
      </c>
      <c r="N1256" t="inlineStr">
        <is>
          <t>BRYGMM</t>
        </is>
      </c>
      <c r="O1256" t="inlineStr">
        <is>
          <t>NEW</t>
        </is>
      </c>
      <c r="Q1256" t="inlineStr">
        <is>
          <t>NETTER</t>
        </is>
      </c>
    </row>
    <row r="1257">
      <c r="A1257" t="inlineStr">
        <is>
          <t>171857983160</t>
        </is>
      </c>
      <c r="B1257" t="inlineStr">
        <is>
          <t>TCC</t>
        </is>
      </c>
      <c r="C1257" t="inlineStr">
        <is>
          <t>BRBX</t>
        </is>
      </c>
      <c r="D1257" s="6" t="n">
        <v>46253</v>
      </c>
      <c r="E1257" t="inlineStr">
        <is>
          <t>CR</t>
        </is>
      </c>
      <c r="F1257" t="inlineStr">
        <is>
          <t>AUD</t>
        </is>
      </c>
      <c r="G1257" s="7" t="n">
        <v>914328.002</v>
      </c>
      <c r="H1257" t="inlineStr">
        <is>
          <t>GBP</t>
        </is>
      </c>
      <c r="I1257" s="7" t="n">
        <v>469050.265</v>
      </c>
      <c r="J1257" s="8" t="n">
        <v>46253.58634259259</v>
      </c>
      <c r="K1257" t="inlineStr">
        <is>
          <t>CF260819 01251</t>
        </is>
      </c>
      <c r="L1257" t="inlineStr">
        <is>
          <t>GL.NOSTRO.AUD.BRBX.001</t>
        </is>
      </c>
      <c r="M1257" t="inlineStr">
        <is>
          <t>Mallow Commercial Bank</t>
        </is>
      </c>
      <c r="N1257" t="inlineStr">
        <is>
          <t>BRBXTRSY</t>
        </is>
      </c>
      <c r="O1257" t="inlineStr">
        <is>
          <t>NEW</t>
        </is>
      </c>
      <c r="P1257" t="inlineStr">
        <is>
          <t>NT26081900684</t>
        </is>
      </c>
      <c r="Q1257" t="inlineStr">
        <is>
          <t>NETTER</t>
        </is>
      </c>
    </row>
    <row r="1258">
      <c r="A1258" t="inlineStr">
        <is>
          <t>700726936098</t>
        </is>
      </c>
      <c r="B1258" t="inlineStr">
        <is>
          <t>TCP</t>
        </is>
      </c>
      <c r="C1258" t="inlineStr">
        <is>
          <t>BRMD</t>
        </is>
      </c>
      <c r="D1258" s="6" t="n">
        <v>46253</v>
      </c>
      <c r="E1258" t="inlineStr">
        <is>
          <t>DR</t>
        </is>
      </c>
      <c r="F1258" t="inlineStr">
        <is>
          <t>SAR</t>
        </is>
      </c>
      <c r="G1258" s="7" t="n">
        <v>-291114.153</v>
      </c>
      <c r="H1258" t="inlineStr">
        <is>
          <t>GBP</t>
        </is>
      </c>
      <c r="I1258" s="7" t="n">
        <v>-60842.858</v>
      </c>
      <c r="J1258" s="8" t="n">
        <v>46253.40864583333</v>
      </c>
      <c r="K1258" t="inlineStr">
        <is>
          <t>CF260819 01252</t>
        </is>
      </c>
      <c r="L1258" t="inlineStr">
        <is>
          <t>GL.NOSTRO.SAR.BRMD.002</t>
        </is>
      </c>
      <c r="M1258" t="inlineStr">
        <is>
          <t>Vetchling Settlement Bank</t>
        </is>
      </c>
      <c r="N1258" t="inlineStr">
        <is>
          <t>BRMDTRSY</t>
        </is>
      </c>
      <c r="O1258" t="inlineStr">
        <is>
          <t>AMEND</t>
        </is>
      </c>
      <c r="P1258" t="inlineStr">
        <is>
          <t>NT26081900690</t>
        </is>
      </c>
      <c r="Q1258" t="inlineStr">
        <is>
          <t>NETTER</t>
        </is>
      </c>
    </row>
    <row r="1259">
      <c r="A1259" t="inlineStr">
        <is>
          <t>968942362772</t>
        </is>
      </c>
      <c r="B1259" t="inlineStr">
        <is>
          <t>TCP</t>
        </is>
      </c>
      <c r="C1259" t="inlineStr">
        <is>
          <t>BRYG</t>
        </is>
      </c>
      <c r="D1259" s="6" t="n">
        <v>46253</v>
      </c>
      <c r="E1259" t="inlineStr">
        <is>
          <t>CR</t>
        </is>
      </c>
      <c r="F1259" t="inlineStr">
        <is>
          <t>EUR</t>
        </is>
      </c>
      <c r="G1259" s="7" t="n">
        <v>3310860.171</v>
      </c>
      <c r="H1259" t="inlineStr">
        <is>
          <t>GBP</t>
        </is>
      </c>
      <c r="I1259" s="7" t="n">
        <v>2840718.027</v>
      </c>
      <c r="J1259" s="8" t="n">
        <v>46253.58768518519</v>
      </c>
      <c r="K1259" t="inlineStr">
        <is>
          <t>CF260819 01253</t>
        </is>
      </c>
      <c r="L1259" t="inlineStr">
        <is>
          <t>GL.NOSTRO.EUR.BRYG.008</t>
        </is>
      </c>
      <c r="M1259" t="inlineStr">
        <is>
          <t>Harrow Clearing</t>
        </is>
      </c>
      <c r="N1259" t="inlineStr">
        <is>
          <t>BRYGMM</t>
        </is>
      </c>
      <c r="O1259" t="inlineStr">
        <is>
          <t>NEW</t>
        </is>
      </c>
      <c r="P1259" t="inlineStr">
        <is>
          <t>NT26081900674</t>
        </is>
      </c>
      <c r="Q1259" t="inlineStr">
        <is>
          <t>GROSS</t>
        </is>
      </c>
    </row>
    <row r="1260">
      <c r="A1260" t="inlineStr">
        <is>
          <t>499062838623</t>
        </is>
      </c>
      <c r="B1260" t="inlineStr">
        <is>
          <t>TCP</t>
        </is>
      </c>
      <c r="C1260" t="inlineStr">
        <is>
          <t>BRBX</t>
        </is>
      </c>
      <c r="D1260" s="6" t="n">
        <v>46253</v>
      </c>
      <c r="E1260" t="inlineStr">
        <is>
          <t>DR</t>
        </is>
      </c>
      <c r="F1260" t="inlineStr">
        <is>
          <t>USD</t>
        </is>
      </c>
      <c r="G1260" s="7" t="n">
        <v>-47182057.197</v>
      </c>
      <c r="H1260" t="inlineStr">
        <is>
          <t>GBP</t>
        </is>
      </c>
      <c r="I1260" s="7" t="n">
        <v>-36990732.842</v>
      </c>
      <c r="J1260" s="8" t="n">
        <v>46253.01375</v>
      </c>
      <c r="K1260" t="inlineStr">
        <is>
          <t>CF260819 01254</t>
        </is>
      </c>
      <c r="L1260" t="inlineStr">
        <is>
          <t>GL.NOSTRO.USD.BRBX.009</t>
        </is>
      </c>
      <c r="M1260" t="inlineStr">
        <is>
          <t>Elmwood Bank</t>
        </is>
      </c>
      <c r="N1260" t="inlineStr">
        <is>
          <t>BRBXCASH</t>
        </is>
      </c>
      <c r="O1260" t="inlineStr">
        <is>
          <t>NEW</t>
        </is>
      </c>
      <c r="Q1260" t="inlineStr">
        <is>
          <t>GROSS</t>
        </is>
      </c>
    </row>
    <row r="1261">
      <c r="A1261" t="inlineStr">
        <is>
          <t>794226063698</t>
        </is>
      </c>
      <c r="B1261" t="inlineStr">
        <is>
          <t>TCP</t>
        </is>
      </c>
      <c r="C1261" t="inlineStr">
        <is>
          <t>BRMD</t>
        </is>
      </c>
      <c r="D1261" s="6" t="n">
        <v>46253</v>
      </c>
      <c r="E1261" t="inlineStr">
        <is>
          <t>DR</t>
        </is>
      </c>
      <c r="F1261" t="inlineStr">
        <is>
          <t>AED</t>
        </is>
      </c>
      <c r="G1261" s="7" t="n">
        <v>-9865293.328</v>
      </c>
      <c r="H1261" t="inlineStr">
        <is>
          <t>GBP</t>
        </is>
      </c>
      <c r="I1261" s="7" t="n">
        <v>-2101307.479</v>
      </c>
      <c r="J1261" s="8" t="n">
        <v>46253.69934027778</v>
      </c>
      <c r="K1261" t="inlineStr">
        <is>
          <t>CF260819 01255</t>
        </is>
      </c>
      <c r="L1261" t="inlineStr">
        <is>
          <t>GL.NOSTRO.AED.BRMD.003</t>
        </is>
      </c>
      <c r="M1261" t="inlineStr">
        <is>
          <t>Mallow Trust</t>
        </is>
      </c>
      <c r="N1261" t="inlineStr">
        <is>
          <t>BRMDTRSY</t>
        </is>
      </c>
      <c r="O1261" t="inlineStr">
        <is>
          <t>NEW</t>
        </is>
      </c>
      <c r="P1261" t="inlineStr">
        <is>
          <t>NT26081900692</t>
        </is>
      </c>
      <c r="Q1261" t="inlineStr">
        <is>
          <t>NETTER</t>
        </is>
      </c>
    </row>
    <row r="1262">
      <c r="A1262" t="inlineStr">
        <is>
          <t>113829985108</t>
        </is>
      </c>
      <c r="B1262" t="inlineStr">
        <is>
          <t>TCP</t>
        </is>
      </c>
      <c r="C1262" t="inlineStr">
        <is>
          <t>BRGL</t>
        </is>
      </c>
      <c r="D1262" s="6" t="n">
        <v>46253</v>
      </c>
      <c r="E1262" t="inlineStr">
        <is>
          <t>CR</t>
        </is>
      </c>
      <c r="F1262" t="inlineStr">
        <is>
          <t>EUR</t>
        </is>
      </c>
      <c r="G1262" s="7" t="n">
        <v>91957271.693</v>
      </c>
      <c r="H1262" t="inlineStr">
        <is>
          <t>GBP</t>
        </is>
      </c>
      <c r="I1262" s="7" t="n">
        <v>78899339.11300001</v>
      </c>
      <c r="J1262" s="8" t="n">
        <v>46253.37649305556</v>
      </c>
      <c r="K1262" t="inlineStr">
        <is>
          <t>CF260819 01256</t>
        </is>
      </c>
      <c r="L1262" t="inlineStr">
        <is>
          <t>GL.NOSTRO.EUR.BRGL.002</t>
        </is>
      </c>
      <c r="M1262" t="inlineStr">
        <is>
          <t>Elmwood Bank</t>
        </is>
      </c>
      <c r="N1262" t="inlineStr">
        <is>
          <t>BRGLTRSY</t>
        </is>
      </c>
      <c r="O1262" t="inlineStr">
        <is>
          <t>AMEND</t>
        </is>
      </c>
      <c r="Q1262" t="inlineStr">
        <is>
          <t>GROSS</t>
        </is>
      </c>
    </row>
    <row r="1263">
      <c r="A1263" t="inlineStr">
        <is>
          <t>968942362772</t>
        </is>
      </c>
      <c r="B1263" t="inlineStr">
        <is>
          <t>TCX</t>
        </is>
      </c>
      <c r="C1263" t="inlineStr">
        <is>
          <t>BRYG</t>
        </is>
      </c>
      <c r="D1263" s="6" t="n">
        <v>46253</v>
      </c>
      <c r="E1263" t="inlineStr">
        <is>
          <t>CR</t>
        </is>
      </c>
      <c r="F1263" t="inlineStr">
        <is>
          <t>EUR</t>
        </is>
      </c>
      <c r="G1263" s="7" t="n">
        <v>27641416.28</v>
      </c>
      <c r="H1263" t="inlineStr">
        <is>
          <t>GBP</t>
        </is>
      </c>
      <c r="I1263" s="7" t="n">
        <v>23716335.168</v>
      </c>
      <c r="J1263" s="8" t="n">
        <v>46253.83983796297</v>
      </c>
      <c r="K1263" t="inlineStr">
        <is>
          <t>CF260819 01257</t>
        </is>
      </c>
      <c r="L1263" t="inlineStr">
        <is>
          <t>GL.NOSTRO.EUR.BRYG.004</t>
        </is>
      </c>
      <c r="M1263" t="inlineStr">
        <is>
          <t>Redstart Commercial Bank</t>
        </is>
      </c>
      <c r="N1263" t="inlineStr">
        <is>
          <t>BRYGCASH</t>
        </is>
      </c>
      <c r="O1263" t="inlineStr">
        <is>
          <t>NEW</t>
        </is>
      </c>
      <c r="Q1263" t="inlineStr">
        <is>
          <t>NETTER</t>
        </is>
      </c>
    </row>
    <row r="1264">
      <c r="A1264" t="inlineStr">
        <is>
          <t>726928343448</t>
        </is>
      </c>
      <c r="B1264" t="inlineStr">
        <is>
          <t>TCC</t>
        </is>
      </c>
      <c r="C1264" t="inlineStr">
        <is>
          <t>BRGX</t>
        </is>
      </c>
      <c r="D1264" s="6" t="n">
        <v>46253</v>
      </c>
      <c r="E1264" t="inlineStr">
        <is>
          <t>DR</t>
        </is>
      </c>
      <c r="F1264" t="inlineStr">
        <is>
          <t>EUR</t>
        </is>
      </c>
      <c r="G1264" s="7" t="n">
        <v>-295903530.95</v>
      </c>
      <c r="H1264" t="inlineStr">
        <is>
          <t>GBP</t>
        </is>
      </c>
      <c r="I1264" s="7" t="n">
        <v>-253885229.555</v>
      </c>
      <c r="J1264" s="8" t="n">
        <v>46253.46800925926</v>
      </c>
      <c r="K1264" t="inlineStr">
        <is>
          <t>CF260819 01258</t>
        </is>
      </c>
      <c r="L1264" t="inlineStr">
        <is>
          <t>GL.NOSTRO.EUR.BRGX.005</t>
        </is>
      </c>
      <c r="M1264" t="inlineStr">
        <is>
          <t>Redstart Trust</t>
        </is>
      </c>
      <c r="N1264" t="inlineStr">
        <is>
          <t>BRGXMM</t>
        </is>
      </c>
      <c r="O1264" t="inlineStr">
        <is>
          <t>NEW</t>
        </is>
      </c>
      <c r="P1264" t="inlineStr">
        <is>
          <t>NT26081900663</t>
        </is>
      </c>
      <c r="Q1264" t="inlineStr">
        <is>
          <t>INTERNAL</t>
        </is>
      </c>
    </row>
    <row r="1265">
      <c r="A1265" t="inlineStr">
        <is>
          <t>700726936098</t>
        </is>
      </c>
      <c r="B1265" t="inlineStr">
        <is>
          <t>TCX</t>
        </is>
      </c>
      <c r="C1265" t="inlineStr">
        <is>
          <t>BRMD</t>
        </is>
      </c>
      <c r="D1265" s="6" t="n">
        <v>46253</v>
      </c>
      <c r="E1265" t="inlineStr">
        <is>
          <t>CR</t>
        </is>
      </c>
      <c r="F1265" t="inlineStr">
        <is>
          <t>SAR</t>
        </is>
      </c>
      <c r="G1265" s="7" t="n">
        <v>302635627.202</v>
      </c>
      <c r="H1265" t="inlineStr">
        <is>
          <t>GBP</t>
        </is>
      </c>
      <c r="I1265" s="7" t="n">
        <v>63250846.085</v>
      </c>
      <c r="J1265" s="8" t="n">
        <v>46253.41037037037</v>
      </c>
      <c r="K1265" t="inlineStr">
        <is>
          <t>CF260819 01259</t>
        </is>
      </c>
      <c r="L1265" t="inlineStr">
        <is>
          <t>GL.NOSTRO.SAR.BRMD.006</t>
        </is>
      </c>
      <c r="M1265" t="inlineStr">
        <is>
          <t>Alder Clearing</t>
        </is>
      </c>
      <c r="N1265" t="inlineStr">
        <is>
          <t>BRMD</t>
        </is>
      </c>
      <c r="O1265" t="inlineStr">
        <is>
          <t>NEW</t>
        </is>
      </c>
      <c r="Q1265" t="inlineStr">
        <is>
          <t>INTERNAL</t>
        </is>
      </c>
    </row>
    <row r="1266">
      <c r="A1266" t="inlineStr">
        <is>
          <t>468341071172</t>
        </is>
      </c>
      <c r="B1266" t="inlineStr">
        <is>
          <t>TCX</t>
        </is>
      </c>
      <c r="C1266" t="inlineStr">
        <is>
          <t>BRCC</t>
        </is>
      </c>
      <c r="D1266" s="6" t="n">
        <v>46253</v>
      </c>
      <c r="E1266" t="inlineStr">
        <is>
          <t>CR</t>
        </is>
      </c>
      <c r="F1266" t="inlineStr">
        <is>
          <t>EUR</t>
        </is>
      </c>
      <c r="G1266" s="7" t="n">
        <v>323066179.553</v>
      </c>
      <c r="H1266" t="inlineStr">
        <is>
          <t>GBP</t>
        </is>
      </c>
      <c r="I1266" s="7" t="n">
        <v>277190782.056</v>
      </c>
      <c r="J1266" s="8" t="n">
        <v>46253.50923611111</v>
      </c>
      <c r="K1266" t="inlineStr">
        <is>
          <t>CF260819 01260</t>
        </is>
      </c>
      <c r="L1266" t="inlineStr">
        <is>
          <t>GL.NOSTRO.EUR.BRCC.001</t>
        </is>
      </c>
      <c r="M1266" t="inlineStr">
        <is>
          <t>Bramble Bank</t>
        </is>
      </c>
      <c r="N1266" t="inlineStr">
        <is>
          <t>BRCC</t>
        </is>
      </c>
      <c r="O1266" t="inlineStr">
        <is>
          <t>NEW</t>
        </is>
      </c>
      <c r="Q1266" t="inlineStr">
        <is>
          <t>GROSS</t>
        </is>
      </c>
    </row>
    <row r="1267">
      <c r="A1267" t="inlineStr">
        <is>
          <t>468341071172</t>
        </is>
      </c>
      <c r="B1267" t="inlineStr">
        <is>
          <t>TCC</t>
        </is>
      </c>
      <c r="C1267" t="inlineStr">
        <is>
          <t>BRCC</t>
        </is>
      </c>
      <c r="D1267" s="6" t="n">
        <v>46253</v>
      </c>
      <c r="E1267" t="inlineStr">
        <is>
          <t>CR</t>
        </is>
      </c>
      <c r="F1267" t="inlineStr">
        <is>
          <t>EUR</t>
        </is>
      </c>
      <c r="G1267" s="7" t="n">
        <v>10795302.332</v>
      </c>
      <c r="H1267" t="inlineStr">
        <is>
          <t>GBP</t>
        </is>
      </c>
      <c r="I1267" s="7" t="n">
        <v>9262369.401000001</v>
      </c>
      <c r="J1267" s="8" t="n">
        <v>46253.29986111111</v>
      </c>
      <c r="K1267" t="inlineStr">
        <is>
          <t>CF260819 01261</t>
        </is>
      </c>
      <c r="L1267" t="inlineStr">
        <is>
          <t>GL.NOSTRO.EUR.BRCC.004</t>
        </is>
      </c>
      <c r="M1267" t="inlineStr">
        <is>
          <t>Nightjar Trust</t>
        </is>
      </c>
      <c r="N1267" t="inlineStr">
        <is>
          <t>BRCCTRSY</t>
        </is>
      </c>
      <c r="O1267" t="inlineStr">
        <is>
          <t>NEW</t>
        </is>
      </c>
      <c r="P1267" t="inlineStr">
        <is>
          <t>NT26081900663</t>
        </is>
      </c>
      <c r="Q1267" t="inlineStr">
        <is>
          <t>GROSS</t>
        </is>
      </c>
    </row>
    <row r="1268">
      <c r="A1268" t="inlineStr">
        <is>
          <t>621381112674</t>
        </is>
      </c>
      <c r="B1268" t="inlineStr">
        <is>
          <t>TCX</t>
        </is>
      </c>
      <c r="C1268" t="inlineStr">
        <is>
          <t>BRAA</t>
        </is>
      </c>
      <c r="D1268" s="6" t="n">
        <v>46253</v>
      </c>
      <c r="E1268" t="inlineStr">
        <is>
          <t>CR</t>
        </is>
      </c>
      <c r="F1268" t="inlineStr">
        <is>
          <t>PLN</t>
        </is>
      </c>
      <c r="G1268" s="7" t="n">
        <v>5.627</v>
      </c>
      <c r="H1268" t="inlineStr">
        <is>
          <t>GBP</t>
        </is>
      </c>
      <c r="I1268" s="7" t="n">
        <v>1.114</v>
      </c>
      <c r="J1268" s="8" t="n">
        <v>46253.18809027778</v>
      </c>
      <c r="K1268" t="inlineStr">
        <is>
          <t>CF260819 01262</t>
        </is>
      </c>
      <c r="L1268" t="inlineStr">
        <is>
          <t>GL.NOSTRO.PLN.BRAA.007</t>
        </is>
      </c>
      <c r="M1268" t="inlineStr">
        <is>
          <t>Larkspur Clearing</t>
        </is>
      </c>
      <c r="N1268" t="inlineStr">
        <is>
          <t>BRAATRSY</t>
        </is>
      </c>
      <c r="O1268" t="inlineStr">
        <is>
          <t>NEW</t>
        </is>
      </c>
      <c r="P1268" t="inlineStr">
        <is>
          <t>NT26081900664</t>
        </is>
      </c>
      <c r="Q1268" t="inlineStr">
        <is>
          <t>GROSS</t>
        </is>
      </c>
    </row>
    <row r="1269">
      <c r="A1269" t="inlineStr">
        <is>
          <t>468341071172</t>
        </is>
      </c>
      <c r="B1269" t="inlineStr">
        <is>
          <t>TCG</t>
        </is>
      </c>
      <c r="C1269" t="inlineStr">
        <is>
          <t>BRCC</t>
        </is>
      </c>
      <c r="D1269" s="6" t="n">
        <v>46253</v>
      </c>
      <c r="E1269" t="inlineStr">
        <is>
          <t>CR</t>
        </is>
      </c>
      <c r="F1269" t="inlineStr">
        <is>
          <t>EUR</t>
        </is>
      </c>
      <c r="G1269" s="7" t="n">
        <v>404887703.392</v>
      </c>
      <c r="H1269" t="inlineStr">
        <is>
          <t>GBP</t>
        </is>
      </c>
      <c r="I1269" s="7" t="n">
        <v>347393649.51</v>
      </c>
      <c r="J1269" s="8" t="n">
        <v>46253.39554398148</v>
      </c>
      <c r="K1269" t="inlineStr">
        <is>
          <t>CF260819 01263</t>
        </is>
      </c>
      <c r="L1269" t="inlineStr">
        <is>
          <t>GL.NOSTRO.EUR.BRCC.003</t>
        </is>
      </c>
      <c r="M1269" t="inlineStr">
        <is>
          <t>Pinehurst Clearing</t>
        </is>
      </c>
      <c r="N1269" t="inlineStr">
        <is>
          <t>BRCCMM</t>
        </is>
      </c>
      <c r="O1269" t="inlineStr">
        <is>
          <t>NEW</t>
        </is>
      </c>
      <c r="P1269" t="inlineStr">
        <is>
          <t>NT26081900664</t>
        </is>
      </c>
      <c r="Q1269" t="inlineStr">
        <is>
          <t>GROSS</t>
        </is>
      </c>
    </row>
    <row r="1270">
      <c r="A1270" t="inlineStr">
        <is>
          <t>499062838623</t>
        </is>
      </c>
      <c r="B1270" t="inlineStr">
        <is>
          <t>TCG</t>
        </is>
      </c>
      <c r="C1270" t="inlineStr">
        <is>
          <t>BRBX</t>
        </is>
      </c>
      <c r="D1270" s="6" t="n">
        <v>46253</v>
      </c>
      <c r="E1270" t="inlineStr">
        <is>
          <t>CR</t>
        </is>
      </c>
      <c r="F1270" t="inlineStr">
        <is>
          <t>USD</t>
        </is>
      </c>
      <c r="G1270" s="7" t="n">
        <v>19307.27</v>
      </c>
      <c r="H1270" t="inlineStr">
        <is>
          <t>GBP</t>
        </is>
      </c>
      <c r="I1270" s="7" t="n">
        <v>15136.9</v>
      </c>
      <c r="J1270" s="8" t="n">
        <v>46253.57193287037</v>
      </c>
      <c r="K1270" t="inlineStr">
        <is>
          <t>CF260819 01264</t>
        </is>
      </c>
      <c r="L1270" t="inlineStr">
        <is>
          <t>GL.NOSTRO.USD.BRBX.006</t>
        </is>
      </c>
      <c r="M1270" t="inlineStr">
        <is>
          <t>Elmwood Trust</t>
        </is>
      </c>
      <c r="N1270" t="inlineStr">
        <is>
          <t>BRBXCASH</t>
        </is>
      </c>
      <c r="O1270" t="inlineStr">
        <is>
          <t>NEW</t>
        </is>
      </c>
      <c r="Q1270" t="inlineStr">
        <is>
          <t>INTERNAL</t>
        </is>
      </c>
    </row>
    <row r="1271">
      <c r="A1271" t="inlineStr">
        <is>
          <t>150316825069</t>
        </is>
      </c>
      <c r="B1271" t="inlineStr">
        <is>
          <t>TCX</t>
        </is>
      </c>
      <c r="C1271" t="inlineStr">
        <is>
          <t>BRGX</t>
        </is>
      </c>
      <c r="D1271" s="6" t="n">
        <v>46253</v>
      </c>
      <c r="E1271" t="inlineStr">
        <is>
          <t>CR</t>
        </is>
      </c>
      <c r="F1271" t="inlineStr">
        <is>
          <t>GBP</t>
        </is>
      </c>
      <c r="G1271" s="7" t="n">
        <v>20621901.549</v>
      </c>
      <c r="H1271" t="inlineStr">
        <is>
          <t>GBP</t>
        </is>
      </c>
      <c r="I1271" s="7" t="n">
        <v>20621901.549</v>
      </c>
      <c r="J1271" s="8" t="n">
        <v>46253.69087962963</v>
      </c>
      <c r="K1271" t="inlineStr">
        <is>
          <t>CF260819 01265</t>
        </is>
      </c>
      <c r="L1271" t="inlineStr">
        <is>
          <t>GL.NOSTRO.GBP.BRGX.005</t>
        </is>
      </c>
      <c r="M1271" t="inlineStr">
        <is>
          <t>Elmwood Settlement Bank</t>
        </is>
      </c>
      <c r="N1271" t="inlineStr">
        <is>
          <t>BRGXMM</t>
        </is>
      </c>
      <c r="O1271" t="inlineStr">
        <is>
          <t>NEW</t>
        </is>
      </c>
      <c r="Q1271" t="inlineStr">
        <is>
          <t>INTERNAL</t>
        </is>
      </c>
    </row>
    <row r="1272">
      <c r="A1272" t="inlineStr">
        <is>
          <t>468341071172</t>
        </is>
      </c>
      <c r="B1272" t="inlineStr">
        <is>
          <t>TCG</t>
        </is>
      </c>
      <c r="C1272" t="inlineStr">
        <is>
          <t>BRCC</t>
        </is>
      </c>
      <c r="D1272" s="6" t="n">
        <v>46253</v>
      </c>
      <c r="E1272" t="inlineStr">
        <is>
          <t>CR</t>
        </is>
      </c>
      <c r="F1272" t="inlineStr">
        <is>
          <t>EUR</t>
        </is>
      </c>
      <c r="G1272" s="7" t="n">
        <v>512057.088</v>
      </c>
      <c r="H1272" t="inlineStr">
        <is>
          <t>GBP</t>
        </is>
      </c>
      <c r="I1272" s="7" t="n">
        <v>439344.982</v>
      </c>
      <c r="J1272" s="8" t="n">
        <v>46253.39244212963</v>
      </c>
      <c r="K1272" t="inlineStr">
        <is>
          <t>CF260819 01266</t>
        </is>
      </c>
      <c r="L1272" t="inlineStr">
        <is>
          <t>GL.NOSTRO.EUR.BRCC.008</t>
        </is>
      </c>
      <c r="M1272" t="inlineStr">
        <is>
          <t>Dunlin Bank</t>
        </is>
      </c>
      <c r="N1272" t="inlineStr">
        <is>
          <t>BRCC</t>
        </is>
      </c>
      <c r="O1272" t="inlineStr">
        <is>
          <t>NEW</t>
        </is>
      </c>
      <c r="P1272" t="inlineStr">
        <is>
          <t>NT26081900675</t>
        </is>
      </c>
      <c r="Q1272" t="inlineStr">
        <is>
          <t>GROSS</t>
        </is>
      </c>
    </row>
    <row r="1273">
      <c r="A1273" t="inlineStr">
        <is>
          <t>794226063698</t>
        </is>
      </c>
      <c r="B1273" t="inlineStr">
        <is>
          <t>TCP</t>
        </is>
      </c>
      <c r="C1273" t="inlineStr">
        <is>
          <t>BRMD</t>
        </is>
      </c>
      <c r="D1273" s="6" t="n">
        <v>46253</v>
      </c>
      <c r="E1273" t="inlineStr">
        <is>
          <t>CR</t>
        </is>
      </c>
      <c r="F1273" t="inlineStr">
        <is>
          <t>AED</t>
        </is>
      </c>
      <c r="G1273" s="7" t="n">
        <v>2078895.631</v>
      </c>
      <c r="H1273" t="inlineStr">
        <is>
          <t>GBP</t>
        </is>
      </c>
      <c r="I1273" s="7" t="n">
        <v>442804.769</v>
      </c>
      <c r="J1273" s="8" t="n">
        <v>46253.53711805555</v>
      </c>
      <c r="K1273" t="inlineStr">
        <is>
          <t>CF260819 01267</t>
        </is>
      </c>
      <c r="L1273" t="inlineStr">
        <is>
          <t>GL.NOSTRO.AED.BRMD.001</t>
        </is>
      </c>
      <c r="M1273" t="inlineStr">
        <is>
          <t>Juniper Settlement Bank</t>
        </is>
      </c>
      <c r="N1273" t="inlineStr">
        <is>
          <t>BRMD</t>
        </is>
      </c>
      <c r="O1273" t="inlineStr">
        <is>
          <t>NEW</t>
        </is>
      </c>
      <c r="P1273" t="inlineStr">
        <is>
          <t>NT26081900658</t>
        </is>
      </c>
      <c r="Q1273" t="inlineStr">
        <is>
          <t>NETTER</t>
        </is>
      </c>
    </row>
    <row r="1274">
      <c r="A1274" t="inlineStr">
        <is>
          <t>700726936098</t>
        </is>
      </c>
      <c r="B1274" t="inlineStr">
        <is>
          <t>TCX</t>
        </is>
      </c>
      <c r="C1274" t="inlineStr">
        <is>
          <t>BRMD</t>
        </is>
      </c>
      <c r="D1274" s="6" t="n">
        <v>46253</v>
      </c>
      <c r="E1274" t="inlineStr">
        <is>
          <t>CR</t>
        </is>
      </c>
      <c r="F1274" t="inlineStr">
        <is>
          <t>SAR</t>
        </is>
      </c>
      <c r="G1274" s="7" t="n">
        <v>495285.042</v>
      </c>
      <c r="H1274" t="inlineStr">
        <is>
          <t>GBP</t>
        </is>
      </c>
      <c r="I1274" s="7" t="n">
        <v>103514.574</v>
      </c>
      <c r="J1274" s="8" t="n">
        <v>46253.3408449074</v>
      </c>
      <c r="K1274" t="inlineStr">
        <is>
          <t>CF260819 01268</t>
        </is>
      </c>
      <c r="L1274" t="inlineStr">
        <is>
          <t>GL.NOSTRO.SAR.BRMD.004</t>
        </is>
      </c>
      <c r="M1274" t="inlineStr">
        <is>
          <t>Wrenfield Settlement Bank</t>
        </is>
      </c>
      <c r="N1274" t="inlineStr">
        <is>
          <t>BRMD</t>
        </is>
      </c>
      <c r="O1274" t="inlineStr">
        <is>
          <t>NEW</t>
        </is>
      </c>
      <c r="P1274" t="inlineStr">
        <is>
          <t>NT26081900678</t>
        </is>
      </c>
      <c r="Q1274" t="inlineStr">
        <is>
          <t>NETTER</t>
        </is>
      </c>
    </row>
    <row r="1275">
      <c r="A1275" t="inlineStr">
        <is>
          <t>171857983160</t>
        </is>
      </c>
      <c r="B1275" t="inlineStr">
        <is>
          <t>TCQ</t>
        </is>
      </c>
      <c r="C1275" t="inlineStr">
        <is>
          <t>BRBX</t>
        </is>
      </c>
      <c r="D1275" s="6" t="n">
        <v>46253</v>
      </c>
      <c r="E1275" t="inlineStr">
        <is>
          <t>CR</t>
        </is>
      </c>
      <c r="F1275" t="inlineStr">
        <is>
          <t>AUD</t>
        </is>
      </c>
      <c r="G1275" s="7" t="n">
        <v>23758.607</v>
      </c>
      <c r="H1275" t="inlineStr">
        <is>
          <t>GBP</t>
        </is>
      </c>
      <c r="I1275" s="7" t="n">
        <v>12188.165</v>
      </c>
      <c r="J1275" s="8" t="n">
        <v>46253.74920138889</v>
      </c>
      <c r="K1275" t="inlineStr">
        <is>
          <t>CF260819 01269</t>
        </is>
      </c>
      <c r="L1275" t="inlineStr">
        <is>
          <t>GL.NOSTRO.AUD.BRBX.005</t>
        </is>
      </c>
      <c r="M1275" t="inlineStr">
        <is>
          <t>Yarrow Clearing</t>
        </is>
      </c>
      <c r="N1275" t="inlineStr">
        <is>
          <t>BRBXCASH</t>
        </is>
      </c>
      <c r="O1275" t="inlineStr">
        <is>
          <t>NEW</t>
        </is>
      </c>
      <c r="P1275" t="inlineStr">
        <is>
          <t>NT26081900670</t>
        </is>
      </c>
      <c r="Q1275" t="inlineStr">
        <is>
          <t>NETTER</t>
        </is>
      </c>
    </row>
    <row r="1276">
      <c r="A1276" t="inlineStr">
        <is>
          <t>468341071172</t>
        </is>
      </c>
      <c r="B1276" t="inlineStr">
        <is>
          <t>TCG</t>
        </is>
      </c>
      <c r="C1276" t="inlineStr">
        <is>
          <t>BRCC</t>
        </is>
      </c>
      <c r="D1276" s="6" t="n">
        <v>46253</v>
      </c>
      <c r="E1276" t="inlineStr">
        <is>
          <t>CR</t>
        </is>
      </c>
      <c r="F1276" t="inlineStr">
        <is>
          <t>EUR</t>
        </is>
      </c>
      <c r="G1276" s="7" t="n">
        <v>10454624.799</v>
      </c>
      <c r="H1276" t="inlineStr">
        <is>
          <t>GBP</t>
        </is>
      </c>
      <c r="I1276" s="7" t="n">
        <v>8970068.078</v>
      </c>
      <c r="J1276" s="8" t="n">
        <v>46253.47644675926</v>
      </c>
      <c r="K1276" t="inlineStr">
        <is>
          <t>CF260819 01270</t>
        </is>
      </c>
      <c r="L1276" t="inlineStr">
        <is>
          <t>GL.NOSTRO.EUR.BRCC.005</t>
        </is>
      </c>
      <c r="M1276" t="inlineStr">
        <is>
          <t>Wrenfield Settlement Bank</t>
        </is>
      </c>
      <c r="N1276" t="inlineStr">
        <is>
          <t>BRCCTRSY</t>
        </is>
      </c>
      <c r="O1276" t="inlineStr">
        <is>
          <t>AMEND</t>
        </is>
      </c>
      <c r="P1276" t="inlineStr">
        <is>
          <t>NT26081900692</t>
        </is>
      </c>
      <c r="Q1276" t="inlineStr">
        <is>
          <t>GROSS</t>
        </is>
      </c>
    </row>
    <row r="1277">
      <c r="A1277" t="inlineStr">
        <is>
          <t>150316825069</t>
        </is>
      </c>
      <c r="B1277" t="inlineStr">
        <is>
          <t>TCC</t>
        </is>
      </c>
      <c r="C1277" t="inlineStr">
        <is>
          <t>BRGX</t>
        </is>
      </c>
      <c r="D1277" s="6" t="n">
        <v>46253</v>
      </c>
      <c r="E1277" t="inlineStr">
        <is>
          <t>CR</t>
        </is>
      </c>
      <c r="F1277" t="inlineStr">
        <is>
          <t>GBP</t>
        </is>
      </c>
      <c r="G1277" s="7" t="n">
        <v>669100.247</v>
      </c>
      <c r="H1277" t="inlineStr">
        <is>
          <t>GBP</t>
        </is>
      </c>
      <c r="I1277" s="7" t="n">
        <v>669100.247</v>
      </c>
      <c r="J1277" s="8" t="n">
        <v>46253.31671296297</v>
      </c>
      <c r="K1277" t="inlineStr">
        <is>
          <t>CF260819 01271</t>
        </is>
      </c>
      <c r="L1277" t="inlineStr">
        <is>
          <t>GL.NOSTRO.GBP.BRGX.006</t>
        </is>
      </c>
      <c r="M1277" t="inlineStr">
        <is>
          <t>Cedar Commercial Bank</t>
        </is>
      </c>
      <c r="N1277" t="inlineStr">
        <is>
          <t>BRGXTRSY</t>
        </is>
      </c>
      <c r="O1277" t="inlineStr">
        <is>
          <t>NEW</t>
        </is>
      </c>
      <c r="Q1277" t="inlineStr">
        <is>
          <t>GROSS</t>
        </is>
      </c>
    </row>
    <row r="1278">
      <c r="A1278" t="inlineStr">
        <is>
          <t>265771593142</t>
        </is>
      </c>
      <c r="B1278" t="inlineStr">
        <is>
          <t>TCQ</t>
        </is>
      </c>
      <c r="C1278" t="inlineStr">
        <is>
          <t>BRYG</t>
        </is>
      </c>
      <c r="D1278" s="6" t="n">
        <v>46253</v>
      </c>
      <c r="E1278" t="inlineStr">
        <is>
          <t>CR</t>
        </is>
      </c>
      <c r="F1278" t="inlineStr">
        <is>
          <t>EUR</t>
        </is>
      </c>
      <c r="G1278" s="7" t="n">
        <v>36614891.513</v>
      </c>
      <c r="H1278" t="inlineStr">
        <is>
          <t>GBP</t>
        </is>
      </c>
      <c r="I1278" s="7" t="n">
        <v>31415576.918</v>
      </c>
      <c r="J1278" s="8" t="n">
        <v>46253.47836805556</v>
      </c>
      <c r="K1278" t="inlineStr">
        <is>
          <t>CF260819 01272</t>
        </is>
      </c>
      <c r="L1278" t="inlineStr">
        <is>
          <t>GL.NOSTRO.EUR.BRYG.008</t>
        </is>
      </c>
      <c r="M1278" t="inlineStr">
        <is>
          <t>Vetchling Bank</t>
        </is>
      </c>
      <c r="N1278" t="inlineStr">
        <is>
          <t>BRYGTRSY</t>
        </is>
      </c>
      <c r="O1278" t="inlineStr">
        <is>
          <t>NEW</t>
        </is>
      </c>
      <c r="P1278" t="inlineStr">
        <is>
          <t>NT26081900674</t>
        </is>
      </c>
      <c r="Q1278" t="inlineStr">
        <is>
          <t>NETTER</t>
        </is>
      </c>
    </row>
    <row r="1279">
      <c r="A1279" t="inlineStr">
        <is>
          <t>468341071172</t>
        </is>
      </c>
      <c r="B1279" t="inlineStr">
        <is>
          <t>TCQ</t>
        </is>
      </c>
      <c r="C1279" t="inlineStr">
        <is>
          <t>BRCC</t>
        </is>
      </c>
      <c r="D1279" s="6" t="n">
        <v>46253</v>
      </c>
      <c r="E1279" t="inlineStr">
        <is>
          <t>CR</t>
        </is>
      </c>
      <c r="F1279" t="inlineStr">
        <is>
          <t>EUR</t>
        </is>
      </c>
      <c r="G1279" s="7" t="n">
        <v>105389898.502</v>
      </c>
      <c r="H1279" t="inlineStr">
        <is>
          <t>GBP</t>
        </is>
      </c>
      <c r="I1279" s="7" t="n">
        <v>90424532.91500001</v>
      </c>
      <c r="J1279" s="8" t="n">
        <v>46253.40472222222</v>
      </c>
      <c r="K1279" t="inlineStr">
        <is>
          <t>CF260819 01273</t>
        </is>
      </c>
      <c r="L1279" t="inlineStr">
        <is>
          <t>GL.NOSTRO.EUR.BRCC.007</t>
        </is>
      </c>
      <c r="M1279" t="inlineStr">
        <is>
          <t>Dunlin Trust</t>
        </is>
      </c>
      <c r="N1279" t="inlineStr">
        <is>
          <t>BRCCCASH</t>
        </is>
      </c>
      <c r="O1279" t="inlineStr">
        <is>
          <t>NEW</t>
        </is>
      </c>
      <c r="P1279" t="inlineStr">
        <is>
          <t>NT26081900657</t>
        </is>
      </c>
      <c r="Q1279" t="inlineStr">
        <is>
          <t>GROSS</t>
        </is>
      </c>
    </row>
    <row r="1280">
      <c r="A1280" t="inlineStr">
        <is>
          <t>468341071172</t>
        </is>
      </c>
      <c r="B1280" t="inlineStr">
        <is>
          <t>TCP</t>
        </is>
      </c>
      <c r="C1280" t="inlineStr">
        <is>
          <t>BRCC</t>
        </is>
      </c>
      <c r="D1280" s="6" t="n">
        <v>46253</v>
      </c>
      <c r="E1280" t="inlineStr">
        <is>
          <t>DR</t>
        </is>
      </c>
      <c r="F1280" t="inlineStr">
        <is>
          <t>EUR</t>
        </is>
      </c>
      <c r="G1280" s="7" t="n">
        <v>-321256662.612</v>
      </c>
      <c r="H1280" t="inlineStr">
        <is>
          <t>GBP</t>
        </is>
      </c>
      <c r="I1280" s="7" t="n">
        <v>-275638216.521</v>
      </c>
      <c r="J1280" s="8" t="n">
        <v>46253.42886574074</v>
      </c>
      <c r="K1280" t="inlineStr">
        <is>
          <t>CF260819 01274</t>
        </is>
      </c>
      <c r="L1280" t="inlineStr">
        <is>
          <t>GL.NOSTRO.EUR.BRCC.005</t>
        </is>
      </c>
      <c r="M1280" t="inlineStr">
        <is>
          <t>Juniper Settlement Bank</t>
        </is>
      </c>
      <c r="N1280" t="inlineStr">
        <is>
          <t>BRCC</t>
        </is>
      </c>
      <c r="O1280" t="inlineStr">
        <is>
          <t>NEW</t>
        </is>
      </c>
      <c r="Q1280" t="inlineStr">
        <is>
          <t>NETTER</t>
        </is>
      </c>
    </row>
    <row r="1281">
      <c r="A1281" t="inlineStr">
        <is>
          <t>113829985108</t>
        </is>
      </c>
      <c r="B1281" t="inlineStr">
        <is>
          <t>TCX</t>
        </is>
      </c>
      <c r="C1281" t="inlineStr">
        <is>
          <t>BRGL</t>
        </is>
      </c>
      <c r="D1281" s="6" t="n">
        <v>46253</v>
      </c>
      <c r="E1281" t="inlineStr">
        <is>
          <t>CR</t>
        </is>
      </c>
      <c r="F1281" t="inlineStr">
        <is>
          <t>EUR</t>
        </is>
      </c>
      <c r="G1281" s="7" t="n">
        <v>26789724.337</v>
      </c>
      <c r="H1281" t="inlineStr">
        <is>
          <t>GBP</t>
        </is>
      </c>
      <c r="I1281" s="7" t="n">
        <v>22985583.481</v>
      </c>
      <c r="J1281" s="8" t="n">
        <v>46253.69189814815</v>
      </c>
      <c r="K1281" t="inlineStr">
        <is>
          <t>CF260819 01275</t>
        </is>
      </c>
      <c r="L1281" t="inlineStr">
        <is>
          <t>GL.NOSTRO.EUR.BRGL.001</t>
        </is>
      </c>
      <c r="M1281" t="inlineStr">
        <is>
          <t>Redstart Trust</t>
        </is>
      </c>
      <c r="N1281" t="inlineStr">
        <is>
          <t>BRGLCASH</t>
        </is>
      </c>
      <c r="O1281" t="inlineStr">
        <is>
          <t>NEW</t>
        </is>
      </c>
      <c r="P1281" t="inlineStr">
        <is>
          <t>NT26081900685</t>
        </is>
      </c>
      <c r="Q1281" t="inlineStr">
        <is>
          <t>NETTER</t>
        </is>
      </c>
    </row>
    <row r="1282">
      <c r="A1282" t="inlineStr">
        <is>
          <t>794226063698</t>
        </is>
      </c>
      <c r="B1282" t="inlineStr">
        <is>
          <t>TCX</t>
        </is>
      </c>
      <c r="C1282" t="inlineStr">
        <is>
          <t>BRMD</t>
        </is>
      </c>
      <c r="D1282" s="6" t="n">
        <v>46253</v>
      </c>
      <c r="E1282" t="inlineStr">
        <is>
          <t>DR</t>
        </is>
      </c>
      <c r="F1282" t="inlineStr">
        <is>
          <t>AED</t>
        </is>
      </c>
      <c r="G1282" s="7" t="n">
        <v>-8673822.228</v>
      </c>
      <c r="H1282" t="inlineStr">
        <is>
          <t>GBP</t>
        </is>
      </c>
      <c r="I1282" s="7" t="n">
        <v>-1847524.135</v>
      </c>
      <c r="J1282" s="8" t="n">
        <v>46253.35877314815</v>
      </c>
      <c r="K1282" t="inlineStr">
        <is>
          <t>CF260819 01276</t>
        </is>
      </c>
      <c r="L1282" t="inlineStr">
        <is>
          <t>GL.NOSTRO.AED.BRMD.004</t>
        </is>
      </c>
      <c r="M1282" t="inlineStr">
        <is>
          <t>Nightjar Trust</t>
        </is>
      </c>
      <c r="N1282" t="inlineStr">
        <is>
          <t>BRMD</t>
        </is>
      </c>
      <c r="O1282" t="inlineStr">
        <is>
          <t>NEW</t>
        </is>
      </c>
      <c r="P1282" t="inlineStr">
        <is>
          <t>NT26081900657</t>
        </is>
      </c>
      <c r="Q1282" t="inlineStr">
        <is>
          <t>NETTER</t>
        </is>
      </c>
    </row>
    <row r="1283">
      <c r="A1283" t="inlineStr">
        <is>
          <t>132544340094</t>
        </is>
      </c>
      <c r="B1283" t="inlineStr">
        <is>
          <t>TCG</t>
        </is>
      </c>
      <c r="C1283" t="inlineStr">
        <is>
          <t>BRYG</t>
        </is>
      </c>
      <c r="D1283" s="6" t="n">
        <v>46253</v>
      </c>
      <c r="E1283" t="inlineStr">
        <is>
          <t>DR</t>
        </is>
      </c>
      <c r="F1283" t="inlineStr">
        <is>
          <t>CZK</t>
        </is>
      </c>
      <c r="G1283" s="7" t="n">
        <v>-1667968.198</v>
      </c>
      <c r="H1283" t="inlineStr">
        <is>
          <t>GBP</t>
        </is>
      </c>
      <c r="I1283" s="7" t="n">
        <v>-56544.122</v>
      </c>
      <c r="J1283" s="8" t="n">
        <v>46253.89765046296</v>
      </c>
      <c r="K1283" t="inlineStr">
        <is>
          <t>CF260819 01277</t>
        </is>
      </c>
      <c r="L1283" t="inlineStr">
        <is>
          <t>GL.NOSTRO.CZK.BRYG.009</t>
        </is>
      </c>
      <c r="M1283" t="inlineStr">
        <is>
          <t>Ironbark Trust</t>
        </is>
      </c>
      <c r="N1283" t="inlineStr">
        <is>
          <t>BRYGCASH</t>
        </is>
      </c>
      <c r="O1283" t="inlineStr">
        <is>
          <t>NEW</t>
        </is>
      </c>
      <c r="Q1283" t="inlineStr">
        <is>
          <t>INTERNAL</t>
        </is>
      </c>
    </row>
    <row r="1284">
      <c r="A1284" t="inlineStr">
        <is>
          <t>927538182434</t>
        </is>
      </c>
      <c r="B1284" t="inlineStr">
        <is>
          <t>TCP</t>
        </is>
      </c>
      <c r="C1284" t="inlineStr">
        <is>
          <t>BRNK</t>
        </is>
      </c>
      <c r="D1284" s="6" t="n">
        <v>46253</v>
      </c>
      <c r="E1284" t="inlineStr">
        <is>
          <t>CR</t>
        </is>
      </c>
      <c r="F1284" t="inlineStr">
        <is>
          <t>CNY</t>
        </is>
      </c>
      <c r="G1284" s="7" t="n">
        <v>12368420.318</v>
      </c>
      <c r="H1284" t="inlineStr">
        <is>
          <t>GBP</t>
        </is>
      </c>
      <c r="I1284" s="7" t="n">
        <v>1348157.815</v>
      </c>
      <c r="J1284" s="8" t="n">
        <v>46253.41777777778</v>
      </c>
      <c r="K1284" t="inlineStr">
        <is>
          <t>CF260819 01278</t>
        </is>
      </c>
      <c r="L1284" t="inlineStr">
        <is>
          <t>GL.NOSTRO.CNY.BRNK.002</t>
        </is>
      </c>
      <c r="M1284" t="inlineStr">
        <is>
          <t>Nightjar Bank</t>
        </is>
      </c>
      <c r="N1284" t="inlineStr">
        <is>
          <t>BRNK</t>
        </is>
      </c>
      <c r="O1284" t="inlineStr">
        <is>
          <t>NEW</t>
        </is>
      </c>
      <c r="P1284" t="inlineStr">
        <is>
          <t>NT26081900680</t>
        </is>
      </c>
      <c r="Q1284" t="inlineStr">
        <is>
          <t>NETTER</t>
        </is>
      </c>
    </row>
    <row r="1285">
      <c r="A1285" t="inlineStr">
        <is>
          <t>499062838623</t>
        </is>
      </c>
      <c r="B1285" t="inlineStr">
        <is>
          <t>TCP</t>
        </is>
      </c>
      <c r="C1285" t="inlineStr">
        <is>
          <t>BRBX</t>
        </is>
      </c>
      <c r="D1285" s="6" t="n">
        <v>46253</v>
      </c>
      <c r="E1285" t="inlineStr">
        <is>
          <t>CR</t>
        </is>
      </c>
      <c r="F1285" t="inlineStr">
        <is>
          <t>USD</t>
        </is>
      </c>
      <c r="G1285" s="7" t="n">
        <v>976360900.926</v>
      </c>
      <c r="H1285" t="inlineStr">
        <is>
          <t>GBP</t>
        </is>
      </c>
      <c r="I1285" s="7" t="n">
        <v>765466946.326</v>
      </c>
      <c r="J1285" s="8" t="n">
        <v>46253.34940972222</v>
      </c>
      <c r="K1285" t="inlineStr">
        <is>
          <t>CF260819 01279</t>
        </is>
      </c>
      <c r="L1285" t="inlineStr">
        <is>
          <t>GL.NOSTRO.USD.BRBX.005</t>
        </is>
      </c>
      <c r="M1285" t="inlineStr">
        <is>
          <t>Juniper Settlement Bank</t>
        </is>
      </c>
      <c r="N1285" t="inlineStr">
        <is>
          <t>BRBXCASH</t>
        </is>
      </c>
      <c r="O1285" t="inlineStr">
        <is>
          <t>CANCEL</t>
        </is>
      </c>
      <c r="P1285" t="inlineStr">
        <is>
          <t>NT26081900657</t>
        </is>
      </c>
      <c r="Q1285" t="inlineStr">
        <is>
          <t>NETTER</t>
        </is>
      </c>
    </row>
    <row r="1286">
      <c r="A1286" t="inlineStr">
        <is>
          <t>468341071172</t>
        </is>
      </c>
      <c r="B1286" t="inlineStr">
        <is>
          <t>TCX</t>
        </is>
      </c>
      <c r="C1286" t="inlineStr">
        <is>
          <t>BRCC</t>
        </is>
      </c>
      <c r="D1286" s="6" t="n">
        <v>46253</v>
      </c>
      <c r="E1286" t="inlineStr">
        <is>
          <t>DR</t>
        </is>
      </c>
      <c r="F1286" t="inlineStr">
        <is>
          <t>EUR</t>
        </is>
      </c>
      <c r="G1286" s="7" t="n">
        <v>-768.357</v>
      </c>
      <c r="H1286" t="inlineStr">
        <is>
          <t>GBP</t>
        </is>
      </c>
      <c r="I1286" s="7" t="n">
        <v>-659.25</v>
      </c>
      <c r="J1286" s="8" t="n">
        <v>46253.60886574074</v>
      </c>
      <c r="K1286" t="inlineStr">
        <is>
          <t>CF260819 01280</t>
        </is>
      </c>
      <c r="L1286" t="inlineStr">
        <is>
          <t>GL.NOSTRO.EUR.BRCC.005</t>
        </is>
      </c>
      <c r="M1286" t="inlineStr">
        <is>
          <t>Juniper Bank</t>
        </is>
      </c>
      <c r="N1286" t="inlineStr">
        <is>
          <t>BRCC</t>
        </is>
      </c>
      <c r="O1286" t="inlineStr">
        <is>
          <t>NEW</t>
        </is>
      </c>
      <c r="Q1286" t="inlineStr">
        <is>
          <t>INTERNAL</t>
        </is>
      </c>
    </row>
    <row r="1287">
      <c r="A1287" t="inlineStr">
        <is>
          <t>120047354818</t>
        </is>
      </c>
      <c r="B1287" t="inlineStr">
        <is>
          <t>TCP</t>
        </is>
      </c>
      <c r="C1287" t="inlineStr">
        <is>
          <t>BRNK</t>
        </is>
      </c>
      <c r="D1287" s="6" t="n">
        <v>46253</v>
      </c>
      <c r="E1287" t="inlineStr">
        <is>
          <t>CR</t>
        </is>
      </c>
      <c r="F1287" t="inlineStr">
        <is>
          <t>USD</t>
        </is>
      </c>
      <c r="G1287" s="7" t="n">
        <v>19558293.04</v>
      </c>
      <c r="H1287" t="inlineStr">
        <is>
          <t>GBP</t>
        </is>
      </c>
      <c r="I1287" s="7" t="n">
        <v>15333701.743</v>
      </c>
      <c r="J1287" s="8" t="n">
        <v>46253.65263888889</v>
      </c>
      <c r="K1287" t="inlineStr">
        <is>
          <t>CF260819 01281</t>
        </is>
      </c>
      <c r="L1287" t="inlineStr">
        <is>
          <t>GL.NOSTRO.USD.BRNK.007</t>
        </is>
      </c>
      <c r="M1287" t="inlineStr">
        <is>
          <t>Zephyr Commercial Bank</t>
        </is>
      </c>
      <c r="N1287" t="inlineStr">
        <is>
          <t>BRNKMM</t>
        </is>
      </c>
      <c r="O1287" t="inlineStr">
        <is>
          <t>NEW</t>
        </is>
      </c>
      <c r="Q1287" t="inlineStr">
        <is>
          <t>NETTER</t>
        </is>
      </c>
    </row>
    <row r="1288">
      <c r="A1288" t="inlineStr">
        <is>
          <t>132544340094</t>
        </is>
      </c>
      <c r="B1288" t="inlineStr">
        <is>
          <t>TCP</t>
        </is>
      </c>
      <c r="C1288" t="inlineStr">
        <is>
          <t>BRYG</t>
        </is>
      </c>
      <c r="D1288" s="6" t="n">
        <v>46253</v>
      </c>
      <c r="E1288" t="inlineStr">
        <is>
          <t>DR</t>
        </is>
      </c>
      <c r="F1288" t="inlineStr">
        <is>
          <t>CZK</t>
        </is>
      </c>
      <c r="G1288" s="7" t="n">
        <v>-292389599.149</v>
      </c>
      <c r="H1288" t="inlineStr">
        <is>
          <t>GBP</t>
        </is>
      </c>
      <c r="I1288" s="7" t="n">
        <v>-9912007.411</v>
      </c>
      <c r="J1288" s="8" t="n">
        <v>46253.29362268518</v>
      </c>
      <c r="K1288" t="inlineStr">
        <is>
          <t>CF260819 01282</t>
        </is>
      </c>
      <c r="L1288" t="inlineStr">
        <is>
          <t>GL.NOSTRO.CZK.BRYG.005</t>
        </is>
      </c>
      <c r="M1288" t="inlineStr">
        <is>
          <t>Yarrow Clearing</t>
        </is>
      </c>
      <c r="N1288" t="inlineStr">
        <is>
          <t>BRYGTRSY</t>
        </is>
      </c>
      <c r="O1288" t="inlineStr">
        <is>
          <t>NEW</t>
        </is>
      </c>
      <c r="Q1288" t="inlineStr">
        <is>
          <t>INTERNAL</t>
        </is>
      </c>
    </row>
    <row r="1289">
      <c r="A1289" t="inlineStr">
        <is>
          <t>953625291146</t>
        </is>
      </c>
      <c r="B1289" t="inlineStr">
        <is>
          <t>TCG</t>
        </is>
      </c>
      <c r="C1289" t="inlineStr">
        <is>
          <t>BRGL</t>
        </is>
      </c>
      <c r="D1289" s="6" t="n">
        <v>46253</v>
      </c>
      <c r="E1289" t="inlineStr">
        <is>
          <t>CR</t>
        </is>
      </c>
      <c r="F1289" t="inlineStr">
        <is>
          <t>USD</t>
        </is>
      </c>
      <c r="G1289" s="7" t="n">
        <v>737538584.748</v>
      </c>
      <c r="H1289" t="inlineStr">
        <is>
          <t>GBP</t>
        </is>
      </c>
      <c r="I1289" s="7" t="n">
        <v>578230250.442</v>
      </c>
      <c r="J1289" s="8" t="n">
        <v>46253.93013888889</v>
      </c>
      <c r="K1289" t="inlineStr">
        <is>
          <t>CF260819 01283</t>
        </is>
      </c>
      <c r="L1289" t="inlineStr">
        <is>
          <t>GL.NOSTRO.USD.BRGL.002</t>
        </is>
      </c>
      <c r="M1289" t="inlineStr">
        <is>
          <t>Cedar Commercial Bank</t>
        </is>
      </c>
      <c r="N1289" t="inlineStr">
        <is>
          <t>BRGLCASH</t>
        </is>
      </c>
      <c r="O1289" t="inlineStr">
        <is>
          <t>NEW</t>
        </is>
      </c>
      <c r="Q1289" t="inlineStr">
        <is>
          <t>NETTER</t>
        </is>
      </c>
    </row>
    <row r="1290">
      <c r="A1290" t="inlineStr">
        <is>
          <t>132544340094</t>
        </is>
      </c>
      <c r="B1290" t="inlineStr">
        <is>
          <t>TCP</t>
        </is>
      </c>
      <c r="C1290" t="inlineStr">
        <is>
          <t>BRYG</t>
        </is>
      </c>
      <c r="D1290" s="6" t="n">
        <v>46253</v>
      </c>
      <c r="E1290" t="inlineStr">
        <is>
          <t>CR</t>
        </is>
      </c>
      <c r="F1290" t="inlineStr">
        <is>
          <t>CZK</t>
        </is>
      </c>
      <c r="G1290" s="7" t="n">
        <v>709806438.582</v>
      </c>
      <c r="H1290" t="inlineStr">
        <is>
          <t>GBP</t>
        </is>
      </c>
      <c r="I1290" s="7" t="n">
        <v>24062438.268</v>
      </c>
      <c r="J1290" s="8" t="n">
        <v>46253.24496527778</v>
      </c>
      <c r="K1290" t="inlineStr">
        <is>
          <t>CF260819 01284</t>
        </is>
      </c>
      <c r="L1290" t="inlineStr">
        <is>
          <t>GL.NOSTRO.CZK.BRYG.006</t>
        </is>
      </c>
      <c r="M1290" t="inlineStr">
        <is>
          <t>Zephyr Commercial Bank</t>
        </is>
      </c>
      <c r="N1290" t="inlineStr">
        <is>
          <t>BRYGTRSY</t>
        </is>
      </c>
      <c r="O1290" t="inlineStr">
        <is>
          <t>NEW</t>
        </is>
      </c>
      <c r="P1290" t="inlineStr">
        <is>
          <t>NT26081900688</t>
        </is>
      </c>
      <c r="Q1290" t="inlineStr">
        <is>
          <t>NETTER</t>
        </is>
      </c>
    </row>
    <row r="1291">
      <c r="A1291" t="inlineStr">
        <is>
          <t>621381112674</t>
        </is>
      </c>
      <c r="B1291" t="inlineStr">
        <is>
          <t>TCP</t>
        </is>
      </c>
      <c r="C1291" t="inlineStr">
        <is>
          <t>BRAA</t>
        </is>
      </c>
      <c r="D1291" s="6" t="n">
        <v>46253</v>
      </c>
      <c r="E1291" t="inlineStr">
        <is>
          <t>DR</t>
        </is>
      </c>
      <c r="F1291" t="inlineStr">
        <is>
          <t>PLN</t>
        </is>
      </c>
      <c r="G1291" s="7" t="n">
        <v>-940683.6850000001</v>
      </c>
      <c r="H1291" t="inlineStr">
        <is>
          <t>GBP</t>
        </is>
      </c>
      <c r="I1291" s="7" t="n">
        <v>-186255.37</v>
      </c>
      <c r="J1291" s="8" t="n">
        <v>46253.51144675926</v>
      </c>
      <c r="K1291" t="inlineStr">
        <is>
          <t>CF260819 01285</t>
        </is>
      </c>
      <c r="L1291" t="inlineStr">
        <is>
          <t>GL.NOSTRO.PLN.BRAA.001</t>
        </is>
      </c>
      <c r="M1291" t="inlineStr">
        <is>
          <t>Dunlin Bank</t>
        </is>
      </c>
      <c r="N1291" t="inlineStr">
        <is>
          <t>BRAAMM</t>
        </is>
      </c>
      <c r="O1291" t="inlineStr">
        <is>
          <t>NEW</t>
        </is>
      </c>
      <c r="P1291" t="inlineStr">
        <is>
          <t>NT26081900685</t>
        </is>
      </c>
      <c r="Q1291" t="inlineStr">
        <is>
          <t>NETTER</t>
        </is>
      </c>
    </row>
    <row r="1292">
      <c r="A1292" t="inlineStr">
        <is>
          <t>120047354818</t>
        </is>
      </c>
      <c r="B1292" t="inlineStr">
        <is>
          <t>TCG</t>
        </is>
      </c>
      <c r="C1292" t="inlineStr">
        <is>
          <t>BRNK</t>
        </is>
      </c>
      <c r="D1292" s="6" t="n">
        <v>46253</v>
      </c>
      <c r="E1292" t="inlineStr">
        <is>
          <t>DR</t>
        </is>
      </c>
      <c r="F1292" t="inlineStr">
        <is>
          <t>USD</t>
        </is>
      </c>
      <c r="G1292" s="7" t="n">
        <v>-78015819.68700001</v>
      </c>
      <c r="H1292" t="inlineStr">
        <is>
          <t>GBP</t>
        </is>
      </c>
      <c r="I1292" s="7" t="n">
        <v>-61164402.635</v>
      </c>
      <c r="J1292" s="8" t="n">
        <v>46253.38719907407</v>
      </c>
      <c r="K1292" t="inlineStr">
        <is>
          <t>CF260819 01286</t>
        </is>
      </c>
      <c r="L1292" t="inlineStr">
        <is>
          <t>GL.NOSTRO.USD.BRNK.008</t>
        </is>
      </c>
      <c r="M1292" t="inlineStr">
        <is>
          <t>Alder Clearing</t>
        </is>
      </c>
      <c r="N1292" t="inlineStr">
        <is>
          <t>BRNK</t>
        </is>
      </c>
      <c r="O1292" t="inlineStr">
        <is>
          <t>AMEND</t>
        </is>
      </c>
      <c r="Q1292" t="inlineStr">
        <is>
          <t>NETTER</t>
        </is>
      </c>
    </row>
    <row r="1293">
      <c r="A1293" t="inlineStr">
        <is>
          <t>113829985108</t>
        </is>
      </c>
      <c r="B1293" t="inlineStr">
        <is>
          <t>TCG</t>
        </is>
      </c>
      <c r="C1293" t="inlineStr">
        <is>
          <t>BRGL</t>
        </is>
      </c>
      <c r="D1293" s="6" t="n">
        <v>46253</v>
      </c>
      <c r="E1293" t="inlineStr">
        <is>
          <t>DR</t>
        </is>
      </c>
      <c r="F1293" t="inlineStr">
        <is>
          <t>EUR</t>
        </is>
      </c>
      <c r="G1293" s="7" t="n">
        <v>-37344795.737</v>
      </c>
      <c r="H1293" t="inlineStr">
        <is>
          <t>GBP</t>
        </is>
      </c>
      <c r="I1293" s="7" t="n">
        <v>-32041834.742</v>
      </c>
      <c r="J1293" s="8" t="n">
        <v>46253.01229166667</v>
      </c>
      <c r="K1293" t="inlineStr">
        <is>
          <t>CF260819 01287</t>
        </is>
      </c>
      <c r="L1293" t="inlineStr">
        <is>
          <t>GL.NOSTRO.EUR.BRGL.004</t>
        </is>
      </c>
      <c r="M1293" t="inlineStr">
        <is>
          <t>Cedar Commercial Bank</t>
        </is>
      </c>
      <c r="N1293" t="inlineStr">
        <is>
          <t>BRGL</t>
        </is>
      </c>
      <c r="O1293" t="inlineStr">
        <is>
          <t>NEW</t>
        </is>
      </c>
      <c r="Q1293" t="inlineStr">
        <is>
          <t>NETTER</t>
        </is>
      </c>
    </row>
    <row r="1294">
      <c r="A1294" t="inlineStr">
        <is>
          <t>171857983160</t>
        </is>
      </c>
      <c r="B1294" t="inlineStr">
        <is>
          <t>TCP</t>
        </is>
      </c>
      <c r="C1294" t="inlineStr">
        <is>
          <t>BRBX</t>
        </is>
      </c>
      <c r="D1294" s="6" t="n">
        <v>46253</v>
      </c>
      <c r="E1294" t="inlineStr">
        <is>
          <t>CR</t>
        </is>
      </c>
      <c r="F1294" t="inlineStr">
        <is>
          <t>AUD</t>
        </is>
      </c>
      <c r="G1294" s="7" t="n">
        <v>470321642.767</v>
      </c>
      <c r="H1294" t="inlineStr">
        <is>
          <t>GBP</t>
        </is>
      </c>
      <c r="I1294" s="7" t="n">
        <v>241275002.739</v>
      </c>
      <c r="J1294" s="8" t="n">
        <v>46253.38768518518</v>
      </c>
      <c r="K1294" t="inlineStr">
        <is>
          <t>CF260819 01288</t>
        </is>
      </c>
      <c r="L1294" t="inlineStr">
        <is>
          <t>GL.NOSTRO.AUD.BRBX.003</t>
        </is>
      </c>
      <c r="M1294" t="inlineStr">
        <is>
          <t>Elmwood Trust</t>
        </is>
      </c>
      <c r="N1294" t="inlineStr">
        <is>
          <t>BRBX</t>
        </is>
      </c>
      <c r="O1294" t="inlineStr">
        <is>
          <t>NEW</t>
        </is>
      </c>
      <c r="P1294" t="inlineStr">
        <is>
          <t>NT26081900657</t>
        </is>
      </c>
      <c r="Q1294" t="inlineStr">
        <is>
          <t>NETTER</t>
        </is>
      </c>
    </row>
    <row r="1295">
      <c r="A1295" t="inlineStr">
        <is>
          <t>824840705580</t>
        </is>
      </c>
      <c r="B1295" t="inlineStr">
        <is>
          <t>TCC</t>
        </is>
      </c>
      <c r="C1295" t="inlineStr">
        <is>
          <t>BRGL</t>
        </is>
      </c>
      <c r="D1295" s="6" t="n">
        <v>46253</v>
      </c>
      <c r="E1295" t="inlineStr">
        <is>
          <t>CR</t>
        </is>
      </c>
      <c r="F1295" t="inlineStr">
        <is>
          <t>EUR</t>
        </is>
      </c>
      <c r="G1295" s="7" t="n">
        <v>40394486.737</v>
      </c>
      <c r="H1295" t="inlineStr">
        <is>
          <t>GBP</t>
        </is>
      </c>
      <c r="I1295" s="7" t="n">
        <v>34658469.62</v>
      </c>
      <c r="J1295" s="8" t="n">
        <v>46253.70364583333</v>
      </c>
      <c r="K1295" t="inlineStr">
        <is>
          <t>CF260819 01289</t>
        </is>
      </c>
      <c r="L1295" t="inlineStr">
        <is>
          <t>GL.NOSTRO.EUR.BRGL.009</t>
        </is>
      </c>
      <c r="M1295" t="inlineStr">
        <is>
          <t>Vetchling Settlement Bank</t>
        </is>
      </c>
      <c r="N1295" t="inlineStr">
        <is>
          <t>BRGLTRSY</t>
        </is>
      </c>
      <c r="O1295" t="inlineStr">
        <is>
          <t>NEW</t>
        </is>
      </c>
      <c r="Q1295" t="inlineStr">
        <is>
          <t>NETTER</t>
        </is>
      </c>
    </row>
    <row r="1296">
      <c r="A1296" t="inlineStr">
        <is>
          <t>113829985108</t>
        </is>
      </c>
      <c r="B1296" t="inlineStr">
        <is>
          <t>TCC</t>
        </is>
      </c>
      <c r="C1296" t="inlineStr">
        <is>
          <t>BRGL</t>
        </is>
      </c>
      <c r="D1296" s="6" t="n">
        <v>46253</v>
      </c>
      <c r="E1296" t="inlineStr">
        <is>
          <t>DR</t>
        </is>
      </c>
      <c r="F1296" t="inlineStr">
        <is>
          <t>EUR</t>
        </is>
      </c>
      <c r="G1296" s="7" t="n">
        <v>-24147206.142</v>
      </c>
      <c r="H1296" t="inlineStr">
        <is>
          <t>GBP</t>
        </is>
      </c>
      <c r="I1296" s="7" t="n">
        <v>-20718302.87</v>
      </c>
      <c r="J1296" s="8" t="n">
        <v>46253.60006944444</v>
      </c>
      <c r="K1296" t="inlineStr">
        <is>
          <t>CF260819 01290</t>
        </is>
      </c>
      <c r="L1296" t="inlineStr">
        <is>
          <t>GL.NOSTRO.EUR.BRGL.004</t>
        </is>
      </c>
      <c r="M1296" t="inlineStr">
        <is>
          <t>Pinehurst Clearing</t>
        </is>
      </c>
      <c r="N1296" t="inlineStr">
        <is>
          <t>BRGLCASH</t>
        </is>
      </c>
      <c r="O1296" t="inlineStr">
        <is>
          <t>NEW</t>
        </is>
      </c>
      <c r="P1296" t="inlineStr">
        <is>
          <t>NT26081900684</t>
        </is>
      </c>
      <c r="Q1296" t="inlineStr">
        <is>
          <t>NETTER</t>
        </is>
      </c>
    </row>
    <row r="1297">
      <c r="A1297" t="inlineStr">
        <is>
          <t>700726936098</t>
        </is>
      </c>
      <c r="B1297" t="inlineStr">
        <is>
          <t>TCG</t>
        </is>
      </c>
      <c r="C1297" t="inlineStr">
        <is>
          <t>BRMD</t>
        </is>
      </c>
      <c r="D1297" s="6" t="n">
        <v>46253</v>
      </c>
      <c r="E1297" t="inlineStr">
        <is>
          <t>CR</t>
        </is>
      </c>
      <c r="F1297" t="inlineStr">
        <is>
          <t>SAR</t>
        </is>
      </c>
      <c r="G1297" s="7" t="n">
        <v>347053581.229</v>
      </c>
      <c r="H1297" t="inlineStr">
        <is>
          <t>GBP</t>
        </is>
      </c>
      <c r="I1297" s="7" t="n">
        <v>72534198.477</v>
      </c>
      <c r="J1297" s="8" t="n">
        <v>46253.63479166666</v>
      </c>
      <c r="K1297" t="inlineStr">
        <is>
          <t>CF260819 01291</t>
        </is>
      </c>
      <c r="L1297" t="inlineStr">
        <is>
          <t>GL.NOSTRO.SAR.BRMD.006</t>
        </is>
      </c>
      <c r="M1297" t="inlineStr">
        <is>
          <t>Yarrow Bank</t>
        </is>
      </c>
      <c r="N1297" t="inlineStr">
        <is>
          <t>BRMD</t>
        </is>
      </c>
      <c r="O1297" t="inlineStr">
        <is>
          <t>NEW</t>
        </is>
      </c>
      <c r="P1297" t="inlineStr">
        <is>
          <t>NT26081900691</t>
        </is>
      </c>
      <c r="Q1297" t="inlineStr">
        <is>
          <t>NETTER</t>
        </is>
      </c>
    </row>
    <row r="1298">
      <c r="A1298" t="inlineStr">
        <is>
          <t>953625291146</t>
        </is>
      </c>
      <c r="B1298" t="inlineStr">
        <is>
          <t>TCQ</t>
        </is>
      </c>
      <c r="C1298" t="inlineStr">
        <is>
          <t>BRGL</t>
        </is>
      </c>
      <c r="D1298" s="6" t="n">
        <v>46253</v>
      </c>
      <c r="E1298" t="inlineStr">
        <is>
          <t>CR</t>
        </is>
      </c>
      <c r="F1298" t="inlineStr">
        <is>
          <t>USD</t>
        </is>
      </c>
      <c r="G1298" s="7" t="n">
        <v>1127553.265</v>
      </c>
      <c r="H1298" t="inlineStr">
        <is>
          <t>GBP</t>
        </is>
      </c>
      <c r="I1298" s="7" t="n">
        <v>884001.76</v>
      </c>
      <c r="J1298" s="8" t="n">
        <v>46253.02893518518</v>
      </c>
      <c r="K1298" t="inlineStr">
        <is>
          <t>CF260819 01292</t>
        </is>
      </c>
      <c r="L1298" t="inlineStr">
        <is>
          <t>GL.NOSTRO.USD.BRGL.009</t>
        </is>
      </c>
      <c r="M1298" t="inlineStr">
        <is>
          <t>Elmwood Trust</t>
        </is>
      </c>
      <c r="N1298" t="inlineStr">
        <is>
          <t>BRGL</t>
        </is>
      </c>
      <c r="O1298" t="inlineStr">
        <is>
          <t>NEW</t>
        </is>
      </c>
      <c r="P1298" t="inlineStr">
        <is>
          <t>NT26081900667</t>
        </is>
      </c>
      <c r="Q1298" t="inlineStr">
        <is>
          <t>GROSS</t>
        </is>
      </c>
    </row>
    <row r="1299">
      <c r="A1299" t="inlineStr">
        <is>
          <t>132544340094</t>
        </is>
      </c>
      <c r="B1299" t="inlineStr">
        <is>
          <t>TCG</t>
        </is>
      </c>
      <c r="C1299" t="inlineStr">
        <is>
          <t>BRYG</t>
        </is>
      </c>
      <c r="D1299" s="6" t="n">
        <v>46253</v>
      </c>
      <c r="E1299" t="inlineStr">
        <is>
          <t>CR</t>
        </is>
      </c>
      <c r="F1299" t="inlineStr">
        <is>
          <t>CZK</t>
        </is>
      </c>
      <c r="G1299" s="7" t="n">
        <v>859451286.808</v>
      </c>
      <c r="H1299" t="inlineStr">
        <is>
          <t>GBP</t>
        </is>
      </c>
      <c r="I1299" s="7" t="n">
        <v>29135398.623</v>
      </c>
      <c r="J1299" s="8" t="n">
        <v>46253.37819444444</v>
      </c>
      <c r="K1299" t="inlineStr">
        <is>
          <t>CF260819 01293</t>
        </is>
      </c>
      <c r="L1299" t="inlineStr">
        <is>
          <t>GL.NOSTRO.CZK.BRYG.004</t>
        </is>
      </c>
      <c r="M1299" t="inlineStr">
        <is>
          <t>Cedar Commercial Bank</t>
        </is>
      </c>
      <c r="N1299" t="inlineStr">
        <is>
          <t>BRYG</t>
        </is>
      </c>
      <c r="O1299" t="inlineStr">
        <is>
          <t>NEW</t>
        </is>
      </c>
      <c r="Q1299" t="inlineStr">
        <is>
          <t>GROSS</t>
        </is>
      </c>
    </row>
    <row r="1300">
      <c r="A1300" t="inlineStr">
        <is>
          <t>927538182434</t>
        </is>
      </c>
      <c r="B1300" t="inlineStr">
        <is>
          <t>TCC</t>
        </is>
      </c>
      <c r="C1300" t="inlineStr">
        <is>
          <t>BRNK</t>
        </is>
      </c>
      <c r="D1300" s="6" t="n">
        <v>46253</v>
      </c>
      <c r="E1300" t="inlineStr">
        <is>
          <t>CR</t>
        </is>
      </c>
      <c r="F1300" t="inlineStr">
        <is>
          <t>CNY</t>
        </is>
      </c>
      <c r="G1300" s="7" t="n">
        <v>20904.575</v>
      </c>
      <c r="H1300" t="inlineStr">
        <is>
          <t>GBP</t>
        </is>
      </c>
      <c r="I1300" s="7" t="n">
        <v>2278.599</v>
      </c>
      <c r="J1300" s="8" t="n">
        <v>46253.63844907407</v>
      </c>
      <c r="K1300" t="inlineStr">
        <is>
          <t>CF260819 01294</t>
        </is>
      </c>
      <c r="L1300" t="inlineStr">
        <is>
          <t>GL.NOSTRO.CNY.BRNK.003</t>
        </is>
      </c>
      <c r="M1300" t="inlineStr">
        <is>
          <t>Granite Clearing</t>
        </is>
      </c>
      <c r="N1300" t="inlineStr">
        <is>
          <t>BRNKMM</t>
        </is>
      </c>
      <c r="O1300" t="inlineStr">
        <is>
          <t>NEW</t>
        </is>
      </c>
      <c r="Q1300" t="inlineStr">
        <is>
          <t>NETTER</t>
        </is>
      </c>
    </row>
    <row r="1301">
      <c r="A1301" t="inlineStr">
        <is>
          <t>150316825069</t>
        </is>
      </c>
      <c r="B1301" t="inlineStr">
        <is>
          <t>TCC</t>
        </is>
      </c>
      <c r="C1301" t="inlineStr">
        <is>
          <t>BRGX</t>
        </is>
      </c>
      <c r="D1301" s="6" t="n">
        <v>46253</v>
      </c>
      <c r="E1301" t="inlineStr">
        <is>
          <t>DR</t>
        </is>
      </c>
      <c r="F1301" t="inlineStr">
        <is>
          <t>GBP</t>
        </is>
      </c>
      <c r="G1301" s="7" t="n">
        <v>-6908446.904</v>
      </c>
      <c r="H1301" t="inlineStr">
        <is>
          <t>GBP</t>
        </is>
      </c>
      <c r="I1301" s="7" t="n">
        <v>-6908446.904</v>
      </c>
      <c r="J1301" s="8" t="n">
        <v>46253.4169212963</v>
      </c>
      <c r="K1301" t="inlineStr">
        <is>
          <t>CF260819 01295</t>
        </is>
      </c>
      <c r="L1301" t="inlineStr">
        <is>
          <t>GL.NOSTRO.GBP.BRGX.003</t>
        </is>
      </c>
      <c r="M1301" t="inlineStr">
        <is>
          <t>Elmwood Trust</t>
        </is>
      </c>
      <c r="N1301" t="inlineStr">
        <is>
          <t>BRGXMM</t>
        </is>
      </c>
      <c r="O1301" t="inlineStr">
        <is>
          <t>AMEND</t>
        </is>
      </c>
      <c r="P1301" t="inlineStr">
        <is>
          <t>NT26081900683</t>
        </is>
      </c>
      <c r="Q1301" t="inlineStr">
        <is>
          <t>GROSS</t>
        </is>
      </c>
    </row>
    <row r="1302">
      <c r="A1302" t="inlineStr">
        <is>
          <t>150316825069</t>
        </is>
      </c>
      <c r="B1302" t="inlineStr">
        <is>
          <t>TCX</t>
        </is>
      </c>
      <c r="C1302" t="inlineStr">
        <is>
          <t>BRGX</t>
        </is>
      </c>
      <c r="D1302" s="6" t="n">
        <v>46253</v>
      </c>
      <c r="E1302" t="inlineStr">
        <is>
          <t>CR</t>
        </is>
      </c>
      <c r="F1302" t="inlineStr">
        <is>
          <t>GBP</t>
        </is>
      </c>
      <c r="G1302" s="7" t="n">
        <v>414502.319</v>
      </c>
      <c r="H1302" t="inlineStr">
        <is>
          <t>GBP</t>
        </is>
      </c>
      <c r="I1302" s="7" t="n">
        <v>414502.319</v>
      </c>
      <c r="J1302" s="8" t="n">
        <v>46253.39770833333</v>
      </c>
      <c r="K1302" t="inlineStr">
        <is>
          <t>CF260819 01296</t>
        </is>
      </c>
      <c r="L1302" t="inlineStr">
        <is>
          <t>GL.NOSTRO.GBP.BRGX.007</t>
        </is>
      </c>
      <c r="M1302" t="inlineStr">
        <is>
          <t>Sablewood Clearing</t>
        </is>
      </c>
      <c r="N1302" t="inlineStr">
        <is>
          <t>BRGXMM</t>
        </is>
      </c>
      <c r="O1302" t="inlineStr">
        <is>
          <t>NEW</t>
        </is>
      </c>
      <c r="Q1302" t="inlineStr">
        <is>
          <t>NETTER</t>
        </is>
      </c>
    </row>
    <row r="1303">
      <c r="A1303" t="inlineStr">
        <is>
          <t>132544340094</t>
        </is>
      </c>
      <c r="B1303" t="inlineStr">
        <is>
          <t>TCC</t>
        </is>
      </c>
      <c r="C1303" t="inlineStr">
        <is>
          <t>BRYG</t>
        </is>
      </c>
      <c r="D1303" s="6" t="n">
        <v>46253</v>
      </c>
      <c r="E1303" t="inlineStr">
        <is>
          <t>CR</t>
        </is>
      </c>
      <c r="F1303" t="inlineStr">
        <is>
          <t>CZK</t>
        </is>
      </c>
      <c r="G1303" s="7" t="n">
        <v>226.963</v>
      </c>
      <c r="H1303" t="inlineStr">
        <is>
          <t>GBP</t>
        </is>
      </c>
      <c r="I1303" s="7" t="n">
        <v>7.694</v>
      </c>
      <c r="J1303" s="8" t="n">
        <v>46253.81956018518</v>
      </c>
      <c r="K1303" t="inlineStr">
        <is>
          <t>CF260819 01297</t>
        </is>
      </c>
      <c r="L1303" t="inlineStr">
        <is>
          <t>GL.NOSTRO.CZK.BRYG.004</t>
        </is>
      </c>
      <c r="M1303" t="inlineStr">
        <is>
          <t>Elmwood Trust</t>
        </is>
      </c>
      <c r="N1303" t="inlineStr">
        <is>
          <t>BRYGCASH</t>
        </is>
      </c>
      <c r="O1303" t="inlineStr">
        <is>
          <t>NEW</t>
        </is>
      </c>
      <c r="Q1303" t="inlineStr">
        <is>
          <t>GROSS</t>
        </is>
      </c>
    </row>
    <row r="1304">
      <c r="A1304" t="inlineStr">
        <is>
          <t>468341071172</t>
        </is>
      </c>
      <c r="B1304" t="inlineStr">
        <is>
          <t>TCX</t>
        </is>
      </c>
      <c r="C1304" t="inlineStr">
        <is>
          <t>BRCC</t>
        </is>
      </c>
      <c r="D1304" s="6" t="n">
        <v>46253</v>
      </c>
      <c r="E1304" t="inlineStr">
        <is>
          <t>CR</t>
        </is>
      </c>
      <c r="F1304" t="inlineStr">
        <is>
          <t>EUR</t>
        </is>
      </c>
      <c r="G1304" s="7" t="n">
        <v>737309729.831</v>
      </c>
      <c r="H1304" t="inlineStr">
        <is>
          <t>GBP</t>
        </is>
      </c>
      <c r="I1304" s="7" t="n">
        <v>632611748.1950001</v>
      </c>
      <c r="J1304" s="8" t="n">
        <v>46253.55446759259</v>
      </c>
      <c r="K1304" t="inlineStr">
        <is>
          <t>CF260819 01298</t>
        </is>
      </c>
      <c r="L1304" t="inlineStr">
        <is>
          <t>GL.NOSTRO.EUR.BRCC.008</t>
        </is>
      </c>
      <c r="M1304" t="inlineStr">
        <is>
          <t>Alder Clearing</t>
        </is>
      </c>
      <c r="N1304" t="inlineStr">
        <is>
          <t>BRCCCASH</t>
        </is>
      </c>
      <c r="O1304" t="inlineStr">
        <is>
          <t>NEW</t>
        </is>
      </c>
      <c r="P1304" t="inlineStr">
        <is>
          <t>NT26081900675</t>
        </is>
      </c>
      <c r="Q1304" t="inlineStr">
        <is>
          <t>NETTER</t>
        </is>
      </c>
    </row>
    <row r="1305">
      <c r="A1305" t="inlineStr">
        <is>
          <t>953625291146</t>
        </is>
      </c>
      <c r="B1305" t="inlineStr">
        <is>
          <t>TCC</t>
        </is>
      </c>
      <c r="C1305" t="inlineStr">
        <is>
          <t>BRGL</t>
        </is>
      </c>
      <c r="D1305" s="6" t="n">
        <v>46253</v>
      </c>
      <c r="E1305" t="inlineStr">
        <is>
          <t>DR</t>
        </is>
      </c>
      <c r="F1305" t="inlineStr">
        <is>
          <t>USD</t>
        </is>
      </c>
      <c r="G1305" s="7" t="n">
        <v>-369128.367</v>
      </c>
      <c r="H1305" t="inlineStr">
        <is>
          <t>GBP</t>
        </is>
      </c>
      <c r="I1305" s="7" t="n">
        <v>-289396.64</v>
      </c>
      <c r="J1305" s="8" t="n">
        <v>46253.57814814815</v>
      </c>
      <c r="K1305" t="inlineStr">
        <is>
          <t>CF260819 01299</t>
        </is>
      </c>
      <c r="L1305" t="inlineStr">
        <is>
          <t>GL.NOSTRO.USD.BRGL.006</t>
        </is>
      </c>
      <c r="M1305" t="inlineStr">
        <is>
          <t>Redstart Commercial Bank</t>
        </is>
      </c>
      <c r="N1305" t="inlineStr">
        <is>
          <t>BRGLCASH</t>
        </is>
      </c>
      <c r="O1305" t="inlineStr">
        <is>
          <t>NEW</t>
        </is>
      </c>
      <c r="Q1305" t="inlineStr">
        <is>
          <t>NETTER</t>
        </is>
      </c>
    </row>
    <row r="1306">
      <c r="A1306" t="inlineStr">
        <is>
          <t>468341071172</t>
        </is>
      </c>
      <c r="B1306" t="inlineStr">
        <is>
          <t>TCG</t>
        </is>
      </c>
      <c r="C1306" t="inlineStr">
        <is>
          <t>BRCC</t>
        </is>
      </c>
      <c r="D1306" s="6" t="n">
        <v>46253</v>
      </c>
      <c r="E1306" t="inlineStr">
        <is>
          <t>CR</t>
        </is>
      </c>
      <c r="F1306" t="inlineStr">
        <is>
          <t>EUR</t>
        </is>
      </c>
      <c r="G1306" s="7" t="n">
        <v>145905928.783</v>
      </c>
      <c r="H1306" t="inlineStr">
        <is>
          <t>GBP</t>
        </is>
      </c>
      <c r="I1306" s="7" t="n">
        <v>125187286.896</v>
      </c>
      <c r="J1306" s="8" t="n">
        <v>46253.2140625</v>
      </c>
      <c r="K1306" t="inlineStr">
        <is>
          <t>CF260819 01300</t>
        </is>
      </c>
      <c r="L1306" t="inlineStr">
        <is>
          <t>GL.NOSTRO.EUR.BRCC.004</t>
        </is>
      </c>
      <c r="M1306" t="inlineStr">
        <is>
          <t>Alder Clearing</t>
        </is>
      </c>
      <c r="N1306" t="inlineStr">
        <is>
          <t>BRCCMM</t>
        </is>
      </c>
      <c r="O1306" t="inlineStr">
        <is>
          <t>NEW</t>
        </is>
      </c>
      <c r="P1306" t="inlineStr">
        <is>
          <t>NT26081900661</t>
        </is>
      </c>
      <c r="Q1306" t="inlineStr">
        <is>
          <t>GROSS</t>
        </is>
      </c>
    </row>
    <row r="1307">
      <c r="A1307" t="inlineStr">
        <is>
          <t>499062838623</t>
        </is>
      </c>
      <c r="B1307" t="inlineStr">
        <is>
          <t>TCG</t>
        </is>
      </c>
      <c r="C1307" t="inlineStr">
        <is>
          <t>BRBX</t>
        </is>
      </c>
      <c r="D1307" s="6" t="n">
        <v>46253</v>
      </c>
      <c r="E1307" t="inlineStr">
        <is>
          <t>CR</t>
        </is>
      </c>
      <c r="F1307" t="inlineStr">
        <is>
          <t>USD</t>
        </is>
      </c>
      <c r="G1307" s="7" t="n">
        <v>57937302071.043</v>
      </c>
      <c r="H1307" t="inlineStr">
        <is>
          <t>GBP</t>
        </is>
      </c>
      <c r="I1307" s="7" t="n">
        <v>45422844823.698</v>
      </c>
      <c r="J1307" s="8" t="n">
        <v>46253.30591435185</v>
      </c>
      <c r="K1307" t="inlineStr">
        <is>
          <t>CF260819 01301</t>
        </is>
      </c>
      <c r="L1307" t="inlineStr">
        <is>
          <t>GL.NOSTRO.USD.BRBX.008</t>
        </is>
      </c>
      <c r="M1307" t="inlineStr">
        <is>
          <t>Mallow Trust</t>
        </is>
      </c>
      <c r="N1307" t="inlineStr">
        <is>
          <t>BRBXTRSY</t>
        </is>
      </c>
      <c r="O1307" t="inlineStr">
        <is>
          <t>AMEND</t>
        </is>
      </c>
      <c r="P1307" t="inlineStr">
        <is>
          <t>NT26081900672</t>
        </is>
      </c>
      <c r="Q1307" t="inlineStr">
        <is>
          <t>GROSS</t>
        </is>
      </c>
    </row>
    <row r="1308">
      <c r="A1308" t="inlineStr">
        <is>
          <t>953625291146</t>
        </is>
      </c>
      <c r="B1308" t="inlineStr">
        <is>
          <t>TCQ</t>
        </is>
      </c>
      <c r="C1308" t="inlineStr">
        <is>
          <t>BRGL</t>
        </is>
      </c>
      <c r="D1308" s="6" t="n">
        <v>46253</v>
      </c>
      <c r="E1308" t="inlineStr">
        <is>
          <t>DR</t>
        </is>
      </c>
      <c r="F1308" t="inlineStr">
        <is>
          <t>USD</t>
        </is>
      </c>
      <c r="G1308" s="7" t="n">
        <v>-838926651.335</v>
      </c>
      <c r="H1308" t="inlineStr">
        <is>
          <t>GBP</t>
        </is>
      </c>
      <c r="I1308" s="7" t="n">
        <v>-657718494.647</v>
      </c>
      <c r="J1308" s="8" t="n">
        <v>46253.49746527777</v>
      </c>
      <c r="K1308" t="inlineStr">
        <is>
          <t>CF260819 01302</t>
        </is>
      </c>
      <c r="L1308" t="inlineStr">
        <is>
          <t>GL.NOSTRO.USD.BRGL.007</t>
        </is>
      </c>
      <c r="M1308" t="inlineStr">
        <is>
          <t>Dunlin Trust</t>
        </is>
      </c>
      <c r="N1308" t="inlineStr">
        <is>
          <t>BRGL</t>
        </is>
      </c>
      <c r="O1308" t="inlineStr">
        <is>
          <t>NEW</t>
        </is>
      </c>
      <c r="Q1308" t="inlineStr">
        <is>
          <t>NETTER</t>
        </is>
      </c>
    </row>
    <row r="1309">
      <c r="A1309" t="inlineStr">
        <is>
          <t>150316825069</t>
        </is>
      </c>
      <c r="B1309" t="inlineStr">
        <is>
          <t>TCP</t>
        </is>
      </c>
      <c r="C1309" t="inlineStr">
        <is>
          <t>BRGX</t>
        </is>
      </c>
      <c r="D1309" s="6" t="n">
        <v>46253</v>
      </c>
      <c r="E1309" t="inlineStr">
        <is>
          <t>DR</t>
        </is>
      </c>
      <c r="F1309" t="inlineStr">
        <is>
          <t>GBP</t>
        </is>
      </c>
      <c r="G1309" s="7" t="n">
        <v>-6012636.503</v>
      </c>
      <c r="H1309" t="inlineStr">
        <is>
          <t>GBP</t>
        </is>
      </c>
      <c r="I1309" s="7" t="n">
        <v>-6012636.503</v>
      </c>
      <c r="J1309" s="8" t="n">
        <v>46253.60855324074</v>
      </c>
      <c r="K1309" t="inlineStr">
        <is>
          <t>CF260819 01303</t>
        </is>
      </c>
      <c r="L1309" t="inlineStr">
        <is>
          <t>GL.NOSTRO.GBP.BRGX.008</t>
        </is>
      </c>
      <c r="M1309" t="inlineStr">
        <is>
          <t>Wrenfield Commercial Bank</t>
        </is>
      </c>
      <c r="N1309" t="inlineStr">
        <is>
          <t>BRGX</t>
        </is>
      </c>
      <c r="O1309" t="inlineStr">
        <is>
          <t>NEW</t>
        </is>
      </c>
      <c r="P1309" t="inlineStr">
        <is>
          <t>NT26081900693</t>
        </is>
      </c>
      <c r="Q1309" t="inlineStr">
        <is>
          <t>INTERNAL</t>
        </is>
      </c>
    </row>
    <row r="1310">
      <c r="A1310" t="inlineStr">
        <is>
          <t>150316825069</t>
        </is>
      </c>
      <c r="B1310" t="inlineStr">
        <is>
          <t>TCQ</t>
        </is>
      </c>
      <c r="C1310" t="inlineStr">
        <is>
          <t>BRGX</t>
        </is>
      </c>
      <c r="D1310" s="6" t="n">
        <v>46253</v>
      </c>
      <c r="E1310" t="inlineStr">
        <is>
          <t>DR</t>
        </is>
      </c>
      <c r="F1310" t="inlineStr">
        <is>
          <t>GBP</t>
        </is>
      </c>
      <c r="G1310" s="7" t="n">
        <v>-33547941.521</v>
      </c>
      <c r="H1310" t="inlineStr">
        <is>
          <t>GBP</t>
        </is>
      </c>
      <c r="I1310" s="7" t="n">
        <v>-33547941.521</v>
      </c>
      <c r="J1310" s="8" t="n">
        <v>46253.68927083333</v>
      </c>
      <c r="K1310" t="inlineStr">
        <is>
          <t>CF260819 01304</t>
        </is>
      </c>
      <c r="L1310" t="inlineStr">
        <is>
          <t>GL.NOSTRO.GBP.BRGX.006</t>
        </is>
      </c>
      <c r="M1310" t="inlineStr">
        <is>
          <t>Sablewood Settlement Bank</t>
        </is>
      </c>
      <c r="N1310" t="inlineStr">
        <is>
          <t>BRGXMM</t>
        </is>
      </c>
      <c r="O1310" t="inlineStr">
        <is>
          <t>NEW</t>
        </is>
      </c>
      <c r="Q1310" t="inlineStr">
        <is>
          <t>NETTER</t>
        </is>
      </c>
    </row>
    <row r="1311">
      <c r="A1311" t="inlineStr">
        <is>
          <t>794226063698</t>
        </is>
      </c>
      <c r="B1311" t="inlineStr">
        <is>
          <t>TCQ</t>
        </is>
      </c>
      <c r="C1311" t="inlineStr">
        <is>
          <t>BRMD</t>
        </is>
      </c>
      <c r="D1311" s="6" t="n">
        <v>46253</v>
      </c>
      <c r="E1311" t="inlineStr">
        <is>
          <t>CR</t>
        </is>
      </c>
      <c r="F1311" t="inlineStr">
        <is>
          <t>AED</t>
        </is>
      </c>
      <c r="G1311" s="7" t="n">
        <v>483622038.359</v>
      </c>
      <c r="H1311" t="inlineStr">
        <is>
          <t>GBP</t>
        </is>
      </c>
      <c r="I1311" s="7" t="n">
        <v>103011494.17</v>
      </c>
      <c r="J1311" s="8" t="n">
        <v>46253.42481481482</v>
      </c>
      <c r="K1311" t="inlineStr">
        <is>
          <t>CF260819 01305</t>
        </is>
      </c>
      <c r="L1311" t="inlineStr">
        <is>
          <t>GL.NOSTRO.AED.BRMD.005</t>
        </is>
      </c>
      <c r="M1311" t="inlineStr">
        <is>
          <t>Wrenfield Commercial Bank</t>
        </is>
      </c>
      <c r="N1311" t="inlineStr">
        <is>
          <t>BRMDCASH</t>
        </is>
      </c>
      <c r="O1311" t="inlineStr">
        <is>
          <t>NEW</t>
        </is>
      </c>
      <c r="Q1311" t="inlineStr">
        <is>
          <t>INTERNAL</t>
        </is>
      </c>
    </row>
    <row r="1312">
      <c r="A1312" t="inlineStr">
        <is>
          <t>898317028833</t>
        </is>
      </c>
      <c r="B1312" t="inlineStr">
        <is>
          <t>TCC</t>
        </is>
      </c>
      <c r="C1312" t="inlineStr">
        <is>
          <t>BRAA</t>
        </is>
      </c>
      <c r="D1312" s="6" t="n">
        <v>46253</v>
      </c>
      <c r="E1312" t="inlineStr">
        <is>
          <t>CR</t>
        </is>
      </c>
      <c r="F1312" t="inlineStr">
        <is>
          <t>GBP</t>
        </is>
      </c>
      <c r="G1312" s="7" t="n">
        <v>459406503.371</v>
      </c>
      <c r="H1312" t="inlineStr">
        <is>
          <t>GBP</t>
        </is>
      </c>
      <c r="I1312" s="7" t="n">
        <v>459406503.371</v>
      </c>
      <c r="J1312" s="8" t="n">
        <v>46253.44873842593</v>
      </c>
      <c r="K1312" t="inlineStr">
        <is>
          <t>CF260819 01306</t>
        </is>
      </c>
      <c r="L1312" t="inlineStr">
        <is>
          <t>GL.NOSTRO.GBP.BRAA.006</t>
        </is>
      </c>
      <c r="M1312" t="inlineStr">
        <is>
          <t>Mallow Clearing</t>
        </is>
      </c>
      <c r="N1312" t="inlineStr">
        <is>
          <t>BRAACASH</t>
        </is>
      </c>
      <c r="O1312" t="inlineStr">
        <is>
          <t>NEW</t>
        </is>
      </c>
      <c r="P1312" t="inlineStr">
        <is>
          <t>NT26081900693</t>
        </is>
      </c>
      <c r="Q1312" t="inlineStr">
        <is>
          <t>NETTER</t>
        </is>
      </c>
    </row>
    <row r="1313">
      <c r="A1313" t="inlineStr">
        <is>
          <t>499062838623</t>
        </is>
      </c>
      <c r="B1313" t="inlineStr">
        <is>
          <t>TCQ</t>
        </is>
      </c>
      <c r="C1313" t="inlineStr">
        <is>
          <t>BRBX</t>
        </is>
      </c>
      <c r="D1313" s="6" t="n">
        <v>46253</v>
      </c>
      <c r="E1313" t="inlineStr">
        <is>
          <t>CR</t>
        </is>
      </c>
      <c r="F1313" t="inlineStr">
        <is>
          <t>USD</t>
        </is>
      </c>
      <c r="G1313" s="7" t="n">
        <v>468947685.728</v>
      </c>
      <c r="H1313" t="inlineStr">
        <is>
          <t>GBP</t>
        </is>
      </c>
      <c r="I1313" s="7" t="n">
        <v>367654985.611</v>
      </c>
      <c r="J1313" s="8" t="n">
        <v>46253.51193287037</v>
      </c>
      <c r="K1313" t="inlineStr">
        <is>
          <t>CF260819 01307</t>
        </is>
      </c>
      <c r="L1313" t="inlineStr">
        <is>
          <t>GL.NOSTRO.USD.BRBX.007</t>
        </is>
      </c>
      <c r="M1313" t="inlineStr">
        <is>
          <t>Sablewood Commercial Bank</t>
        </is>
      </c>
      <c r="N1313" t="inlineStr">
        <is>
          <t>BRBXTRSY</t>
        </is>
      </c>
      <c r="O1313" t="inlineStr">
        <is>
          <t>NEW</t>
        </is>
      </c>
      <c r="Q1313" t="inlineStr">
        <is>
          <t>NETTER</t>
        </is>
      </c>
    </row>
    <row r="1314">
      <c r="A1314" t="inlineStr">
        <is>
          <t>794226063698</t>
        </is>
      </c>
      <c r="B1314" t="inlineStr">
        <is>
          <t>TCG</t>
        </is>
      </c>
      <c r="C1314" t="inlineStr">
        <is>
          <t>BRMD</t>
        </is>
      </c>
      <c r="D1314" s="6" t="n">
        <v>46253</v>
      </c>
      <c r="E1314" t="inlineStr">
        <is>
          <t>CR</t>
        </is>
      </c>
      <c r="F1314" t="inlineStr">
        <is>
          <t>AED</t>
        </is>
      </c>
      <c r="G1314" s="7" t="n">
        <v>25657572.098</v>
      </c>
      <c r="H1314" t="inlineStr">
        <is>
          <t>GBP</t>
        </is>
      </c>
      <c r="I1314" s="7" t="n">
        <v>5465062.857</v>
      </c>
      <c r="J1314" s="8" t="n">
        <v>46253.69105324074</v>
      </c>
      <c r="K1314" t="inlineStr">
        <is>
          <t>CF260819 01308</t>
        </is>
      </c>
      <c r="L1314" t="inlineStr">
        <is>
          <t>GL.NOSTRO.AED.BRMD.008</t>
        </is>
      </c>
      <c r="M1314" t="inlineStr">
        <is>
          <t>Mallow Trust</t>
        </is>
      </c>
      <c r="N1314" t="inlineStr">
        <is>
          <t>BRMDCASH</t>
        </is>
      </c>
      <c r="O1314" t="inlineStr">
        <is>
          <t>NEW</t>
        </is>
      </c>
      <c r="Q1314" t="inlineStr">
        <is>
          <t>NETTER</t>
        </is>
      </c>
    </row>
    <row r="1315">
      <c r="A1315" t="inlineStr">
        <is>
          <t>499062838623</t>
        </is>
      </c>
      <c r="B1315" t="inlineStr">
        <is>
          <t>TCC</t>
        </is>
      </c>
      <c r="C1315" t="inlineStr">
        <is>
          <t>BRBX</t>
        </is>
      </c>
      <c r="D1315" s="6" t="n">
        <v>46253</v>
      </c>
      <c r="E1315" t="inlineStr">
        <is>
          <t>CR</t>
        </is>
      </c>
      <c r="F1315" t="inlineStr">
        <is>
          <t>USD</t>
        </is>
      </c>
      <c r="G1315" s="7" t="n">
        <v>498076390.492</v>
      </c>
      <c r="H1315" t="inlineStr">
        <is>
          <t>GBP</t>
        </is>
      </c>
      <c r="I1315" s="7" t="n">
        <v>390491890.146</v>
      </c>
      <c r="J1315" s="8" t="n">
        <v>46253.37800925926</v>
      </c>
      <c r="K1315" t="inlineStr">
        <is>
          <t>CF260819 01309</t>
        </is>
      </c>
      <c r="L1315" t="inlineStr">
        <is>
          <t>GL.NOSTRO.USD.BRBX.006</t>
        </is>
      </c>
      <c r="M1315" t="inlineStr">
        <is>
          <t>Sablewood Settlement Bank</t>
        </is>
      </c>
      <c r="N1315" t="inlineStr">
        <is>
          <t>BRBXCASH</t>
        </is>
      </c>
      <c r="O1315" t="inlineStr">
        <is>
          <t>NEW</t>
        </is>
      </c>
      <c r="P1315" t="inlineStr">
        <is>
          <t>NT26081900674</t>
        </is>
      </c>
      <c r="Q1315" t="inlineStr">
        <is>
          <t>NETTER</t>
        </is>
      </c>
    </row>
    <row r="1316">
      <c r="A1316" t="inlineStr">
        <is>
          <t>150316825069</t>
        </is>
      </c>
      <c r="B1316" t="inlineStr">
        <is>
          <t>TCP</t>
        </is>
      </c>
      <c r="C1316" t="inlineStr">
        <is>
          <t>BRGX</t>
        </is>
      </c>
      <c r="D1316" s="6" t="n">
        <v>46253</v>
      </c>
      <c r="E1316" t="inlineStr">
        <is>
          <t>DR</t>
        </is>
      </c>
      <c r="F1316" t="inlineStr">
        <is>
          <t>GBP</t>
        </is>
      </c>
      <c r="G1316" s="7" t="n">
        <v>-23058478.301</v>
      </c>
      <c r="H1316" t="inlineStr">
        <is>
          <t>GBP</t>
        </is>
      </c>
      <c r="I1316" s="7" t="n">
        <v>-23058478.301</v>
      </c>
      <c r="J1316" s="8" t="n">
        <v>46253.4431712963</v>
      </c>
      <c r="K1316" t="inlineStr">
        <is>
          <t>CF260819 01310</t>
        </is>
      </c>
      <c r="L1316" t="inlineStr">
        <is>
          <t>GL.NOSTRO.GBP.BRGX.003</t>
        </is>
      </c>
      <c r="M1316" t="inlineStr">
        <is>
          <t>Pinehurst Bank</t>
        </is>
      </c>
      <c r="N1316" t="inlineStr">
        <is>
          <t>BRGXTRSY</t>
        </is>
      </c>
      <c r="O1316" t="inlineStr">
        <is>
          <t>AMEND</t>
        </is>
      </c>
      <c r="P1316" t="inlineStr">
        <is>
          <t>NT26081900656</t>
        </is>
      </c>
      <c r="Q1316" t="inlineStr">
        <is>
          <t>NETTER</t>
        </is>
      </c>
    </row>
    <row r="1317">
      <c r="A1317" t="inlineStr">
        <is>
          <t>468341071172</t>
        </is>
      </c>
      <c r="B1317" t="inlineStr">
        <is>
          <t>TCX</t>
        </is>
      </c>
      <c r="C1317" t="inlineStr">
        <is>
          <t>BRCC</t>
        </is>
      </c>
      <c r="D1317" s="6" t="n">
        <v>46253</v>
      </c>
      <c r="E1317" t="inlineStr">
        <is>
          <t>DR</t>
        </is>
      </c>
      <c r="F1317" t="inlineStr">
        <is>
          <t>EUR</t>
        </is>
      </c>
      <c r="G1317" s="7" t="n">
        <v>-11606049.552</v>
      </c>
      <c r="H1317" t="inlineStr">
        <is>
          <t>GBP</t>
        </is>
      </c>
      <c r="I1317" s="7" t="n">
        <v>-9957990.516000001</v>
      </c>
      <c r="J1317" s="8" t="n">
        <v>46253.62074074074</v>
      </c>
      <c r="K1317" t="inlineStr">
        <is>
          <t>CF260819 01311</t>
        </is>
      </c>
      <c r="L1317" t="inlineStr">
        <is>
          <t>GL.NOSTRO.EUR.BRCC.007</t>
        </is>
      </c>
      <c r="M1317" t="inlineStr">
        <is>
          <t>Harrow Clearing</t>
        </is>
      </c>
      <c r="N1317" t="inlineStr">
        <is>
          <t>BRCCTRSY</t>
        </is>
      </c>
      <c r="O1317" t="inlineStr">
        <is>
          <t>NEW</t>
        </is>
      </c>
      <c r="P1317" t="inlineStr">
        <is>
          <t>NT26081900694</t>
        </is>
      </c>
      <c r="Q1317" t="inlineStr">
        <is>
          <t>INTERNAL</t>
        </is>
      </c>
    </row>
    <row r="1318">
      <c r="A1318" t="inlineStr">
        <is>
          <t>468341071172</t>
        </is>
      </c>
      <c r="B1318" t="inlineStr">
        <is>
          <t>TCP</t>
        </is>
      </c>
      <c r="C1318" t="inlineStr">
        <is>
          <t>BRCC</t>
        </is>
      </c>
      <c r="D1318" s="6" t="n">
        <v>46253</v>
      </c>
      <c r="E1318" t="inlineStr">
        <is>
          <t>CR</t>
        </is>
      </c>
      <c r="F1318" t="inlineStr">
        <is>
          <t>EUR</t>
        </is>
      </c>
      <c r="G1318" s="7" t="n">
        <v>7.276</v>
      </c>
      <c r="H1318" t="inlineStr">
        <is>
          <t>GBP</t>
        </is>
      </c>
      <c r="I1318" s="7" t="n">
        <v>6.243</v>
      </c>
      <c r="J1318" s="8" t="n">
        <v>46253.65847222223</v>
      </c>
      <c r="K1318" t="inlineStr">
        <is>
          <t>CF260819 01312</t>
        </is>
      </c>
      <c r="L1318" t="inlineStr">
        <is>
          <t>GL.NOSTRO.EUR.BRCC.001</t>
        </is>
      </c>
      <c r="M1318" t="inlineStr">
        <is>
          <t>Harrow Clearing</t>
        </is>
      </c>
      <c r="N1318" t="inlineStr">
        <is>
          <t>BRCCMM</t>
        </is>
      </c>
      <c r="O1318" t="inlineStr">
        <is>
          <t>AMEND</t>
        </is>
      </c>
      <c r="Q1318" t="inlineStr">
        <is>
          <t>NETTER</t>
        </is>
      </c>
    </row>
    <row r="1319">
      <c r="A1319" t="inlineStr">
        <is>
          <t>150316825069</t>
        </is>
      </c>
      <c r="B1319" t="inlineStr">
        <is>
          <t>TCX</t>
        </is>
      </c>
      <c r="C1319" t="inlineStr">
        <is>
          <t>BRGX</t>
        </is>
      </c>
      <c r="D1319" s="6" t="n">
        <v>46253</v>
      </c>
      <c r="E1319" t="inlineStr">
        <is>
          <t>DR</t>
        </is>
      </c>
      <c r="F1319" t="inlineStr">
        <is>
          <t>GBP</t>
        </is>
      </c>
      <c r="G1319" s="7" t="n">
        <v>-227725901.072</v>
      </c>
      <c r="H1319" t="inlineStr">
        <is>
          <t>GBP</t>
        </is>
      </c>
      <c r="I1319" s="7" t="n">
        <v>-227725901.072</v>
      </c>
      <c r="J1319" s="8" t="n">
        <v>46253.39879629629</v>
      </c>
      <c r="K1319" t="inlineStr">
        <is>
          <t>CF260819 01313</t>
        </is>
      </c>
      <c r="L1319" t="inlineStr">
        <is>
          <t>GL.NOSTRO.GBP.BRGX.005</t>
        </is>
      </c>
      <c r="M1319" t="inlineStr">
        <is>
          <t>Yarrow Clearing</t>
        </is>
      </c>
      <c r="N1319" t="inlineStr">
        <is>
          <t>BRGXMM</t>
        </is>
      </c>
      <c r="O1319" t="inlineStr">
        <is>
          <t>NEW</t>
        </is>
      </c>
      <c r="Q1319" t="inlineStr">
        <is>
          <t>NETTER</t>
        </is>
      </c>
    </row>
    <row r="1320">
      <c r="A1320" t="inlineStr">
        <is>
          <t>794226063698</t>
        </is>
      </c>
      <c r="B1320" t="inlineStr">
        <is>
          <t>TCG</t>
        </is>
      </c>
      <c r="C1320" t="inlineStr">
        <is>
          <t>BRMD</t>
        </is>
      </c>
      <c r="D1320" s="6" t="n">
        <v>46253</v>
      </c>
      <c r="E1320" t="inlineStr">
        <is>
          <t>DR</t>
        </is>
      </c>
      <c r="F1320" t="inlineStr">
        <is>
          <t>AED</t>
        </is>
      </c>
      <c r="G1320" s="7" t="n">
        <v>-1682865.072</v>
      </c>
      <c r="H1320" t="inlineStr">
        <is>
          <t>GBP</t>
        </is>
      </c>
      <c r="I1320" s="7" t="n">
        <v>-358450.26</v>
      </c>
      <c r="J1320" s="8" t="n">
        <v>46253.4019212963</v>
      </c>
      <c r="K1320" t="inlineStr">
        <is>
          <t>CF260819 01314</t>
        </is>
      </c>
      <c r="L1320" t="inlineStr">
        <is>
          <t>GL.NOSTRO.AED.BRMD.001</t>
        </is>
      </c>
      <c r="M1320" t="inlineStr">
        <is>
          <t>Redstart Trust</t>
        </is>
      </c>
      <c r="N1320" t="inlineStr">
        <is>
          <t>BRMD</t>
        </is>
      </c>
      <c r="O1320" t="inlineStr">
        <is>
          <t>NEW</t>
        </is>
      </c>
      <c r="Q1320" t="inlineStr">
        <is>
          <t>GROSS</t>
        </is>
      </c>
    </row>
    <row r="1321">
      <c r="A1321" t="inlineStr">
        <is>
          <t>468341071172</t>
        </is>
      </c>
      <c r="B1321" t="inlineStr">
        <is>
          <t>TCC</t>
        </is>
      </c>
      <c r="C1321" t="inlineStr">
        <is>
          <t>BRCC</t>
        </is>
      </c>
      <c r="D1321" s="6" t="n">
        <v>46253</v>
      </c>
      <c r="E1321" t="inlineStr">
        <is>
          <t>DR</t>
        </is>
      </c>
      <c r="F1321" t="inlineStr">
        <is>
          <t>EUR</t>
        </is>
      </c>
      <c r="G1321" s="7" t="n">
        <v>-62178456.854</v>
      </c>
      <c r="H1321" t="inlineStr">
        <is>
          <t>GBP</t>
        </is>
      </c>
      <c r="I1321" s="7" t="n">
        <v>-53349115.981</v>
      </c>
      <c r="J1321" s="8" t="n">
        <v>46253.56760416667</v>
      </c>
      <c r="K1321" t="inlineStr">
        <is>
          <t>CF260819 01315</t>
        </is>
      </c>
      <c r="L1321" t="inlineStr">
        <is>
          <t>GL.NOSTRO.EUR.BRCC.006</t>
        </is>
      </c>
      <c r="M1321" t="inlineStr">
        <is>
          <t>Ironbark Commercial Bank</t>
        </is>
      </c>
      <c r="N1321" t="inlineStr">
        <is>
          <t>BRCCTRSY</t>
        </is>
      </c>
      <c r="O1321" t="inlineStr">
        <is>
          <t>NEW</t>
        </is>
      </c>
      <c r="Q1321" t="inlineStr">
        <is>
          <t>NETTER</t>
        </is>
      </c>
    </row>
    <row r="1322">
      <c r="A1322" t="inlineStr">
        <is>
          <t>150316825069</t>
        </is>
      </c>
      <c r="B1322" t="inlineStr">
        <is>
          <t>TCP</t>
        </is>
      </c>
      <c r="C1322" t="inlineStr">
        <is>
          <t>BRGX</t>
        </is>
      </c>
      <c r="D1322" s="6" t="n">
        <v>46253</v>
      </c>
      <c r="E1322" t="inlineStr">
        <is>
          <t>DR</t>
        </is>
      </c>
      <c r="F1322" t="inlineStr">
        <is>
          <t>GBP</t>
        </is>
      </c>
      <c r="G1322" s="7" t="n">
        <v>-760640.115</v>
      </c>
      <c r="H1322" t="inlineStr">
        <is>
          <t>GBP</t>
        </is>
      </c>
      <c r="I1322" s="7" t="n">
        <v>-760640.115</v>
      </c>
      <c r="J1322" s="8" t="n">
        <v>46253.45413194445</v>
      </c>
      <c r="K1322" t="inlineStr">
        <is>
          <t>CF260819 01316</t>
        </is>
      </c>
      <c r="L1322" t="inlineStr">
        <is>
          <t>GL.NOSTRO.GBP.BRGX.003</t>
        </is>
      </c>
      <c r="M1322" t="inlineStr">
        <is>
          <t>Ironbark Commercial Bank</t>
        </is>
      </c>
      <c r="N1322" t="inlineStr">
        <is>
          <t>BRGX</t>
        </is>
      </c>
      <c r="O1322" t="inlineStr">
        <is>
          <t>CANCEL</t>
        </is>
      </c>
      <c r="Q1322" t="inlineStr">
        <is>
          <t>NETTER</t>
        </is>
      </c>
    </row>
    <row r="1323">
      <c r="A1323" t="inlineStr">
        <is>
          <t>150316825069</t>
        </is>
      </c>
      <c r="B1323" t="inlineStr">
        <is>
          <t>TCQ</t>
        </is>
      </c>
      <c r="C1323" t="inlineStr">
        <is>
          <t>BRGX</t>
        </is>
      </c>
      <c r="D1323" s="6" t="n">
        <v>46253</v>
      </c>
      <c r="E1323" t="inlineStr">
        <is>
          <t>DR</t>
        </is>
      </c>
      <c r="F1323" t="inlineStr">
        <is>
          <t>GBP</t>
        </is>
      </c>
      <c r="G1323" s="7" t="n">
        <v>-242895775.864</v>
      </c>
      <c r="H1323" t="inlineStr">
        <is>
          <t>GBP</t>
        </is>
      </c>
      <c r="I1323" s="7" t="n">
        <v>-242895775.864</v>
      </c>
      <c r="J1323" s="8" t="n">
        <v>46253.40636574074</v>
      </c>
      <c r="K1323" t="inlineStr">
        <is>
          <t>CF260819 01317</t>
        </is>
      </c>
      <c r="L1323" t="inlineStr">
        <is>
          <t>GL.NOSTRO.GBP.BRGX.002</t>
        </is>
      </c>
      <c r="M1323" t="inlineStr">
        <is>
          <t>Wrenfield Commercial Bank</t>
        </is>
      </c>
      <c r="N1323" t="inlineStr">
        <is>
          <t>BRGXCASH</t>
        </is>
      </c>
      <c r="O1323" t="inlineStr">
        <is>
          <t>NEW</t>
        </is>
      </c>
      <c r="P1323" t="inlineStr">
        <is>
          <t>NT26081900668</t>
        </is>
      </c>
      <c r="Q1323" t="inlineStr">
        <is>
          <t>NETTER</t>
        </is>
      </c>
    </row>
    <row r="1324">
      <c r="A1324" t="inlineStr">
        <is>
          <t>120047354818</t>
        </is>
      </c>
      <c r="B1324" t="inlineStr">
        <is>
          <t>TCQ</t>
        </is>
      </c>
      <c r="C1324" t="inlineStr">
        <is>
          <t>BRNK</t>
        </is>
      </c>
      <c r="D1324" s="6" t="n">
        <v>46253</v>
      </c>
      <c r="E1324" t="inlineStr">
        <is>
          <t>CR</t>
        </is>
      </c>
      <c r="F1324" t="inlineStr">
        <is>
          <t>USD</t>
        </is>
      </c>
      <c r="G1324" s="7" t="n">
        <v>9378649.331</v>
      </c>
      <c r="H1324" t="inlineStr">
        <is>
          <t>GBP</t>
        </is>
      </c>
      <c r="I1324" s="7" t="n">
        <v>7352861.076</v>
      </c>
      <c r="J1324" s="8" t="n">
        <v>46253.85122685185</v>
      </c>
      <c r="K1324" t="inlineStr">
        <is>
          <t>CF260819 01318</t>
        </is>
      </c>
      <c r="L1324" t="inlineStr">
        <is>
          <t>GL.NOSTRO.USD.BRNK.007</t>
        </is>
      </c>
      <c r="M1324" t="inlineStr">
        <is>
          <t>Yarrow Bank</t>
        </is>
      </c>
      <c r="N1324" t="inlineStr">
        <is>
          <t>BRNKTRSY</t>
        </is>
      </c>
      <c r="O1324" t="inlineStr">
        <is>
          <t>NEW</t>
        </is>
      </c>
      <c r="Q1324" t="inlineStr">
        <is>
          <t>GROSS</t>
        </is>
      </c>
    </row>
    <row r="1325">
      <c r="A1325" t="inlineStr">
        <is>
          <t>132544340094</t>
        </is>
      </c>
      <c r="B1325" t="inlineStr">
        <is>
          <t>TCX</t>
        </is>
      </c>
      <c r="C1325" t="inlineStr">
        <is>
          <t>BRYG</t>
        </is>
      </c>
      <c r="D1325" s="6" t="n">
        <v>46253</v>
      </c>
      <c r="E1325" t="inlineStr">
        <is>
          <t>CR</t>
        </is>
      </c>
      <c r="F1325" t="inlineStr">
        <is>
          <t>CZK</t>
        </is>
      </c>
      <c r="G1325" s="7" t="n">
        <v>1177658.143</v>
      </c>
      <c r="H1325" t="inlineStr">
        <is>
          <t>GBP</t>
        </is>
      </c>
      <c r="I1325" s="7" t="n">
        <v>39922.611</v>
      </c>
      <c r="J1325" s="8" t="n">
        <v>46253.52939814814</v>
      </c>
      <c r="K1325" t="inlineStr">
        <is>
          <t>CF260819 01319</t>
        </is>
      </c>
      <c r="L1325" t="inlineStr">
        <is>
          <t>GL.NOSTRO.CZK.BRYG.004</t>
        </is>
      </c>
      <c r="M1325" t="inlineStr">
        <is>
          <t>Redstart Trust</t>
        </is>
      </c>
      <c r="N1325" t="inlineStr">
        <is>
          <t>BRYGCASH</t>
        </is>
      </c>
      <c r="O1325" t="inlineStr">
        <is>
          <t>NEW</t>
        </is>
      </c>
      <c r="Q1325" t="inlineStr">
        <is>
          <t>NETTER</t>
        </is>
      </c>
    </row>
    <row r="1326">
      <c r="A1326" t="inlineStr">
        <is>
          <t>968942362772</t>
        </is>
      </c>
      <c r="B1326" t="inlineStr">
        <is>
          <t>TCX</t>
        </is>
      </c>
      <c r="C1326" t="inlineStr">
        <is>
          <t>BRYG</t>
        </is>
      </c>
      <c r="D1326" s="6" t="n">
        <v>46253</v>
      </c>
      <c r="E1326" t="inlineStr">
        <is>
          <t>CR</t>
        </is>
      </c>
      <c r="F1326" t="inlineStr">
        <is>
          <t>EUR</t>
        </is>
      </c>
      <c r="G1326" s="7" t="n">
        <v>21644952.019</v>
      </c>
      <c r="H1326" t="inlineStr">
        <is>
          <t>GBP</t>
        </is>
      </c>
      <c r="I1326" s="7" t="n">
        <v>18571368.832</v>
      </c>
      <c r="J1326" s="8" t="n">
        <v>46253.46581018518</v>
      </c>
      <c r="K1326" t="inlineStr">
        <is>
          <t>CF260819 01320</t>
        </is>
      </c>
      <c r="L1326" t="inlineStr">
        <is>
          <t>GL.NOSTRO.EUR.BRYG.002</t>
        </is>
      </c>
      <c r="M1326" t="inlineStr">
        <is>
          <t>Ironbark Trust</t>
        </is>
      </c>
      <c r="N1326" t="inlineStr">
        <is>
          <t>BRYGTRSY</t>
        </is>
      </c>
      <c r="O1326" t="inlineStr">
        <is>
          <t>NEW</t>
        </is>
      </c>
      <c r="Q1326" t="inlineStr">
        <is>
          <t>NETTER</t>
        </is>
      </c>
    </row>
    <row r="1327">
      <c r="A1327" t="inlineStr">
        <is>
          <t>150316825069</t>
        </is>
      </c>
      <c r="B1327" t="inlineStr">
        <is>
          <t>TCG</t>
        </is>
      </c>
      <c r="C1327" t="inlineStr">
        <is>
          <t>BRGX</t>
        </is>
      </c>
      <c r="D1327" s="6" t="n">
        <v>46253</v>
      </c>
      <c r="E1327" t="inlineStr">
        <is>
          <t>DR</t>
        </is>
      </c>
      <c r="F1327" t="inlineStr">
        <is>
          <t>GBP</t>
        </is>
      </c>
      <c r="G1327" s="7" t="n">
        <v>-2343179966.035</v>
      </c>
      <c r="H1327" t="inlineStr">
        <is>
          <t>GBP</t>
        </is>
      </c>
      <c r="I1327" s="7" t="n">
        <v>-2343179966.035</v>
      </c>
      <c r="J1327" s="8" t="n">
        <v>46253.26818287037</v>
      </c>
      <c r="K1327" t="inlineStr">
        <is>
          <t>CF260819 01321</t>
        </is>
      </c>
      <c r="L1327" t="inlineStr">
        <is>
          <t>GL.NOSTRO.GBP.BRGX.003</t>
        </is>
      </c>
      <c r="M1327" t="inlineStr">
        <is>
          <t>Bramble Bank</t>
        </is>
      </c>
      <c r="N1327" t="inlineStr">
        <is>
          <t>BRGX</t>
        </is>
      </c>
      <c r="O1327" t="inlineStr">
        <is>
          <t>NEW</t>
        </is>
      </c>
      <c r="Q1327" t="inlineStr">
        <is>
          <t>GROSS</t>
        </is>
      </c>
    </row>
    <row r="1328">
      <c r="A1328" t="inlineStr">
        <is>
          <t>150316825069</t>
        </is>
      </c>
      <c r="B1328" t="inlineStr">
        <is>
          <t>TCQ</t>
        </is>
      </c>
      <c r="C1328" t="inlineStr">
        <is>
          <t>BRGX</t>
        </is>
      </c>
      <c r="D1328" s="6" t="n">
        <v>46253</v>
      </c>
      <c r="E1328" t="inlineStr">
        <is>
          <t>DR</t>
        </is>
      </c>
      <c r="F1328" t="inlineStr">
        <is>
          <t>GBP</t>
        </is>
      </c>
      <c r="G1328" s="7" t="n">
        <v>-15533.672</v>
      </c>
      <c r="H1328" t="inlineStr">
        <is>
          <t>GBP</t>
        </is>
      </c>
      <c r="I1328" s="7" t="n">
        <v>-15533.672</v>
      </c>
      <c r="J1328" s="8" t="n">
        <v>46253.41070601852</v>
      </c>
      <c r="K1328" t="inlineStr">
        <is>
          <t>CF260819 01322</t>
        </is>
      </c>
      <c r="L1328" t="inlineStr">
        <is>
          <t>GL.NOSTRO.GBP.BRGX.006</t>
        </is>
      </c>
      <c r="M1328" t="inlineStr">
        <is>
          <t>Elmwood Settlement Bank</t>
        </is>
      </c>
      <c r="N1328" t="inlineStr">
        <is>
          <t>BRGXMM</t>
        </is>
      </c>
      <c r="O1328" t="inlineStr">
        <is>
          <t>NEW</t>
        </is>
      </c>
      <c r="P1328" t="inlineStr">
        <is>
          <t>NT26081900656</t>
        </is>
      </c>
      <c r="Q1328" t="inlineStr">
        <is>
          <t>INTERNAL</t>
        </is>
      </c>
    </row>
    <row r="1329">
      <c r="A1329" t="inlineStr">
        <is>
          <t>171857983160</t>
        </is>
      </c>
      <c r="B1329" t="inlineStr">
        <is>
          <t>TCC</t>
        </is>
      </c>
      <c r="C1329" t="inlineStr">
        <is>
          <t>BRBX</t>
        </is>
      </c>
      <c r="D1329" s="6" t="n">
        <v>46253</v>
      </c>
      <c r="E1329" t="inlineStr">
        <is>
          <t>DR</t>
        </is>
      </c>
      <c r="F1329" t="inlineStr">
        <is>
          <t>AUD</t>
        </is>
      </c>
      <c r="G1329" s="7" t="n">
        <v>-457902737.359</v>
      </c>
      <c r="H1329" t="inlineStr">
        <is>
          <t>GBP</t>
        </is>
      </c>
      <c r="I1329" s="7" t="n">
        <v>-234904104.265</v>
      </c>
      <c r="J1329" s="8" t="n">
        <v>46253.39965277778</v>
      </c>
      <c r="K1329" t="inlineStr">
        <is>
          <t>CF260819 01323</t>
        </is>
      </c>
      <c r="L1329" t="inlineStr">
        <is>
          <t>GL.NOSTRO.AUD.BRBX.009</t>
        </is>
      </c>
      <c r="M1329" t="inlineStr">
        <is>
          <t>Oriel Trust</t>
        </is>
      </c>
      <c r="N1329" t="inlineStr">
        <is>
          <t>BRBXMM</t>
        </is>
      </c>
      <c r="O1329" t="inlineStr">
        <is>
          <t>NEW</t>
        </is>
      </c>
      <c r="Q1329" t="inlineStr">
        <is>
          <t>NETTER</t>
        </is>
      </c>
    </row>
    <row r="1330">
      <c r="A1330" t="inlineStr">
        <is>
          <t>968942362772</t>
        </is>
      </c>
      <c r="B1330" t="inlineStr">
        <is>
          <t>TCG</t>
        </is>
      </c>
      <c r="C1330" t="inlineStr">
        <is>
          <t>BRYG</t>
        </is>
      </c>
      <c r="D1330" s="6" t="n">
        <v>46253</v>
      </c>
      <c r="E1330" t="inlineStr">
        <is>
          <t>DR</t>
        </is>
      </c>
      <c r="F1330" t="inlineStr">
        <is>
          <t>EUR</t>
        </is>
      </c>
      <c r="G1330" s="7" t="n">
        <v>-105613644.644</v>
      </c>
      <c r="H1330" t="inlineStr">
        <is>
          <t>GBP</t>
        </is>
      </c>
      <c r="I1330" s="7" t="n">
        <v>-90616507.105</v>
      </c>
      <c r="J1330" s="8" t="n">
        <v>46253.80658564815</v>
      </c>
      <c r="K1330" t="inlineStr">
        <is>
          <t>CF260819 01324</t>
        </is>
      </c>
      <c r="L1330" t="inlineStr">
        <is>
          <t>GL.NOSTRO.EUR.BRYG.009</t>
        </is>
      </c>
      <c r="M1330" t="inlineStr">
        <is>
          <t>Yarrow Clearing</t>
        </is>
      </c>
      <c r="N1330" t="inlineStr">
        <is>
          <t>BRYGMM</t>
        </is>
      </c>
      <c r="O1330" t="inlineStr">
        <is>
          <t>NEW</t>
        </is>
      </c>
      <c r="P1330" t="inlineStr">
        <is>
          <t>NT26081900663</t>
        </is>
      </c>
      <c r="Q1330" t="inlineStr">
        <is>
          <t>NETTER</t>
        </is>
      </c>
    </row>
    <row r="1331">
      <c r="A1331" t="inlineStr">
        <is>
          <t>499062838623</t>
        </is>
      </c>
      <c r="B1331" t="inlineStr">
        <is>
          <t>TCX</t>
        </is>
      </c>
      <c r="C1331" t="inlineStr">
        <is>
          <t>BRBX</t>
        </is>
      </c>
      <c r="D1331" s="6" t="n">
        <v>46253</v>
      </c>
      <c r="E1331" t="inlineStr">
        <is>
          <t>DR</t>
        </is>
      </c>
      <c r="F1331" t="inlineStr">
        <is>
          <t>USD</t>
        </is>
      </c>
      <c r="G1331" s="7" t="n">
        <v>-17203402.201</v>
      </c>
      <c r="H1331" t="inlineStr">
        <is>
          <t>GBP</t>
        </is>
      </c>
      <c r="I1331" s="7" t="n">
        <v>-13487467.326</v>
      </c>
      <c r="J1331" s="8" t="n">
        <v>46253.62136574074</v>
      </c>
      <c r="K1331" t="inlineStr">
        <is>
          <t>CF260819 01325</t>
        </is>
      </c>
      <c r="L1331" t="inlineStr">
        <is>
          <t>GL.NOSTRO.USD.BRBX.002</t>
        </is>
      </c>
      <c r="M1331" t="inlineStr">
        <is>
          <t>Elmwood Clearing</t>
        </is>
      </c>
      <c r="N1331" t="inlineStr">
        <is>
          <t>BRBX</t>
        </is>
      </c>
      <c r="O1331" t="inlineStr">
        <is>
          <t>NEW</t>
        </is>
      </c>
      <c r="P1331" t="inlineStr">
        <is>
          <t>NT26081900692</t>
        </is>
      </c>
      <c r="Q1331" t="inlineStr">
        <is>
          <t>NETTER</t>
        </is>
      </c>
    </row>
    <row r="1332">
      <c r="A1332" t="inlineStr">
        <is>
          <t>953625291146</t>
        </is>
      </c>
      <c r="B1332" t="inlineStr">
        <is>
          <t>TCC</t>
        </is>
      </c>
      <c r="C1332" t="inlineStr">
        <is>
          <t>BRGL</t>
        </is>
      </c>
      <c r="D1332" s="6" t="n">
        <v>46253</v>
      </c>
      <c r="E1332" t="inlineStr">
        <is>
          <t>CR</t>
        </is>
      </c>
      <c r="F1332" t="inlineStr">
        <is>
          <t>USD</t>
        </is>
      </c>
      <c r="G1332" s="7" t="n">
        <v>20929.775</v>
      </c>
      <c r="H1332" t="inlineStr">
        <is>
          <t>GBP</t>
        </is>
      </c>
      <c r="I1332" s="7" t="n">
        <v>16408.944</v>
      </c>
      <c r="J1332" s="8" t="n">
        <v>46253.36055555556</v>
      </c>
      <c r="K1332" t="inlineStr">
        <is>
          <t>CF260819 01326</t>
        </is>
      </c>
      <c r="L1332" t="inlineStr">
        <is>
          <t>GL.NOSTRO.USD.BRGL.003</t>
        </is>
      </c>
      <c r="M1332" t="inlineStr">
        <is>
          <t>Zephyr Bank</t>
        </is>
      </c>
      <c r="N1332" t="inlineStr">
        <is>
          <t>BRGL</t>
        </is>
      </c>
      <c r="O1332" t="inlineStr">
        <is>
          <t>CANCEL</t>
        </is>
      </c>
      <c r="P1332" t="inlineStr">
        <is>
          <t>NT26081900695</t>
        </is>
      </c>
      <c r="Q1332" t="inlineStr">
        <is>
          <t>NETTER</t>
        </is>
      </c>
    </row>
    <row r="1333">
      <c r="A1333" t="inlineStr">
        <is>
          <t>910703979141</t>
        </is>
      </c>
      <c r="B1333" t="inlineStr">
        <is>
          <t>TCC</t>
        </is>
      </c>
      <c r="C1333" t="inlineStr">
        <is>
          <t>BRCC</t>
        </is>
      </c>
      <c r="D1333" s="6" t="n">
        <v>46253</v>
      </c>
      <c r="E1333" t="inlineStr">
        <is>
          <t>CR</t>
        </is>
      </c>
      <c r="F1333" t="inlineStr">
        <is>
          <t>CHF</t>
        </is>
      </c>
      <c r="G1333" s="7" t="n">
        <v>30336.572</v>
      </c>
      <c r="H1333" t="inlineStr">
        <is>
          <t>GBP</t>
        </is>
      </c>
      <c r="I1333" s="7" t="n">
        <v>27211.905</v>
      </c>
      <c r="J1333" s="8" t="n">
        <v>46253.55819444444</v>
      </c>
      <c r="K1333" t="inlineStr">
        <is>
          <t>CF260819 01327</t>
        </is>
      </c>
      <c r="L1333" t="inlineStr">
        <is>
          <t>GL.NOSTRO.CHF.BRCC.005</t>
        </is>
      </c>
      <c r="M1333" t="inlineStr">
        <is>
          <t>Zephyr Commercial Bank</t>
        </is>
      </c>
      <c r="N1333" t="inlineStr">
        <is>
          <t>BRCCMM</t>
        </is>
      </c>
      <c r="O1333" t="inlineStr">
        <is>
          <t>NEW</t>
        </is>
      </c>
      <c r="P1333" t="inlineStr">
        <is>
          <t>NT26081900667</t>
        </is>
      </c>
      <c r="Q1333" t="inlineStr">
        <is>
          <t>NETTER</t>
        </is>
      </c>
    </row>
    <row r="1334">
      <c r="A1334" t="inlineStr">
        <is>
          <t>120047354818</t>
        </is>
      </c>
      <c r="B1334" t="inlineStr">
        <is>
          <t>TCG</t>
        </is>
      </c>
      <c r="C1334" t="inlineStr">
        <is>
          <t>BRNK</t>
        </is>
      </c>
      <c r="D1334" s="6" t="n">
        <v>46253</v>
      </c>
      <c r="E1334" t="inlineStr">
        <is>
          <t>CR</t>
        </is>
      </c>
      <c r="F1334" t="inlineStr">
        <is>
          <t>USD</t>
        </is>
      </c>
      <c r="G1334" s="7" t="n">
        <v>398964961.47</v>
      </c>
      <c r="H1334" t="inlineStr">
        <is>
          <t>GBP</t>
        </is>
      </c>
      <c r="I1334" s="7" t="n">
        <v>312788529.792</v>
      </c>
      <c r="J1334" s="8" t="n">
        <v>46253.50165509259</v>
      </c>
      <c r="K1334" t="inlineStr">
        <is>
          <t>CF260819 01328</t>
        </is>
      </c>
      <c r="L1334" t="inlineStr">
        <is>
          <t>GL.NOSTRO.USD.BRNK.001</t>
        </is>
      </c>
      <c r="M1334" t="inlineStr">
        <is>
          <t>Wrenfield Settlement Bank</t>
        </is>
      </c>
      <c r="N1334" t="inlineStr">
        <is>
          <t>BRNK</t>
        </is>
      </c>
      <c r="O1334" t="inlineStr">
        <is>
          <t>NEW</t>
        </is>
      </c>
      <c r="P1334" t="inlineStr">
        <is>
          <t>NT26081900665</t>
        </is>
      </c>
      <c r="Q1334" t="inlineStr">
        <is>
          <t>NETTER</t>
        </is>
      </c>
    </row>
    <row r="1335">
      <c r="A1335" t="inlineStr">
        <is>
          <t>621381112674</t>
        </is>
      </c>
      <c r="B1335" t="inlineStr">
        <is>
          <t>TCX</t>
        </is>
      </c>
      <c r="C1335" t="inlineStr">
        <is>
          <t>BRAA</t>
        </is>
      </c>
      <c r="D1335" s="6" t="n">
        <v>46253</v>
      </c>
      <c r="E1335" t="inlineStr">
        <is>
          <t>CR</t>
        </is>
      </c>
      <c r="F1335" t="inlineStr">
        <is>
          <t>PLN</t>
        </is>
      </c>
      <c r="G1335" s="7" t="n">
        <v>482117912.657</v>
      </c>
      <c r="H1335" t="inlineStr">
        <is>
          <t>GBP</t>
        </is>
      </c>
      <c r="I1335" s="7" t="n">
        <v>95459346.706</v>
      </c>
      <c r="J1335" s="8" t="n">
        <v>46253.6309375</v>
      </c>
      <c r="K1335" t="inlineStr">
        <is>
          <t>CF260819 01329</t>
        </is>
      </c>
      <c r="L1335" t="inlineStr">
        <is>
          <t>GL.NOSTRO.PLN.BRAA.008</t>
        </is>
      </c>
      <c r="M1335" t="inlineStr">
        <is>
          <t>Ironbark Trust</t>
        </is>
      </c>
      <c r="N1335" t="inlineStr">
        <is>
          <t>BRAAMM</t>
        </is>
      </c>
      <c r="O1335" t="inlineStr">
        <is>
          <t>NEW</t>
        </is>
      </c>
      <c r="P1335" t="inlineStr">
        <is>
          <t>NT26081900665</t>
        </is>
      </c>
      <c r="Q1335" t="inlineStr">
        <is>
          <t>NETTER</t>
        </is>
      </c>
    </row>
    <row r="1336">
      <c r="A1336" t="inlineStr">
        <is>
          <t>150316825069</t>
        </is>
      </c>
      <c r="B1336" t="inlineStr">
        <is>
          <t>TCC</t>
        </is>
      </c>
      <c r="C1336" t="inlineStr">
        <is>
          <t>BRGX</t>
        </is>
      </c>
      <c r="D1336" s="6" t="n">
        <v>46253</v>
      </c>
      <c r="E1336" t="inlineStr">
        <is>
          <t>CR</t>
        </is>
      </c>
      <c r="F1336" t="inlineStr">
        <is>
          <t>GBP</t>
        </is>
      </c>
      <c r="G1336" s="7" t="n">
        <v>176293535.711</v>
      </c>
      <c r="H1336" t="inlineStr">
        <is>
          <t>GBP</t>
        </is>
      </c>
      <c r="I1336" s="7" t="n">
        <v>176293535.711</v>
      </c>
      <c r="J1336" s="8" t="n">
        <v>46253.66253472222</v>
      </c>
      <c r="K1336" t="inlineStr">
        <is>
          <t>CF260819 01330</t>
        </is>
      </c>
      <c r="L1336" t="inlineStr">
        <is>
          <t>GL.NOSTRO.GBP.BRGX.008</t>
        </is>
      </c>
      <c r="M1336" t="inlineStr">
        <is>
          <t>Sablewood Clearing</t>
        </is>
      </c>
      <c r="N1336" t="inlineStr">
        <is>
          <t>BRGXCASH</t>
        </is>
      </c>
      <c r="O1336" t="inlineStr">
        <is>
          <t>NEW</t>
        </is>
      </c>
      <c r="Q1336" t="inlineStr">
        <is>
          <t>NETTER</t>
        </is>
      </c>
    </row>
    <row r="1337">
      <c r="A1337" t="inlineStr">
        <is>
          <t>468341071172</t>
        </is>
      </c>
      <c r="B1337" t="inlineStr">
        <is>
          <t>TCQ</t>
        </is>
      </c>
      <c r="C1337" t="inlineStr">
        <is>
          <t>BRCC</t>
        </is>
      </c>
      <c r="D1337" s="6" t="n">
        <v>46253</v>
      </c>
      <c r="E1337" t="inlineStr">
        <is>
          <t>DR</t>
        </is>
      </c>
      <c r="F1337" t="inlineStr">
        <is>
          <t>EUR</t>
        </is>
      </c>
      <c r="G1337" s="7" t="n">
        <v>-47317912.083</v>
      </c>
      <c r="H1337" t="inlineStr">
        <is>
          <t>GBP</t>
        </is>
      </c>
      <c r="I1337" s="7" t="n">
        <v>-40598768.567</v>
      </c>
      <c r="J1337" s="8" t="n">
        <v>46253.61454861111</v>
      </c>
      <c r="K1337" t="inlineStr">
        <is>
          <t>CF260819 01331</t>
        </is>
      </c>
      <c r="L1337" t="inlineStr">
        <is>
          <t>GL.NOSTRO.EUR.BRCC.006</t>
        </is>
      </c>
      <c r="M1337" t="inlineStr">
        <is>
          <t>Thornbury Bank</t>
        </is>
      </c>
      <c r="N1337" t="inlineStr">
        <is>
          <t>BRCCCASH</t>
        </is>
      </c>
      <c r="O1337" t="inlineStr">
        <is>
          <t>NEW</t>
        </is>
      </c>
      <c r="Q1337" t="inlineStr">
        <is>
          <t>NETTER</t>
        </is>
      </c>
    </row>
    <row r="1338">
      <c r="A1338" t="inlineStr">
        <is>
          <t>284925023085</t>
        </is>
      </c>
      <c r="B1338" t="inlineStr">
        <is>
          <t>TCC</t>
        </is>
      </c>
      <c r="C1338" t="inlineStr">
        <is>
          <t>BRMD</t>
        </is>
      </c>
      <c r="D1338" s="6" t="n">
        <v>46253</v>
      </c>
      <c r="E1338" t="inlineStr">
        <is>
          <t>CR</t>
        </is>
      </c>
      <c r="F1338" t="inlineStr">
        <is>
          <t>MXN</t>
        </is>
      </c>
      <c r="G1338" s="7" t="n">
        <v>91679316.417</v>
      </c>
      <c r="H1338" t="inlineStr">
        <is>
          <t>GBP</t>
        </is>
      </c>
      <c r="I1338" s="7" t="n">
        <v>3923874.743</v>
      </c>
      <c r="J1338" s="8" t="n">
        <v>46253.51503472222</v>
      </c>
      <c r="K1338" t="inlineStr">
        <is>
          <t>CF260819 01332</t>
        </is>
      </c>
      <c r="L1338" t="inlineStr">
        <is>
          <t>GL.NOSTRO.MXN.BRMD.006</t>
        </is>
      </c>
      <c r="M1338" t="inlineStr">
        <is>
          <t>Sablewood Commercial Bank</t>
        </is>
      </c>
      <c r="N1338" t="inlineStr">
        <is>
          <t>BRMD</t>
        </is>
      </c>
      <c r="O1338" t="inlineStr">
        <is>
          <t>NEW</t>
        </is>
      </c>
      <c r="P1338" t="inlineStr">
        <is>
          <t>NT26081900684</t>
        </is>
      </c>
      <c r="Q1338" t="inlineStr">
        <is>
          <t>GROSS</t>
        </is>
      </c>
    </row>
    <row r="1339">
      <c r="A1339" t="inlineStr">
        <is>
          <t>284925023085</t>
        </is>
      </c>
      <c r="B1339" t="inlineStr">
        <is>
          <t>TCG</t>
        </is>
      </c>
      <c r="C1339" t="inlineStr">
        <is>
          <t>BRMD</t>
        </is>
      </c>
      <c r="D1339" s="6" t="n">
        <v>46253</v>
      </c>
      <c r="E1339" t="inlineStr">
        <is>
          <t>CR</t>
        </is>
      </c>
      <c r="F1339" t="inlineStr">
        <is>
          <t>MXN</t>
        </is>
      </c>
      <c r="G1339" s="7" t="n">
        <v>222957507.784</v>
      </c>
      <c r="H1339" t="inlineStr">
        <is>
          <t>GBP</t>
        </is>
      </c>
      <c r="I1339" s="7" t="n">
        <v>9542581.333000001</v>
      </c>
      <c r="J1339" s="8" t="n">
        <v>46253.31449074074</v>
      </c>
      <c r="K1339" t="inlineStr">
        <is>
          <t>CF260819 01333</t>
        </is>
      </c>
      <c r="L1339" t="inlineStr">
        <is>
          <t>GL.NOSTRO.MXN.BRMD.005</t>
        </is>
      </c>
      <c r="M1339" t="inlineStr">
        <is>
          <t>Mallow Trust</t>
        </is>
      </c>
      <c r="N1339" t="inlineStr">
        <is>
          <t>BRMDMM</t>
        </is>
      </c>
      <c r="O1339" t="inlineStr">
        <is>
          <t>NEW</t>
        </is>
      </c>
      <c r="P1339" t="inlineStr">
        <is>
          <t>NT26081900657</t>
        </is>
      </c>
      <c r="Q1339" t="inlineStr">
        <is>
          <t>NETTER</t>
        </is>
      </c>
    </row>
    <row r="1340">
      <c r="A1340" t="inlineStr">
        <is>
          <t>968942362772</t>
        </is>
      </c>
      <c r="B1340" t="inlineStr">
        <is>
          <t>TCQ</t>
        </is>
      </c>
      <c r="C1340" t="inlineStr">
        <is>
          <t>BRYG</t>
        </is>
      </c>
      <c r="D1340" s="6" t="n">
        <v>46253</v>
      </c>
      <c r="E1340" t="inlineStr">
        <is>
          <t>CR</t>
        </is>
      </c>
      <c r="F1340" t="inlineStr">
        <is>
          <t>EUR</t>
        </is>
      </c>
      <c r="G1340" s="7" t="n">
        <v>20812931.024</v>
      </c>
      <c r="H1340" t="inlineStr">
        <is>
          <t>GBP</t>
        </is>
      </c>
      <c r="I1340" s="7" t="n">
        <v>17857494.819</v>
      </c>
      <c r="J1340" s="8" t="n">
        <v>46253.48519675926</v>
      </c>
      <c r="K1340" t="inlineStr">
        <is>
          <t>CF260819 01334</t>
        </is>
      </c>
      <c r="L1340" t="inlineStr">
        <is>
          <t>GL.NOSTRO.EUR.BRYG.009</t>
        </is>
      </c>
      <c r="M1340" t="inlineStr">
        <is>
          <t>Pinehurst Settlement Bank</t>
        </is>
      </c>
      <c r="N1340" t="inlineStr">
        <is>
          <t>BRYGTRSY</t>
        </is>
      </c>
      <c r="O1340" t="inlineStr">
        <is>
          <t>NEW</t>
        </is>
      </c>
      <c r="Q1340" t="inlineStr">
        <is>
          <t>NETTER</t>
        </is>
      </c>
    </row>
    <row r="1341">
      <c r="A1341" t="inlineStr">
        <is>
          <t>499062838623</t>
        </is>
      </c>
      <c r="B1341" t="inlineStr">
        <is>
          <t>TCG</t>
        </is>
      </c>
      <c r="C1341" t="inlineStr">
        <is>
          <t>BRBX</t>
        </is>
      </c>
      <c r="D1341" s="6" t="n">
        <v>46253</v>
      </c>
      <c r="E1341" t="inlineStr">
        <is>
          <t>DR</t>
        </is>
      </c>
      <c r="F1341" t="inlineStr">
        <is>
          <t>USD</t>
        </is>
      </c>
      <c r="G1341" s="7" t="n">
        <v>-57706.924</v>
      </c>
      <c r="H1341" t="inlineStr">
        <is>
          <t>GBP</t>
        </is>
      </c>
      <c r="I1341" s="7" t="n">
        <v>-45242.228</v>
      </c>
      <c r="J1341" s="8" t="n">
        <v>46253.42291666667</v>
      </c>
      <c r="K1341" t="inlineStr">
        <is>
          <t>CF260819 01335</t>
        </is>
      </c>
      <c r="L1341" t="inlineStr">
        <is>
          <t>GL.NOSTRO.USD.BRBX.003</t>
        </is>
      </c>
      <c r="M1341" t="inlineStr">
        <is>
          <t>Ironbark Commercial Bank</t>
        </is>
      </c>
      <c r="N1341" t="inlineStr">
        <is>
          <t>BRBX</t>
        </is>
      </c>
      <c r="O1341" t="inlineStr">
        <is>
          <t>NEW</t>
        </is>
      </c>
      <c r="P1341" t="inlineStr">
        <is>
          <t>NT26081900691</t>
        </is>
      </c>
      <c r="Q1341" t="inlineStr">
        <is>
          <t>GROSS</t>
        </is>
      </c>
    </row>
    <row r="1342">
      <c r="A1342" t="inlineStr">
        <is>
          <t>468341071172</t>
        </is>
      </c>
      <c r="B1342" t="inlineStr">
        <is>
          <t>TCC</t>
        </is>
      </c>
      <c r="C1342" t="inlineStr">
        <is>
          <t>BRCC</t>
        </is>
      </c>
      <c r="D1342" s="6" t="n">
        <v>46253</v>
      </c>
      <c r="E1342" t="inlineStr">
        <is>
          <t>DR</t>
        </is>
      </c>
      <c r="F1342" t="inlineStr">
        <is>
          <t>EUR</t>
        </is>
      </c>
      <c r="G1342" s="7" t="n">
        <v>-7585156.859</v>
      </c>
      <c r="H1342" t="inlineStr">
        <is>
          <t>GBP</t>
        </is>
      </c>
      <c r="I1342" s="7" t="n">
        <v>-6508064.585</v>
      </c>
      <c r="J1342" s="8" t="n">
        <v>46253.32768518518</v>
      </c>
      <c r="K1342" t="inlineStr">
        <is>
          <t>CF260819 01336</t>
        </is>
      </c>
      <c r="L1342" t="inlineStr">
        <is>
          <t>GL.NOSTRO.EUR.BRCC.005</t>
        </is>
      </c>
      <c r="M1342" t="inlineStr">
        <is>
          <t>Pinehurst Clearing</t>
        </is>
      </c>
      <c r="N1342" t="inlineStr">
        <is>
          <t>BRCCCASH</t>
        </is>
      </c>
      <c r="O1342" t="inlineStr">
        <is>
          <t>NEW</t>
        </is>
      </c>
      <c r="P1342" t="inlineStr">
        <is>
          <t>NT26081900677</t>
        </is>
      </c>
      <c r="Q1342" t="inlineStr">
        <is>
          <t>GROSS</t>
        </is>
      </c>
    </row>
    <row r="1343">
      <c r="A1343" t="inlineStr">
        <is>
          <t>910703979141</t>
        </is>
      </c>
      <c r="B1343" t="inlineStr">
        <is>
          <t>TCC</t>
        </is>
      </c>
      <c r="C1343" t="inlineStr">
        <is>
          <t>BRCC</t>
        </is>
      </c>
      <c r="D1343" s="6" t="n">
        <v>46253</v>
      </c>
      <c r="E1343" t="inlineStr">
        <is>
          <t>DR</t>
        </is>
      </c>
      <c r="F1343" t="inlineStr">
        <is>
          <t>CHF</t>
        </is>
      </c>
      <c r="G1343" s="7" t="n">
        <v>-7983277.261</v>
      </c>
      <c r="H1343" t="inlineStr">
        <is>
          <t>GBP</t>
        </is>
      </c>
      <c r="I1343" s="7" t="n">
        <v>-7160999.703</v>
      </c>
      <c r="J1343" s="8" t="n">
        <v>46253.42493055556</v>
      </c>
      <c r="K1343" t="inlineStr">
        <is>
          <t>CF260819 01337</t>
        </is>
      </c>
      <c r="L1343" t="inlineStr">
        <is>
          <t>GL.NOSTRO.CHF.BRCC.003</t>
        </is>
      </c>
      <c r="M1343" t="inlineStr">
        <is>
          <t>Alder Trust</t>
        </is>
      </c>
      <c r="N1343" t="inlineStr">
        <is>
          <t>BRCC</t>
        </is>
      </c>
      <c r="O1343" t="inlineStr">
        <is>
          <t>NEW</t>
        </is>
      </c>
      <c r="Q1343" t="inlineStr">
        <is>
          <t>NETTER</t>
        </is>
      </c>
    </row>
    <row r="1344">
      <c r="A1344" t="inlineStr">
        <is>
          <t>968942362772</t>
        </is>
      </c>
      <c r="B1344" t="inlineStr">
        <is>
          <t>TCX</t>
        </is>
      </c>
      <c r="C1344" t="inlineStr">
        <is>
          <t>BRYG</t>
        </is>
      </c>
      <c r="D1344" s="6" t="n">
        <v>46253</v>
      </c>
      <c r="E1344" t="inlineStr">
        <is>
          <t>DR</t>
        </is>
      </c>
      <c r="F1344" t="inlineStr">
        <is>
          <t>EUR</t>
        </is>
      </c>
      <c r="G1344" s="7" t="n">
        <v>-13529138.643</v>
      </c>
      <c r="H1344" t="inlineStr">
        <is>
          <t>GBP</t>
        </is>
      </c>
      <c r="I1344" s="7" t="n">
        <v>-11608000.956</v>
      </c>
      <c r="J1344" s="8" t="n">
        <v>46253.49138888889</v>
      </c>
      <c r="K1344" t="inlineStr">
        <is>
          <t>CF260819 01338</t>
        </is>
      </c>
      <c r="L1344" t="inlineStr">
        <is>
          <t>GL.NOSTRO.EUR.BRYG.009</t>
        </is>
      </c>
      <c r="M1344" t="inlineStr">
        <is>
          <t>Juniper Bank</t>
        </is>
      </c>
      <c r="N1344" t="inlineStr">
        <is>
          <t>BRYGTRSY</t>
        </is>
      </c>
      <c r="O1344" t="inlineStr">
        <is>
          <t>NEW</t>
        </is>
      </c>
      <c r="Q1344" t="inlineStr">
        <is>
          <t>NETTER</t>
        </is>
      </c>
    </row>
    <row r="1345">
      <c r="A1345" t="inlineStr">
        <is>
          <t>953625291146</t>
        </is>
      </c>
      <c r="B1345" t="inlineStr">
        <is>
          <t>TCP</t>
        </is>
      </c>
      <c r="C1345" t="inlineStr">
        <is>
          <t>BRGL</t>
        </is>
      </c>
      <c r="D1345" s="6" t="n">
        <v>46253</v>
      </c>
      <c r="E1345" t="inlineStr">
        <is>
          <t>DR</t>
        </is>
      </c>
      <c r="F1345" t="inlineStr">
        <is>
          <t>USD</t>
        </is>
      </c>
      <c r="G1345" s="7" t="n">
        <v>-137252784.137</v>
      </c>
      <c r="H1345" t="inlineStr">
        <is>
          <t>GBP</t>
        </is>
      </c>
      <c r="I1345" s="7" t="n">
        <v>-107606182.763</v>
      </c>
      <c r="J1345" s="8" t="n">
        <v>46253.40873842593</v>
      </c>
      <c r="K1345" t="inlineStr">
        <is>
          <t>CF260819 01339</t>
        </is>
      </c>
      <c r="L1345" t="inlineStr">
        <is>
          <t>GL.NOSTRO.USD.BRGL.002</t>
        </is>
      </c>
      <c r="M1345" t="inlineStr">
        <is>
          <t>Redstart Trust</t>
        </is>
      </c>
      <c r="N1345" t="inlineStr">
        <is>
          <t>BRGLTRSY</t>
        </is>
      </c>
      <c r="O1345" t="inlineStr">
        <is>
          <t>NEW</t>
        </is>
      </c>
      <c r="Q1345" t="inlineStr">
        <is>
          <t>NETTER</t>
        </is>
      </c>
    </row>
    <row r="1346">
      <c r="A1346" t="inlineStr">
        <is>
          <t>499062838623</t>
        </is>
      </c>
      <c r="B1346" t="inlineStr">
        <is>
          <t>TCC</t>
        </is>
      </c>
      <c r="C1346" t="inlineStr">
        <is>
          <t>BRBX</t>
        </is>
      </c>
      <c r="D1346" s="6" t="n">
        <v>46253</v>
      </c>
      <c r="E1346" t="inlineStr">
        <is>
          <t>CR</t>
        </is>
      </c>
      <c r="F1346" t="inlineStr">
        <is>
          <t>USD</t>
        </is>
      </c>
      <c r="G1346" s="7" t="n">
        <v>1441141.372</v>
      </c>
      <c r="H1346" t="inlineStr">
        <is>
          <t>GBP</t>
        </is>
      </c>
      <c r="I1346" s="7" t="n">
        <v>1129854.836</v>
      </c>
      <c r="J1346" s="8" t="n">
        <v>46253.63431712963</v>
      </c>
      <c r="K1346" t="inlineStr">
        <is>
          <t>CF260819 01340</t>
        </is>
      </c>
      <c r="L1346" t="inlineStr">
        <is>
          <t>GL.NOSTRO.USD.BRBX.004</t>
        </is>
      </c>
      <c r="M1346" t="inlineStr">
        <is>
          <t>Thornbury Bank</t>
        </is>
      </c>
      <c r="N1346" t="inlineStr">
        <is>
          <t>BRBXMM</t>
        </is>
      </c>
      <c r="O1346" t="inlineStr">
        <is>
          <t>NEW</t>
        </is>
      </c>
      <c r="P1346" t="inlineStr">
        <is>
          <t>NT26081900693</t>
        </is>
      </c>
      <c r="Q1346" t="inlineStr">
        <is>
          <t>NETTER</t>
        </is>
      </c>
    </row>
    <row r="1347">
      <c r="A1347" t="inlineStr">
        <is>
          <t>150316825069</t>
        </is>
      </c>
      <c r="B1347" t="inlineStr">
        <is>
          <t>TCQ</t>
        </is>
      </c>
      <c r="C1347" t="inlineStr">
        <is>
          <t>BRGX</t>
        </is>
      </c>
      <c r="D1347" s="6" t="n">
        <v>46253</v>
      </c>
      <c r="E1347" t="inlineStr">
        <is>
          <t>DR</t>
        </is>
      </c>
      <c r="F1347" t="inlineStr">
        <is>
          <t>GBP</t>
        </is>
      </c>
      <c r="G1347" s="7" t="n">
        <v>-1655187.243</v>
      </c>
      <c r="H1347" t="inlineStr">
        <is>
          <t>GBP</t>
        </is>
      </c>
      <c r="I1347" s="7" t="n">
        <v>-1655187.243</v>
      </c>
      <c r="J1347" s="8" t="n">
        <v>46253.47047453704</v>
      </c>
      <c r="K1347" t="inlineStr">
        <is>
          <t>CF260819 01341</t>
        </is>
      </c>
      <c r="L1347" t="inlineStr">
        <is>
          <t>GL.NOSTRO.GBP.BRGX.002</t>
        </is>
      </c>
      <c r="M1347" t="inlineStr">
        <is>
          <t>Umberton Clearing</t>
        </is>
      </c>
      <c r="N1347" t="inlineStr">
        <is>
          <t>BRGX</t>
        </is>
      </c>
      <c r="O1347" t="inlineStr">
        <is>
          <t>NEW</t>
        </is>
      </c>
      <c r="P1347" t="inlineStr">
        <is>
          <t>NT26081900662</t>
        </is>
      </c>
      <c r="Q1347" t="inlineStr">
        <is>
          <t>NETTER</t>
        </is>
      </c>
    </row>
    <row r="1348">
      <c r="A1348" t="inlineStr">
        <is>
          <t>468341071172</t>
        </is>
      </c>
      <c r="B1348" t="inlineStr">
        <is>
          <t>TCQ</t>
        </is>
      </c>
      <c r="C1348" t="inlineStr">
        <is>
          <t>BRCC</t>
        </is>
      </c>
      <c r="D1348" s="6" t="n">
        <v>46253</v>
      </c>
      <c r="E1348" t="inlineStr">
        <is>
          <t>CR</t>
        </is>
      </c>
      <c r="F1348" t="inlineStr">
        <is>
          <t>EUR</t>
        </is>
      </c>
      <c r="G1348" s="7" t="n">
        <v>9553443.653999999</v>
      </c>
      <c r="H1348" t="inlineStr">
        <is>
          <t>GBP</t>
        </is>
      </c>
      <c r="I1348" s="7" t="n">
        <v>8196854.655</v>
      </c>
      <c r="J1348" s="8" t="n">
        <v>46253.37490740741</v>
      </c>
      <c r="K1348" t="inlineStr">
        <is>
          <t>CF260819 01342</t>
        </is>
      </c>
      <c r="L1348" t="inlineStr">
        <is>
          <t>GL.NOSTRO.EUR.BRCC.006</t>
        </is>
      </c>
      <c r="M1348" t="inlineStr">
        <is>
          <t>Elmwood Trust</t>
        </is>
      </c>
      <c r="N1348" t="inlineStr">
        <is>
          <t>BRCCTRSY</t>
        </is>
      </c>
      <c r="O1348" t="inlineStr">
        <is>
          <t>NEW</t>
        </is>
      </c>
      <c r="Q1348" t="inlineStr">
        <is>
          <t>GROSS</t>
        </is>
      </c>
    </row>
    <row r="1349">
      <c r="A1349" t="inlineStr">
        <is>
          <t>284925023085</t>
        </is>
      </c>
      <c r="B1349" t="inlineStr">
        <is>
          <t>TCG</t>
        </is>
      </c>
      <c r="C1349" t="inlineStr">
        <is>
          <t>BRMD</t>
        </is>
      </c>
      <c r="D1349" s="6" t="n">
        <v>46253</v>
      </c>
      <c r="E1349" t="inlineStr">
        <is>
          <t>CR</t>
        </is>
      </c>
      <c r="F1349" t="inlineStr">
        <is>
          <t>MXN</t>
        </is>
      </c>
      <c r="G1349" s="7" t="n">
        <v>1097040.344</v>
      </c>
      <c r="H1349" t="inlineStr">
        <is>
          <t>GBP</t>
        </is>
      </c>
      <c r="I1349" s="7" t="n">
        <v>46953.327</v>
      </c>
      <c r="J1349" s="8" t="n">
        <v>46253.53751157408</v>
      </c>
      <c r="K1349" t="inlineStr">
        <is>
          <t>CF260819 01343</t>
        </is>
      </c>
      <c r="L1349" t="inlineStr">
        <is>
          <t>GL.NOSTRO.MXN.BRMD.006</t>
        </is>
      </c>
      <c r="M1349" t="inlineStr">
        <is>
          <t>Pinehurst Clearing</t>
        </is>
      </c>
      <c r="N1349" t="inlineStr">
        <is>
          <t>BRMDCASH</t>
        </is>
      </c>
      <c r="O1349" t="inlineStr">
        <is>
          <t>NEW</t>
        </is>
      </c>
      <c r="Q1349" t="inlineStr">
        <is>
          <t>NETTER</t>
        </is>
      </c>
    </row>
    <row r="1350">
      <c r="A1350" t="inlineStr">
        <is>
          <t>794226063698</t>
        </is>
      </c>
      <c r="B1350" t="inlineStr">
        <is>
          <t>TCX</t>
        </is>
      </c>
      <c r="C1350" t="inlineStr">
        <is>
          <t>BRMD</t>
        </is>
      </c>
      <c r="D1350" s="6" t="n">
        <v>46253</v>
      </c>
      <c r="E1350" t="inlineStr">
        <is>
          <t>CR</t>
        </is>
      </c>
      <c r="F1350" t="inlineStr">
        <is>
          <t>AED</t>
        </is>
      </c>
      <c r="G1350" s="7" t="n">
        <v>105923915.268</v>
      </c>
      <c r="H1350" t="inlineStr">
        <is>
          <t>GBP</t>
        </is>
      </c>
      <c r="I1350" s="7" t="n">
        <v>22561793.952</v>
      </c>
      <c r="J1350" s="8" t="n">
        <v>46253.48846064815</v>
      </c>
      <c r="K1350" t="inlineStr">
        <is>
          <t>CF260819 01344</t>
        </is>
      </c>
      <c r="L1350" t="inlineStr">
        <is>
          <t>GL.NOSTRO.AED.BRMD.005</t>
        </is>
      </c>
      <c r="M1350" t="inlineStr">
        <is>
          <t>Sablewood Clearing</t>
        </is>
      </c>
      <c r="N1350" t="inlineStr">
        <is>
          <t>BRMDCASH</t>
        </is>
      </c>
      <c r="O1350" t="inlineStr">
        <is>
          <t>NEW</t>
        </is>
      </c>
      <c r="P1350" t="inlineStr">
        <is>
          <t>NT26081900660</t>
        </is>
      </c>
      <c r="Q1350" t="inlineStr">
        <is>
          <t>NETTER</t>
        </is>
      </c>
    </row>
    <row r="1351">
      <c r="A1351" t="inlineStr">
        <is>
          <t>910703979141</t>
        </is>
      </c>
      <c r="B1351" t="inlineStr">
        <is>
          <t>TCX</t>
        </is>
      </c>
      <c r="C1351" t="inlineStr">
        <is>
          <t>BRCC</t>
        </is>
      </c>
      <c r="D1351" s="6" t="n">
        <v>46253</v>
      </c>
      <c r="E1351" t="inlineStr">
        <is>
          <t>CR</t>
        </is>
      </c>
      <c r="F1351" t="inlineStr">
        <is>
          <t>CHF</t>
        </is>
      </c>
      <c r="G1351" s="7" t="n">
        <v>36661802.991</v>
      </c>
      <c r="H1351" t="inlineStr">
        <is>
          <t>GBP</t>
        </is>
      </c>
      <c r="I1351" s="7" t="n">
        <v>32885637.283</v>
      </c>
      <c r="J1351" s="8" t="n">
        <v>46253.64256944445</v>
      </c>
      <c r="K1351" t="inlineStr">
        <is>
          <t>CF260819 01345</t>
        </is>
      </c>
      <c r="L1351" t="inlineStr">
        <is>
          <t>GL.NOSTRO.CHF.BRCC.003</t>
        </is>
      </c>
      <c r="M1351" t="inlineStr">
        <is>
          <t>Ironbark Trust</t>
        </is>
      </c>
      <c r="N1351" t="inlineStr">
        <is>
          <t>BRCCCASH</t>
        </is>
      </c>
      <c r="O1351" t="inlineStr">
        <is>
          <t>NEW</t>
        </is>
      </c>
      <c r="Q1351" t="inlineStr">
        <is>
          <t>GROSS</t>
        </is>
      </c>
    </row>
    <row r="1352">
      <c r="A1352" t="inlineStr">
        <is>
          <t>794226063698</t>
        </is>
      </c>
      <c r="B1352" t="inlineStr">
        <is>
          <t>TCG</t>
        </is>
      </c>
      <c r="C1352" t="inlineStr">
        <is>
          <t>BRMD</t>
        </is>
      </c>
      <c r="D1352" s="6" t="n">
        <v>46253</v>
      </c>
      <c r="E1352" t="inlineStr">
        <is>
          <t>CR</t>
        </is>
      </c>
      <c r="F1352" t="inlineStr">
        <is>
          <t>AED</t>
        </is>
      </c>
      <c r="G1352" s="7" t="n">
        <v>611037.482</v>
      </c>
      <c r="H1352" t="inlineStr">
        <is>
          <t>GBP</t>
        </is>
      </c>
      <c r="I1352" s="7" t="n">
        <v>130150.984</v>
      </c>
      <c r="J1352" s="8" t="n">
        <v>46253.68984953704</v>
      </c>
      <c r="K1352" t="inlineStr">
        <is>
          <t>CF260819 01346</t>
        </is>
      </c>
      <c r="L1352" t="inlineStr">
        <is>
          <t>GL.NOSTRO.AED.BRMD.005</t>
        </is>
      </c>
      <c r="M1352" t="inlineStr">
        <is>
          <t>Elmwood Settlement Bank</t>
        </is>
      </c>
      <c r="N1352" t="inlineStr">
        <is>
          <t>BRMDTRSY</t>
        </is>
      </c>
      <c r="O1352" t="inlineStr">
        <is>
          <t>AMEND</t>
        </is>
      </c>
      <c r="Q1352" t="inlineStr">
        <is>
          <t>NETTER</t>
        </is>
      </c>
    </row>
    <row r="1353">
      <c r="A1353" t="inlineStr">
        <is>
          <t>898317028833</t>
        </is>
      </c>
      <c r="B1353" t="inlineStr">
        <is>
          <t>TCX</t>
        </is>
      </c>
      <c r="C1353" t="inlineStr">
        <is>
          <t>BRAA</t>
        </is>
      </c>
      <c r="D1353" s="6" t="n">
        <v>46253</v>
      </c>
      <c r="E1353" t="inlineStr">
        <is>
          <t>CR</t>
        </is>
      </c>
      <c r="F1353" t="inlineStr">
        <is>
          <t>GBP</t>
        </is>
      </c>
      <c r="G1353" s="7" t="n">
        <v>77324.60799999999</v>
      </c>
      <c r="H1353" t="inlineStr">
        <is>
          <t>GBP</t>
        </is>
      </c>
      <c r="I1353" s="7" t="n">
        <v>77324.60799999999</v>
      </c>
      <c r="J1353" s="8" t="n">
        <v>46253.60457175926</v>
      </c>
      <c r="K1353" t="inlineStr">
        <is>
          <t>CF260819 01347</t>
        </is>
      </c>
      <c r="L1353" t="inlineStr">
        <is>
          <t>GL.NOSTRO.GBP.BRAA.002</t>
        </is>
      </c>
      <c r="M1353" t="inlineStr">
        <is>
          <t>Mallow Trust</t>
        </is>
      </c>
      <c r="N1353" t="inlineStr">
        <is>
          <t>BRAA</t>
        </is>
      </c>
      <c r="O1353" t="inlineStr">
        <is>
          <t>AMEND</t>
        </is>
      </c>
      <c r="Q1353" t="inlineStr">
        <is>
          <t>NETTER</t>
        </is>
      </c>
    </row>
    <row r="1354">
      <c r="A1354" t="inlineStr">
        <is>
          <t>171857983160</t>
        </is>
      </c>
      <c r="B1354" t="inlineStr">
        <is>
          <t>TCX</t>
        </is>
      </c>
      <c r="C1354" t="inlineStr">
        <is>
          <t>BRBX</t>
        </is>
      </c>
      <c r="D1354" s="6" t="n">
        <v>46253</v>
      </c>
      <c r="E1354" t="inlineStr">
        <is>
          <t>DR</t>
        </is>
      </c>
      <c r="F1354" t="inlineStr">
        <is>
          <t>AUD</t>
        </is>
      </c>
      <c r="G1354" s="7" t="n">
        <v>-130383690.732</v>
      </c>
      <c r="H1354" t="inlineStr">
        <is>
          <t>GBP</t>
        </is>
      </c>
      <c r="I1354" s="7" t="n">
        <v>-66886833.346</v>
      </c>
      <c r="J1354" s="8" t="n">
        <v>46253.72667824074</v>
      </c>
      <c r="K1354" t="inlineStr">
        <is>
          <t>CF260819 01348</t>
        </is>
      </c>
      <c r="L1354" t="inlineStr">
        <is>
          <t>GL.NOSTRO.AUD.BRBX.005</t>
        </is>
      </c>
      <c r="M1354" t="inlineStr">
        <is>
          <t>Granite Bank</t>
        </is>
      </c>
      <c r="N1354" t="inlineStr">
        <is>
          <t>BRBXMM</t>
        </is>
      </c>
      <c r="O1354" t="inlineStr">
        <is>
          <t>NEW</t>
        </is>
      </c>
      <c r="P1354" t="inlineStr">
        <is>
          <t>NT26081900668</t>
        </is>
      </c>
      <c r="Q1354" t="inlineStr">
        <is>
          <t>NETTER</t>
        </is>
      </c>
    </row>
    <row r="1355">
      <c r="A1355" t="inlineStr">
        <is>
          <t>113829985108</t>
        </is>
      </c>
      <c r="B1355" t="inlineStr">
        <is>
          <t>TCX</t>
        </is>
      </c>
      <c r="C1355" t="inlineStr">
        <is>
          <t>BRGL</t>
        </is>
      </c>
      <c r="D1355" s="6" t="n">
        <v>46253</v>
      </c>
      <c r="E1355" t="inlineStr">
        <is>
          <t>DR</t>
        </is>
      </c>
      <c r="F1355" t="inlineStr">
        <is>
          <t>EUR</t>
        </is>
      </c>
      <c r="G1355" s="7" t="n">
        <v>-853352.2340000001</v>
      </c>
      <c r="H1355" t="inlineStr">
        <is>
          <t>GBP</t>
        </is>
      </c>
      <c r="I1355" s="7" t="n">
        <v>-732176.2169999999</v>
      </c>
      <c r="J1355" s="8" t="n">
        <v>46253.45136574074</v>
      </c>
      <c r="K1355" t="inlineStr">
        <is>
          <t>CF260819 01349</t>
        </is>
      </c>
      <c r="L1355" t="inlineStr">
        <is>
          <t>GL.NOSTRO.EUR.BRGL.001</t>
        </is>
      </c>
      <c r="M1355" t="inlineStr">
        <is>
          <t>Sablewood Settlement Bank</t>
        </is>
      </c>
      <c r="N1355" t="inlineStr">
        <is>
          <t>BRGL</t>
        </is>
      </c>
      <c r="O1355" t="inlineStr">
        <is>
          <t>NEW</t>
        </is>
      </c>
      <c r="Q1355" t="inlineStr">
        <is>
          <t>NETTER</t>
        </is>
      </c>
    </row>
    <row r="1356">
      <c r="A1356" t="inlineStr">
        <is>
          <t>794226063698</t>
        </is>
      </c>
      <c r="B1356" t="inlineStr">
        <is>
          <t>TCC</t>
        </is>
      </c>
      <c r="C1356" t="inlineStr">
        <is>
          <t>BRMD</t>
        </is>
      </c>
      <c r="D1356" s="6" t="n">
        <v>46253</v>
      </c>
      <c r="E1356" t="inlineStr">
        <is>
          <t>CR</t>
        </is>
      </c>
      <c r="F1356" t="inlineStr">
        <is>
          <t>AED</t>
        </is>
      </c>
      <c r="G1356" s="7" t="n">
        <v>1459119.973</v>
      </c>
      <c r="H1356" t="inlineStr">
        <is>
          <t>GBP</t>
        </is>
      </c>
      <c r="I1356" s="7" t="n">
        <v>310792.554</v>
      </c>
      <c r="J1356" s="8" t="n">
        <v>46253.59266203704</v>
      </c>
      <c r="K1356" t="inlineStr">
        <is>
          <t>CF260819 01350</t>
        </is>
      </c>
      <c r="L1356" t="inlineStr">
        <is>
          <t>GL.NOSTRO.AED.BRMD.002</t>
        </is>
      </c>
      <c r="M1356" t="inlineStr">
        <is>
          <t>Vetchling Settlement Bank</t>
        </is>
      </c>
      <c r="N1356" t="inlineStr">
        <is>
          <t>BRMDMM</t>
        </is>
      </c>
      <c r="O1356" t="inlineStr">
        <is>
          <t>NEW</t>
        </is>
      </c>
      <c r="Q1356" t="inlineStr">
        <is>
          <t>GROSS</t>
        </is>
      </c>
    </row>
    <row r="1357">
      <c r="A1357" t="inlineStr">
        <is>
          <t>120047354818</t>
        </is>
      </c>
      <c r="B1357" t="inlineStr">
        <is>
          <t>TCQ</t>
        </is>
      </c>
      <c r="C1357" t="inlineStr">
        <is>
          <t>BRNK</t>
        </is>
      </c>
      <c r="D1357" s="6" t="n">
        <v>46253</v>
      </c>
      <c r="E1357" t="inlineStr">
        <is>
          <t>DR</t>
        </is>
      </c>
      <c r="F1357" t="inlineStr">
        <is>
          <t>USD</t>
        </is>
      </c>
      <c r="G1357" s="7" t="n">
        <v>-321385574.553</v>
      </c>
      <c r="H1357" t="inlineStr">
        <is>
          <t>GBP</t>
        </is>
      </c>
      <c r="I1357" s="7" t="n">
        <v>-251966290.45</v>
      </c>
      <c r="J1357" s="8" t="n">
        <v>46253.38315972222</v>
      </c>
      <c r="K1357" t="inlineStr">
        <is>
          <t>CF260819 01351</t>
        </is>
      </c>
      <c r="L1357" t="inlineStr">
        <is>
          <t>GL.NOSTRO.USD.BRNK.006</t>
        </is>
      </c>
      <c r="M1357" t="inlineStr">
        <is>
          <t>Thornbury Bank</t>
        </is>
      </c>
      <c r="N1357" t="inlineStr">
        <is>
          <t>BRNKCASH</t>
        </is>
      </c>
      <c r="O1357" t="inlineStr">
        <is>
          <t>NEW</t>
        </is>
      </c>
      <c r="Q1357" t="inlineStr">
        <is>
          <t>GROSS</t>
        </is>
      </c>
    </row>
    <row r="1358">
      <c r="A1358" t="inlineStr">
        <is>
          <t>150316825069</t>
        </is>
      </c>
      <c r="B1358" t="inlineStr">
        <is>
          <t>TCC</t>
        </is>
      </c>
      <c r="C1358" t="inlineStr">
        <is>
          <t>BRGX</t>
        </is>
      </c>
      <c r="D1358" s="6" t="n">
        <v>46253</v>
      </c>
      <c r="E1358" t="inlineStr">
        <is>
          <t>DR</t>
        </is>
      </c>
      <c r="F1358" t="inlineStr">
        <is>
          <t>GBP</t>
        </is>
      </c>
      <c r="G1358" s="7" t="n">
        <v>-1956350.259</v>
      </c>
      <c r="H1358" t="inlineStr">
        <is>
          <t>GBP</t>
        </is>
      </c>
      <c r="I1358" s="7" t="n">
        <v>-1956350.259</v>
      </c>
      <c r="J1358" s="8" t="n">
        <v>46253.34355324074</v>
      </c>
      <c r="K1358" t="inlineStr">
        <is>
          <t>CF260819 01352</t>
        </is>
      </c>
      <c r="L1358" t="inlineStr">
        <is>
          <t>GL.NOSTRO.GBP.BRGX.001</t>
        </is>
      </c>
      <c r="M1358" t="inlineStr">
        <is>
          <t>Yarrow Commercial Bank</t>
        </is>
      </c>
      <c r="N1358" t="inlineStr">
        <is>
          <t>BRGXTRSY</t>
        </is>
      </c>
      <c r="O1358" t="inlineStr">
        <is>
          <t>NEW</t>
        </is>
      </c>
      <c r="P1358" t="inlineStr">
        <is>
          <t>NT26081900676</t>
        </is>
      </c>
      <c r="Q1358" t="inlineStr">
        <is>
          <t>GROSS</t>
        </is>
      </c>
    </row>
    <row r="1359">
      <c r="A1359" t="inlineStr">
        <is>
          <t>700726936098</t>
        </is>
      </c>
      <c r="B1359" t="inlineStr">
        <is>
          <t>TCX</t>
        </is>
      </c>
      <c r="C1359" t="inlineStr">
        <is>
          <t>BRMD</t>
        </is>
      </c>
      <c r="D1359" s="6" t="n">
        <v>46253</v>
      </c>
      <c r="E1359" t="inlineStr">
        <is>
          <t>CR</t>
        </is>
      </c>
      <c r="F1359" t="inlineStr">
        <is>
          <t>SAR</t>
        </is>
      </c>
      <c r="G1359" s="7" t="n">
        <v>69894930.05599999</v>
      </c>
      <c r="H1359" t="inlineStr">
        <is>
          <t>GBP</t>
        </is>
      </c>
      <c r="I1359" s="7" t="n">
        <v>14608040.382</v>
      </c>
      <c r="J1359" s="8" t="n">
        <v>46253.73805555556</v>
      </c>
      <c r="K1359" t="inlineStr">
        <is>
          <t>CF260819 01353</t>
        </is>
      </c>
      <c r="L1359" t="inlineStr">
        <is>
          <t>GL.NOSTRO.SAR.BRMD.008</t>
        </is>
      </c>
      <c r="M1359" t="inlineStr">
        <is>
          <t>Redstart Trust</t>
        </is>
      </c>
      <c r="N1359" t="inlineStr">
        <is>
          <t>BRMDMM</t>
        </is>
      </c>
      <c r="O1359" t="inlineStr">
        <is>
          <t>NEW</t>
        </is>
      </c>
      <c r="Q1359" t="inlineStr">
        <is>
          <t>NETTER</t>
        </is>
      </c>
    </row>
    <row r="1360">
      <c r="A1360" t="inlineStr">
        <is>
          <t>468341071172</t>
        </is>
      </c>
      <c r="B1360" t="inlineStr">
        <is>
          <t>TCG</t>
        </is>
      </c>
      <c r="C1360" t="inlineStr">
        <is>
          <t>BRCC</t>
        </is>
      </c>
      <c r="D1360" s="6" t="n">
        <v>46253</v>
      </c>
      <c r="E1360" t="inlineStr">
        <is>
          <t>DR</t>
        </is>
      </c>
      <c r="F1360" t="inlineStr">
        <is>
          <t>EUR</t>
        </is>
      </c>
      <c r="G1360" s="7" t="n">
        <v>-61489733.327</v>
      </c>
      <c r="H1360" t="inlineStr">
        <is>
          <t>GBP</t>
        </is>
      </c>
      <c r="I1360" s="7" t="n">
        <v>-52758191.195</v>
      </c>
      <c r="J1360" s="8" t="n">
        <v>46253.60493055556</v>
      </c>
      <c r="K1360" t="inlineStr">
        <is>
          <t>CF260819 01354</t>
        </is>
      </c>
      <c r="L1360" t="inlineStr">
        <is>
          <t>GL.NOSTRO.EUR.BRCC.004</t>
        </is>
      </c>
      <c r="M1360" t="inlineStr">
        <is>
          <t>Pinehurst Clearing</t>
        </is>
      </c>
      <c r="N1360" t="inlineStr">
        <is>
          <t>BRCCTRSY</t>
        </is>
      </c>
      <c r="O1360" t="inlineStr">
        <is>
          <t>NEW</t>
        </is>
      </c>
      <c r="P1360" t="inlineStr">
        <is>
          <t>NT26081900691</t>
        </is>
      </c>
      <c r="Q1360" t="inlineStr">
        <is>
          <t>GROSS</t>
        </is>
      </c>
    </row>
    <row r="1361">
      <c r="A1361" t="inlineStr">
        <is>
          <t>927538182434</t>
        </is>
      </c>
      <c r="B1361" t="inlineStr">
        <is>
          <t>TCC</t>
        </is>
      </c>
      <c r="C1361" t="inlineStr">
        <is>
          <t>BRNK</t>
        </is>
      </c>
      <c r="D1361" s="6" t="n">
        <v>46253</v>
      </c>
      <c r="E1361" t="inlineStr">
        <is>
          <t>CR</t>
        </is>
      </c>
      <c r="F1361" t="inlineStr">
        <is>
          <t>CNY</t>
        </is>
      </c>
      <c r="G1361" s="7" t="n">
        <v>41385394.142</v>
      </c>
      <c r="H1361" t="inlineStr">
        <is>
          <t>GBP</t>
        </is>
      </c>
      <c r="I1361" s="7" t="n">
        <v>4511007.961</v>
      </c>
      <c r="J1361" s="8" t="n">
        <v>46253.46730324074</v>
      </c>
      <c r="K1361" t="inlineStr">
        <is>
          <t>CF260819 01355</t>
        </is>
      </c>
      <c r="L1361" t="inlineStr">
        <is>
          <t>GL.NOSTRO.CNY.BRNK.008</t>
        </is>
      </c>
      <c r="M1361" t="inlineStr">
        <is>
          <t>Zephyr Bank</t>
        </is>
      </c>
      <c r="N1361" t="inlineStr">
        <is>
          <t>BRNKCASH</t>
        </is>
      </c>
      <c r="O1361" t="inlineStr">
        <is>
          <t>NEW</t>
        </is>
      </c>
      <c r="Q1361" t="inlineStr">
        <is>
          <t>GROSS</t>
        </is>
      </c>
    </row>
    <row r="1362">
      <c r="A1362" t="inlineStr">
        <is>
          <t>898317028833</t>
        </is>
      </c>
      <c r="B1362" t="inlineStr">
        <is>
          <t>TCQ</t>
        </is>
      </c>
      <c r="C1362" t="inlineStr">
        <is>
          <t>BRAA</t>
        </is>
      </c>
      <c r="D1362" s="6" t="n">
        <v>46253</v>
      </c>
      <c r="E1362" t="inlineStr">
        <is>
          <t>DR</t>
        </is>
      </c>
      <c r="F1362" t="inlineStr">
        <is>
          <t>GBP</t>
        </is>
      </c>
      <c r="G1362" s="7" t="n">
        <v>-140793115.857</v>
      </c>
      <c r="H1362" t="inlineStr">
        <is>
          <t>GBP</t>
        </is>
      </c>
      <c r="I1362" s="7" t="n">
        <v>-140793115.857</v>
      </c>
      <c r="J1362" s="8" t="n">
        <v>46253.90611111111</v>
      </c>
      <c r="K1362" t="inlineStr">
        <is>
          <t>CF260819 01356</t>
        </is>
      </c>
      <c r="L1362" t="inlineStr">
        <is>
          <t>GL.NOSTRO.GBP.BRAA.003</t>
        </is>
      </c>
      <c r="M1362" t="inlineStr">
        <is>
          <t>Pinehurst Clearing</t>
        </is>
      </c>
      <c r="N1362" t="inlineStr">
        <is>
          <t>BRAACASH</t>
        </is>
      </c>
      <c r="O1362" t="inlineStr">
        <is>
          <t>NEW</t>
        </is>
      </c>
      <c r="P1362" t="inlineStr">
        <is>
          <t>NT26081900687</t>
        </is>
      </c>
      <c r="Q1362" t="inlineStr">
        <is>
          <t>NETTER</t>
        </is>
      </c>
    </row>
    <row r="1363">
      <c r="A1363" t="inlineStr">
        <is>
          <t>468341071172</t>
        </is>
      </c>
      <c r="B1363" t="inlineStr">
        <is>
          <t>TCX</t>
        </is>
      </c>
      <c r="C1363" t="inlineStr">
        <is>
          <t>BRCC</t>
        </is>
      </c>
      <c r="D1363" s="6" t="n">
        <v>46253</v>
      </c>
      <c r="E1363" t="inlineStr">
        <is>
          <t>CR</t>
        </is>
      </c>
      <c r="F1363" t="inlineStr">
        <is>
          <t>EUR</t>
        </is>
      </c>
      <c r="G1363" s="7" t="n">
        <v>715879769.568</v>
      </c>
      <c r="H1363" t="inlineStr">
        <is>
          <t>GBP</t>
        </is>
      </c>
      <c r="I1363" s="7" t="n">
        <v>614224842.289</v>
      </c>
      <c r="J1363" s="8" t="n">
        <v>46253.43337962963</v>
      </c>
      <c r="K1363" t="inlineStr">
        <is>
          <t>CF260819 01357</t>
        </is>
      </c>
      <c r="L1363" t="inlineStr">
        <is>
          <t>GL.NOSTRO.EUR.BRCC.005</t>
        </is>
      </c>
      <c r="M1363" t="inlineStr">
        <is>
          <t>Sablewood Commercial Bank</t>
        </is>
      </c>
      <c r="N1363" t="inlineStr">
        <is>
          <t>BRCCCASH</t>
        </is>
      </c>
      <c r="O1363" t="inlineStr">
        <is>
          <t>NEW</t>
        </is>
      </c>
      <c r="P1363" t="inlineStr">
        <is>
          <t>NT26081900673</t>
        </is>
      </c>
      <c r="Q1363" t="inlineStr">
        <is>
          <t>NETTER</t>
        </is>
      </c>
    </row>
    <row r="1364">
      <c r="A1364" t="inlineStr">
        <is>
          <t>824840705580</t>
        </is>
      </c>
      <c r="B1364" t="inlineStr">
        <is>
          <t>TCP</t>
        </is>
      </c>
      <c r="C1364" t="inlineStr">
        <is>
          <t>BRGL</t>
        </is>
      </c>
      <c r="D1364" s="6" t="n">
        <v>46253</v>
      </c>
      <c r="E1364" t="inlineStr">
        <is>
          <t>CR</t>
        </is>
      </c>
      <c r="F1364" t="inlineStr">
        <is>
          <t>EUR</t>
        </is>
      </c>
      <c r="G1364" s="7" t="n">
        <v>139635429.341</v>
      </c>
      <c r="H1364" t="inlineStr">
        <is>
          <t>GBP</t>
        </is>
      </c>
      <c r="I1364" s="7" t="n">
        <v>119807198.375</v>
      </c>
      <c r="J1364" s="8" t="n">
        <v>46253.36255787037</v>
      </c>
      <c r="K1364" t="inlineStr">
        <is>
          <t>CF260819 01358</t>
        </is>
      </c>
      <c r="L1364" t="inlineStr">
        <is>
          <t>GL.NOSTRO.EUR.BRGL.006</t>
        </is>
      </c>
      <c r="M1364" t="inlineStr">
        <is>
          <t>Pinehurst Settlement Bank</t>
        </is>
      </c>
      <c r="N1364" t="inlineStr">
        <is>
          <t>BRGLCASH</t>
        </is>
      </c>
      <c r="O1364" t="inlineStr">
        <is>
          <t>NEW</t>
        </is>
      </c>
      <c r="Q1364" t="inlineStr">
        <is>
          <t>NETTER</t>
        </is>
      </c>
    </row>
    <row r="1365">
      <c r="A1365" t="inlineStr">
        <is>
          <t>910703979141</t>
        </is>
      </c>
      <c r="B1365" t="inlineStr">
        <is>
          <t>TCC</t>
        </is>
      </c>
      <c r="C1365" t="inlineStr">
        <is>
          <t>BRCC</t>
        </is>
      </c>
      <c r="D1365" s="6" t="n">
        <v>46253</v>
      </c>
      <c r="E1365" t="inlineStr">
        <is>
          <t>DR</t>
        </is>
      </c>
      <c r="F1365" t="inlineStr">
        <is>
          <t>CHF</t>
        </is>
      </c>
      <c r="G1365" s="7" t="n">
        <v>-9219099.836999999</v>
      </c>
      <c r="H1365" t="inlineStr">
        <is>
          <t>GBP</t>
        </is>
      </c>
      <c r="I1365" s="7" t="n">
        <v>-8269532.554</v>
      </c>
      <c r="J1365" s="8" t="n">
        <v>46253.57878472222</v>
      </c>
      <c r="K1365" t="inlineStr">
        <is>
          <t>CF260819 01359</t>
        </is>
      </c>
      <c r="L1365" t="inlineStr">
        <is>
          <t>GL.NOSTRO.CHF.BRCC.005</t>
        </is>
      </c>
      <c r="M1365" t="inlineStr">
        <is>
          <t>Granite Clearing</t>
        </is>
      </c>
      <c r="N1365" t="inlineStr">
        <is>
          <t>BRCCCASH</t>
        </is>
      </c>
      <c r="O1365" t="inlineStr">
        <is>
          <t>NEW</t>
        </is>
      </c>
      <c r="P1365" t="inlineStr">
        <is>
          <t>NT26081900674</t>
        </is>
      </c>
      <c r="Q1365" t="inlineStr">
        <is>
          <t>GROSS</t>
        </is>
      </c>
    </row>
    <row r="1366">
      <c r="A1366" t="inlineStr">
        <is>
          <t>794226063698</t>
        </is>
      </c>
      <c r="B1366" t="inlineStr">
        <is>
          <t>TCX</t>
        </is>
      </c>
      <c r="C1366" t="inlineStr">
        <is>
          <t>BRMD</t>
        </is>
      </c>
      <c r="D1366" s="6" t="n">
        <v>46253</v>
      </c>
      <c r="E1366" t="inlineStr">
        <is>
          <t>DR</t>
        </is>
      </c>
      <c r="F1366" t="inlineStr">
        <is>
          <t>AED</t>
        </is>
      </c>
      <c r="G1366" s="7" t="n">
        <v>-112400727.058</v>
      </c>
      <c r="H1366" t="inlineStr">
        <is>
          <t>GBP</t>
        </is>
      </c>
      <c r="I1366" s="7" t="n">
        <v>-23941354.863</v>
      </c>
      <c r="J1366" s="8" t="n">
        <v>46253.58918981482</v>
      </c>
      <c r="K1366" t="inlineStr">
        <is>
          <t>CF260819 01360</t>
        </is>
      </c>
      <c r="L1366" t="inlineStr">
        <is>
          <t>GL.NOSTRO.AED.BRMD.005</t>
        </is>
      </c>
      <c r="M1366" t="inlineStr">
        <is>
          <t>Wrenfield Settlement Bank</t>
        </is>
      </c>
      <c r="N1366" t="inlineStr">
        <is>
          <t>BRMD</t>
        </is>
      </c>
      <c r="O1366" t="inlineStr">
        <is>
          <t>AMEND</t>
        </is>
      </c>
      <c r="Q1366" t="inlineStr">
        <is>
          <t>NETTER</t>
        </is>
      </c>
    </row>
    <row r="1367">
      <c r="A1367" t="inlineStr">
        <is>
          <t>150316825069</t>
        </is>
      </c>
      <c r="B1367" t="inlineStr">
        <is>
          <t>TCP</t>
        </is>
      </c>
      <c r="C1367" t="inlineStr">
        <is>
          <t>BRGX</t>
        </is>
      </c>
      <c r="D1367" s="6" t="n">
        <v>46253</v>
      </c>
      <c r="E1367" t="inlineStr">
        <is>
          <t>DR</t>
        </is>
      </c>
      <c r="F1367" t="inlineStr">
        <is>
          <t>GBP</t>
        </is>
      </c>
      <c r="G1367" s="7" t="n">
        <v>-22391886.634</v>
      </c>
      <c r="H1367" t="inlineStr">
        <is>
          <t>GBP</t>
        </is>
      </c>
      <c r="I1367" s="7" t="n">
        <v>-22391886.634</v>
      </c>
      <c r="J1367" s="8" t="n">
        <v>46253.23019675926</v>
      </c>
      <c r="K1367" t="inlineStr">
        <is>
          <t>CF260819 01361</t>
        </is>
      </c>
      <c r="L1367" t="inlineStr">
        <is>
          <t>GL.NOSTRO.GBP.BRGX.004</t>
        </is>
      </c>
      <c r="M1367" t="inlineStr">
        <is>
          <t>Cedar Commercial Bank</t>
        </is>
      </c>
      <c r="N1367" t="inlineStr">
        <is>
          <t>BRGXMM</t>
        </is>
      </c>
      <c r="O1367" t="inlineStr">
        <is>
          <t>NEW</t>
        </is>
      </c>
      <c r="Q1367" t="inlineStr">
        <is>
          <t>GROSS</t>
        </is>
      </c>
    </row>
    <row r="1368">
      <c r="A1368" t="inlineStr">
        <is>
          <t>700726936098</t>
        </is>
      </c>
      <c r="B1368" t="inlineStr">
        <is>
          <t>TCQ</t>
        </is>
      </c>
      <c r="C1368" t="inlineStr">
        <is>
          <t>BRMD</t>
        </is>
      </c>
      <c r="D1368" s="6" t="n">
        <v>46253</v>
      </c>
      <c r="E1368" t="inlineStr">
        <is>
          <t>CR</t>
        </is>
      </c>
      <c r="F1368" t="inlineStr">
        <is>
          <t>SAR</t>
        </is>
      </c>
      <c r="G1368" s="7" t="n">
        <v>224752126.517</v>
      </c>
      <c r="H1368" t="inlineStr">
        <is>
          <t>GBP</t>
        </is>
      </c>
      <c r="I1368" s="7" t="n">
        <v>46973194.442</v>
      </c>
      <c r="J1368" s="8" t="n">
        <v>46253.48188657407</v>
      </c>
      <c r="K1368" t="inlineStr">
        <is>
          <t>CF260819 01362</t>
        </is>
      </c>
      <c r="L1368" t="inlineStr">
        <is>
          <t>GL.NOSTRO.SAR.BRMD.007</t>
        </is>
      </c>
      <c r="M1368" t="inlineStr">
        <is>
          <t>Vetchling Bank</t>
        </is>
      </c>
      <c r="N1368" t="inlineStr">
        <is>
          <t>BRMDCASH</t>
        </is>
      </c>
      <c r="O1368" t="inlineStr">
        <is>
          <t>NEW</t>
        </is>
      </c>
      <c r="Q1368" t="inlineStr">
        <is>
          <t>GROSS</t>
        </is>
      </c>
    </row>
    <row r="1369">
      <c r="A1369" t="inlineStr">
        <is>
          <t>794226063698</t>
        </is>
      </c>
      <c r="B1369" t="inlineStr">
        <is>
          <t>TCX</t>
        </is>
      </c>
      <c r="C1369" t="inlineStr">
        <is>
          <t>BRMD</t>
        </is>
      </c>
      <c r="D1369" s="6" t="n">
        <v>46253</v>
      </c>
      <c r="E1369" t="inlineStr">
        <is>
          <t>DR</t>
        </is>
      </c>
      <c r="F1369" t="inlineStr">
        <is>
          <t>AED</t>
        </is>
      </c>
      <c r="G1369" s="7" t="n">
        <v>-157591.152</v>
      </c>
      <c r="H1369" t="inlineStr">
        <is>
          <t>GBP</t>
        </is>
      </c>
      <c r="I1369" s="7" t="n">
        <v>-33566.915</v>
      </c>
      <c r="J1369" s="8" t="n">
        <v>46253.48443287037</v>
      </c>
      <c r="K1369" t="inlineStr">
        <is>
          <t>CF260819 01363</t>
        </is>
      </c>
      <c r="L1369" t="inlineStr">
        <is>
          <t>GL.NOSTRO.AED.BRMD.004</t>
        </is>
      </c>
      <c r="M1369" t="inlineStr">
        <is>
          <t>Yarrow Commercial Bank</t>
        </is>
      </c>
      <c r="N1369" t="inlineStr">
        <is>
          <t>BRMDTRSY</t>
        </is>
      </c>
      <c r="O1369" t="inlineStr">
        <is>
          <t>NEW</t>
        </is>
      </c>
      <c r="P1369" t="inlineStr">
        <is>
          <t>NT26081900657</t>
        </is>
      </c>
      <c r="Q1369" t="inlineStr">
        <is>
          <t>NETTER</t>
        </is>
      </c>
    </row>
    <row r="1370">
      <c r="A1370" t="inlineStr">
        <is>
          <t>468341071172</t>
        </is>
      </c>
      <c r="B1370" t="inlineStr">
        <is>
          <t>TCQ</t>
        </is>
      </c>
      <c r="C1370" t="inlineStr">
        <is>
          <t>BRCC</t>
        </is>
      </c>
      <c r="D1370" s="6" t="n">
        <v>46253</v>
      </c>
      <c r="E1370" t="inlineStr">
        <is>
          <t>DR</t>
        </is>
      </c>
      <c r="F1370" t="inlineStr">
        <is>
          <t>EUR</t>
        </is>
      </c>
      <c r="G1370" s="7" t="n">
        <v>-173066.109</v>
      </c>
      <c r="H1370" t="inlineStr">
        <is>
          <t>GBP</t>
        </is>
      </c>
      <c r="I1370" s="7" t="n">
        <v>-148490.722</v>
      </c>
      <c r="J1370" s="8" t="n">
        <v>46253.57515046297</v>
      </c>
      <c r="K1370" t="inlineStr">
        <is>
          <t>CF260819 01364</t>
        </is>
      </c>
      <c r="L1370" t="inlineStr">
        <is>
          <t>GL.NOSTRO.EUR.BRCC.006</t>
        </is>
      </c>
      <c r="M1370" t="inlineStr">
        <is>
          <t>Elmwood Clearing</t>
        </is>
      </c>
      <c r="N1370" t="inlineStr">
        <is>
          <t>BRCC</t>
        </is>
      </c>
      <c r="O1370" t="inlineStr">
        <is>
          <t>NEW</t>
        </is>
      </c>
      <c r="Q1370" t="inlineStr">
        <is>
          <t>NETTER</t>
        </is>
      </c>
    </row>
    <row r="1371">
      <c r="A1371" t="inlineStr">
        <is>
          <t>265771593142</t>
        </is>
      </c>
      <c r="B1371" t="inlineStr">
        <is>
          <t>TCX</t>
        </is>
      </c>
      <c r="C1371" t="inlineStr">
        <is>
          <t>BRYG</t>
        </is>
      </c>
      <c r="D1371" s="6" t="n">
        <v>46253</v>
      </c>
      <c r="E1371" t="inlineStr">
        <is>
          <t>CR</t>
        </is>
      </c>
      <c r="F1371" t="inlineStr">
        <is>
          <t>EUR</t>
        </is>
      </c>
      <c r="G1371" s="7" t="n">
        <v>306292.122</v>
      </c>
      <c r="H1371" t="inlineStr">
        <is>
          <t>GBP</t>
        </is>
      </c>
      <c r="I1371" s="7" t="n">
        <v>262798.641</v>
      </c>
      <c r="J1371" s="8" t="n">
        <v>46253.45834490741</v>
      </c>
      <c r="K1371" t="inlineStr">
        <is>
          <t>CF260819 01365</t>
        </is>
      </c>
      <c r="L1371" t="inlineStr">
        <is>
          <t>GL.NOSTRO.EUR.BRYG.007</t>
        </is>
      </c>
      <c r="M1371" t="inlineStr">
        <is>
          <t>Elmwood Settlement Bank</t>
        </is>
      </c>
      <c r="N1371" t="inlineStr">
        <is>
          <t>BRYGCASH</t>
        </is>
      </c>
      <c r="O1371" t="inlineStr">
        <is>
          <t>NEW</t>
        </is>
      </c>
      <c r="Q1371" t="inlineStr">
        <is>
          <t>NETTER</t>
        </is>
      </c>
    </row>
    <row r="1372">
      <c r="A1372" t="inlineStr">
        <is>
          <t>284925023085</t>
        </is>
      </c>
      <c r="B1372" t="inlineStr">
        <is>
          <t>TCP</t>
        </is>
      </c>
      <c r="C1372" t="inlineStr">
        <is>
          <t>BRMD</t>
        </is>
      </c>
      <c r="D1372" s="6" t="n">
        <v>46253</v>
      </c>
      <c r="E1372" t="inlineStr">
        <is>
          <t>DR</t>
        </is>
      </c>
      <c r="F1372" t="inlineStr">
        <is>
          <t>MXN</t>
        </is>
      </c>
      <c r="G1372" s="7" t="n">
        <v>-1036016.042</v>
      </c>
      <c r="H1372" t="inlineStr">
        <is>
          <t>GBP</t>
        </is>
      </c>
      <c r="I1372" s="7" t="n">
        <v>-44341.487</v>
      </c>
      <c r="J1372" s="8" t="n">
        <v>46253.21768518518</v>
      </c>
      <c r="K1372" t="inlineStr">
        <is>
          <t>CF260819 01366</t>
        </is>
      </c>
      <c r="L1372" t="inlineStr">
        <is>
          <t>GL.NOSTRO.MXN.BRMD.004</t>
        </is>
      </c>
      <c r="M1372" t="inlineStr">
        <is>
          <t>Bramble Bank</t>
        </is>
      </c>
      <c r="N1372" t="inlineStr">
        <is>
          <t>BRMDMM</t>
        </is>
      </c>
      <c r="O1372" t="inlineStr">
        <is>
          <t>NEW</t>
        </is>
      </c>
      <c r="P1372" t="inlineStr">
        <is>
          <t>NT26081900666</t>
        </is>
      </c>
      <c r="Q1372" t="inlineStr">
        <is>
          <t>NETTER</t>
        </is>
      </c>
    </row>
    <row r="1373">
      <c r="A1373" t="inlineStr">
        <is>
          <t>468341071172</t>
        </is>
      </c>
      <c r="B1373" t="inlineStr">
        <is>
          <t>TCG</t>
        </is>
      </c>
      <c r="C1373" t="inlineStr">
        <is>
          <t>BRCC</t>
        </is>
      </c>
      <c r="D1373" s="6" t="n">
        <v>46253</v>
      </c>
      <c r="E1373" t="inlineStr">
        <is>
          <t>DR</t>
        </is>
      </c>
      <c r="F1373" t="inlineStr">
        <is>
          <t>EUR</t>
        </is>
      </c>
      <c r="G1373" s="7" t="n">
        <v>-83871592.561</v>
      </c>
      <c r="H1373" t="inlineStr">
        <is>
          <t>GBP</t>
        </is>
      </c>
      <c r="I1373" s="7" t="n">
        <v>-71961826.417</v>
      </c>
      <c r="J1373" s="8" t="n">
        <v>46253.39864583333</v>
      </c>
      <c r="K1373" t="inlineStr">
        <is>
          <t>CF260819 01367</t>
        </is>
      </c>
      <c r="L1373" t="inlineStr">
        <is>
          <t>GL.NOSTRO.EUR.BRCC.005</t>
        </is>
      </c>
      <c r="M1373" t="inlineStr">
        <is>
          <t>Umberton Commercial Bank</t>
        </is>
      </c>
      <c r="N1373" t="inlineStr">
        <is>
          <t>BRCCTRSY</t>
        </is>
      </c>
      <c r="O1373" t="inlineStr">
        <is>
          <t>NEW</t>
        </is>
      </c>
      <c r="Q1373" t="inlineStr">
        <is>
          <t>NETTER</t>
        </is>
      </c>
    </row>
    <row r="1374">
      <c r="A1374" t="inlineStr">
        <is>
          <t>150316825069</t>
        </is>
      </c>
      <c r="B1374" t="inlineStr">
        <is>
          <t>TCX</t>
        </is>
      </c>
      <c r="C1374" t="inlineStr">
        <is>
          <t>BRGX</t>
        </is>
      </c>
      <c r="D1374" s="6" t="n">
        <v>46253</v>
      </c>
      <c r="E1374" t="inlineStr">
        <is>
          <t>CR</t>
        </is>
      </c>
      <c r="F1374" t="inlineStr">
        <is>
          <t>GBP</t>
        </is>
      </c>
      <c r="G1374" s="7" t="n">
        <v>53347390.97</v>
      </c>
      <c r="H1374" t="inlineStr">
        <is>
          <t>GBP</t>
        </is>
      </c>
      <c r="I1374" s="7" t="n">
        <v>53347390.97</v>
      </c>
      <c r="J1374" s="8" t="n">
        <v>46253.32180555556</v>
      </c>
      <c r="K1374" t="inlineStr">
        <is>
          <t>CF260819 01368</t>
        </is>
      </c>
      <c r="L1374" t="inlineStr">
        <is>
          <t>GL.NOSTRO.GBP.BRGX.005</t>
        </is>
      </c>
      <c r="M1374" t="inlineStr">
        <is>
          <t>Dunlin Clearing</t>
        </is>
      </c>
      <c r="N1374" t="inlineStr">
        <is>
          <t>BRGXTRSY</t>
        </is>
      </c>
      <c r="O1374" t="inlineStr">
        <is>
          <t>NEW</t>
        </is>
      </c>
      <c r="Q1374" t="inlineStr">
        <is>
          <t>INTERNAL</t>
        </is>
      </c>
    </row>
    <row r="1375">
      <c r="A1375" t="inlineStr">
        <is>
          <t>968942362772</t>
        </is>
      </c>
      <c r="B1375" t="inlineStr">
        <is>
          <t>TCP</t>
        </is>
      </c>
      <c r="C1375" t="inlineStr">
        <is>
          <t>BRYG</t>
        </is>
      </c>
      <c r="D1375" s="6" t="n">
        <v>46253</v>
      </c>
      <c r="E1375" t="inlineStr">
        <is>
          <t>DR</t>
        </is>
      </c>
      <c r="F1375" t="inlineStr">
        <is>
          <t>EUR</t>
        </is>
      </c>
      <c r="G1375" s="7" t="n">
        <v>-289869.939</v>
      </c>
      <c r="H1375" t="inlineStr">
        <is>
          <t>GBP</t>
        </is>
      </c>
      <c r="I1375" s="7" t="n">
        <v>-248708.408</v>
      </c>
      <c r="J1375" s="8" t="n">
        <v>46253.58299768518</v>
      </c>
      <c r="K1375" t="inlineStr">
        <is>
          <t>CF260819 01369</t>
        </is>
      </c>
      <c r="L1375" t="inlineStr">
        <is>
          <t>GL.NOSTRO.EUR.BRYG.007</t>
        </is>
      </c>
      <c r="M1375" t="inlineStr">
        <is>
          <t>Nightjar Bank</t>
        </is>
      </c>
      <c r="N1375" t="inlineStr">
        <is>
          <t>BRYGTRSY</t>
        </is>
      </c>
      <c r="O1375" t="inlineStr">
        <is>
          <t>NEW</t>
        </is>
      </c>
      <c r="P1375" t="inlineStr">
        <is>
          <t>NT26081900677</t>
        </is>
      </c>
      <c r="Q1375" t="inlineStr">
        <is>
          <t>GROSS</t>
        </is>
      </c>
    </row>
    <row r="1376">
      <c r="A1376" t="inlineStr">
        <is>
          <t>359365220160</t>
        </is>
      </c>
      <c r="B1376" t="inlineStr">
        <is>
          <t>TCC</t>
        </is>
      </c>
      <c r="C1376" t="inlineStr">
        <is>
          <t>BRGX</t>
        </is>
      </c>
      <c r="D1376" s="6" t="n">
        <v>46253</v>
      </c>
      <c r="E1376" t="inlineStr">
        <is>
          <t>CR</t>
        </is>
      </c>
      <c r="F1376" t="inlineStr">
        <is>
          <t>EUR</t>
        </is>
      </c>
      <c r="G1376" s="7" t="n">
        <v>37549424.297</v>
      </c>
      <c r="H1376" t="inlineStr">
        <is>
          <t>GBP</t>
        </is>
      </c>
      <c r="I1376" s="7" t="n">
        <v>32217406.047</v>
      </c>
      <c r="J1376" s="8" t="n">
        <v>46253.62232638889</v>
      </c>
      <c r="K1376" t="inlineStr">
        <is>
          <t>CF260819 01370</t>
        </is>
      </c>
      <c r="L1376" t="inlineStr">
        <is>
          <t>GL.NOSTRO.EUR.BRGX.003</t>
        </is>
      </c>
      <c r="M1376" t="inlineStr">
        <is>
          <t>Redstart Trust</t>
        </is>
      </c>
      <c r="N1376" t="inlineStr">
        <is>
          <t>BRGX</t>
        </is>
      </c>
      <c r="O1376" t="inlineStr">
        <is>
          <t>AMEND</t>
        </is>
      </c>
      <c r="Q1376" t="inlineStr">
        <is>
          <t>GROSS</t>
        </is>
      </c>
    </row>
    <row r="1377">
      <c r="A1377" t="inlineStr">
        <is>
          <t>171857983160</t>
        </is>
      </c>
      <c r="B1377" t="inlineStr">
        <is>
          <t>TCG</t>
        </is>
      </c>
      <c r="C1377" t="inlineStr">
        <is>
          <t>BRBX</t>
        </is>
      </c>
      <c r="D1377" s="6" t="n">
        <v>46253</v>
      </c>
      <c r="E1377" t="inlineStr">
        <is>
          <t>DR</t>
        </is>
      </c>
      <c r="F1377" t="inlineStr">
        <is>
          <t>AUD</t>
        </is>
      </c>
      <c r="G1377" s="7" t="n">
        <v>-1125673.731</v>
      </c>
      <c r="H1377" t="inlineStr">
        <is>
          <t>GBP</t>
        </is>
      </c>
      <c r="I1377" s="7" t="n">
        <v>-577470.624</v>
      </c>
      <c r="J1377" s="8" t="n">
        <v>46253.57137731482</v>
      </c>
      <c r="K1377" t="inlineStr">
        <is>
          <t>CF260819 01371</t>
        </is>
      </c>
      <c r="L1377" t="inlineStr">
        <is>
          <t>GL.NOSTRO.AUD.BRBX.002</t>
        </is>
      </c>
      <c r="M1377" t="inlineStr">
        <is>
          <t>Oriel Trust</t>
        </is>
      </c>
      <c r="N1377" t="inlineStr">
        <is>
          <t>BRBXCASH</t>
        </is>
      </c>
      <c r="O1377" t="inlineStr">
        <is>
          <t>NEW</t>
        </is>
      </c>
      <c r="Q1377" t="inlineStr">
        <is>
          <t>INTERNAL</t>
        </is>
      </c>
    </row>
    <row r="1378">
      <c r="A1378" t="inlineStr">
        <is>
          <t>499062838623</t>
        </is>
      </c>
      <c r="B1378" t="inlineStr">
        <is>
          <t>TCQ</t>
        </is>
      </c>
      <c r="C1378" t="inlineStr">
        <is>
          <t>BRBX</t>
        </is>
      </c>
      <c r="D1378" s="6" t="n">
        <v>46253</v>
      </c>
      <c r="E1378" t="inlineStr">
        <is>
          <t>DR</t>
        </is>
      </c>
      <c r="F1378" t="inlineStr">
        <is>
          <t>USD</t>
        </is>
      </c>
      <c r="G1378" s="7" t="n">
        <v>-159495175.088</v>
      </c>
      <c r="H1378" t="inlineStr">
        <is>
          <t>GBP</t>
        </is>
      </c>
      <c r="I1378" s="7" t="n">
        <v>-125044217.269</v>
      </c>
      <c r="J1378" s="8" t="n">
        <v>46253.56717592593</v>
      </c>
      <c r="K1378" t="inlineStr">
        <is>
          <t>CF260819 01372</t>
        </is>
      </c>
      <c r="L1378" t="inlineStr">
        <is>
          <t>GL.NOSTRO.USD.BRBX.003</t>
        </is>
      </c>
      <c r="M1378" t="inlineStr">
        <is>
          <t>Vetchling Settlement Bank</t>
        </is>
      </c>
      <c r="N1378" t="inlineStr">
        <is>
          <t>BRBXTRSY</t>
        </is>
      </c>
      <c r="O1378" t="inlineStr">
        <is>
          <t>NEW</t>
        </is>
      </c>
      <c r="Q1378" t="inlineStr">
        <is>
          <t>NETTER</t>
        </is>
      </c>
    </row>
    <row r="1379">
      <c r="A1379" t="inlineStr">
        <is>
          <t>621381112674</t>
        </is>
      </c>
      <c r="B1379" t="inlineStr">
        <is>
          <t>TCG</t>
        </is>
      </c>
      <c r="C1379" t="inlineStr">
        <is>
          <t>BRAA</t>
        </is>
      </c>
      <c r="D1379" s="6" t="n">
        <v>46253</v>
      </c>
      <c r="E1379" t="inlineStr">
        <is>
          <t>DR</t>
        </is>
      </c>
      <c r="F1379" t="inlineStr">
        <is>
          <t>PLN</t>
        </is>
      </c>
      <c r="G1379" s="7" t="n">
        <v>-6180023828.19</v>
      </c>
      <c r="H1379" t="inlineStr">
        <is>
          <t>GBP</t>
        </is>
      </c>
      <c r="I1379" s="7" t="n">
        <v>-1223644717.982</v>
      </c>
      <c r="J1379" s="8" t="n">
        <v>46253.61532407408</v>
      </c>
      <c r="K1379" t="inlineStr">
        <is>
          <t>CF260819 01373</t>
        </is>
      </c>
      <c r="L1379" t="inlineStr">
        <is>
          <t>GL.NOSTRO.PLN.BRAA.005</t>
        </is>
      </c>
      <c r="M1379" t="inlineStr">
        <is>
          <t>Wrenfield Settlement Bank</t>
        </is>
      </c>
      <c r="N1379" t="inlineStr">
        <is>
          <t>BRAATRSY</t>
        </is>
      </c>
      <c r="O1379" t="inlineStr">
        <is>
          <t>NEW</t>
        </is>
      </c>
      <c r="Q1379" t="inlineStr">
        <is>
          <t>NETTER</t>
        </is>
      </c>
    </row>
    <row r="1380">
      <c r="A1380" t="inlineStr">
        <is>
          <t>794226063698</t>
        </is>
      </c>
      <c r="B1380" t="inlineStr">
        <is>
          <t>TCC</t>
        </is>
      </c>
      <c r="C1380" t="inlineStr">
        <is>
          <t>BRMD</t>
        </is>
      </c>
      <c r="D1380" s="6" t="n">
        <v>46253</v>
      </c>
      <c r="E1380" t="inlineStr">
        <is>
          <t>DR</t>
        </is>
      </c>
      <c r="F1380" t="inlineStr">
        <is>
          <t>AED</t>
        </is>
      </c>
      <c r="G1380" s="7" t="n">
        <v>-12447173.496</v>
      </c>
      <c r="H1380" t="inlineStr">
        <is>
          <t>GBP</t>
        </is>
      </c>
      <c r="I1380" s="7" t="n">
        <v>-2651247.955</v>
      </c>
      <c r="J1380" s="8" t="n">
        <v>46253.61067129629</v>
      </c>
      <c r="K1380" t="inlineStr">
        <is>
          <t>CF260819 01374</t>
        </is>
      </c>
      <c r="L1380" t="inlineStr">
        <is>
          <t>GL.NOSTRO.AED.BRMD.006</t>
        </is>
      </c>
      <c r="M1380" t="inlineStr">
        <is>
          <t>Alder Clearing</t>
        </is>
      </c>
      <c r="N1380" t="inlineStr">
        <is>
          <t>BRMDCASH</t>
        </is>
      </c>
      <c r="O1380" t="inlineStr">
        <is>
          <t>NEW</t>
        </is>
      </c>
      <c r="P1380" t="inlineStr">
        <is>
          <t>NT26081900687</t>
        </is>
      </c>
      <c r="Q1380" t="inlineStr">
        <is>
          <t>NETTER</t>
        </is>
      </c>
    </row>
    <row r="1381">
      <c r="A1381" t="inlineStr">
        <is>
          <t>794226063698</t>
        </is>
      </c>
      <c r="B1381" t="inlineStr">
        <is>
          <t>TCQ</t>
        </is>
      </c>
      <c r="C1381" t="inlineStr">
        <is>
          <t>BRMD</t>
        </is>
      </c>
      <c r="D1381" s="6" t="n">
        <v>46253</v>
      </c>
      <c r="E1381" t="inlineStr">
        <is>
          <t>DR</t>
        </is>
      </c>
      <c r="F1381" t="inlineStr">
        <is>
          <t>AED</t>
        </is>
      </c>
      <c r="G1381" s="7" t="n">
        <v>-55316697.843</v>
      </c>
      <c r="H1381" t="inlineStr">
        <is>
          <t>GBP</t>
        </is>
      </c>
      <c r="I1381" s="7" t="n">
        <v>-11782456.641</v>
      </c>
      <c r="J1381" s="8" t="n">
        <v>46253.54833333333</v>
      </c>
      <c r="K1381" t="inlineStr">
        <is>
          <t>CF260819 01375</t>
        </is>
      </c>
      <c r="L1381" t="inlineStr">
        <is>
          <t>GL.NOSTRO.AED.BRMD.001</t>
        </is>
      </c>
      <c r="M1381" t="inlineStr">
        <is>
          <t>Sablewood Commercial Bank</t>
        </is>
      </c>
      <c r="N1381" t="inlineStr">
        <is>
          <t>BRMDCASH</t>
        </is>
      </c>
      <c r="O1381" t="inlineStr">
        <is>
          <t>NEW</t>
        </is>
      </c>
      <c r="P1381" t="inlineStr">
        <is>
          <t>NT26081900689</t>
        </is>
      </c>
      <c r="Q1381" t="inlineStr">
        <is>
          <t>GROSS</t>
        </is>
      </c>
    </row>
    <row r="1382">
      <c r="A1382" t="inlineStr">
        <is>
          <t>150316825069</t>
        </is>
      </c>
      <c r="B1382" t="inlineStr">
        <is>
          <t>TCC</t>
        </is>
      </c>
      <c r="C1382" t="inlineStr">
        <is>
          <t>BRGX</t>
        </is>
      </c>
      <c r="D1382" s="6" t="n">
        <v>46253</v>
      </c>
      <c r="E1382" t="inlineStr">
        <is>
          <t>DR</t>
        </is>
      </c>
      <c r="F1382" t="inlineStr">
        <is>
          <t>GBP</t>
        </is>
      </c>
      <c r="G1382" s="7" t="n">
        <v>-1565240.639</v>
      </c>
      <c r="H1382" t="inlineStr">
        <is>
          <t>GBP</t>
        </is>
      </c>
      <c r="I1382" s="7" t="n">
        <v>-1565240.639</v>
      </c>
      <c r="J1382" s="8" t="n">
        <v>46253.72150462963</v>
      </c>
      <c r="K1382" t="inlineStr">
        <is>
          <t>CF260819 01376</t>
        </is>
      </c>
      <c r="L1382" t="inlineStr">
        <is>
          <t>GL.NOSTRO.GBP.BRGX.006</t>
        </is>
      </c>
      <c r="M1382" t="inlineStr">
        <is>
          <t>Dunlin Trust</t>
        </is>
      </c>
      <c r="N1382" t="inlineStr">
        <is>
          <t>BRGXCASH</t>
        </is>
      </c>
      <c r="O1382" t="inlineStr">
        <is>
          <t>NEW</t>
        </is>
      </c>
      <c r="P1382" t="inlineStr">
        <is>
          <t>NT26081900660</t>
        </is>
      </c>
      <c r="Q1382" t="inlineStr">
        <is>
          <t>GROSS</t>
        </is>
      </c>
    </row>
    <row r="1383">
      <c r="A1383" t="inlineStr">
        <is>
          <t>794226063698</t>
        </is>
      </c>
      <c r="B1383" t="inlineStr">
        <is>
          <t>TCX</t>
        </is>
      </c>
      <c r="C1383" t="inlineStr">
        <is>
          <t>BRMD</t>
        </is>
      </c>
      <c r="D1383" s="6" t="n">
        <v>46253</v>
      </c>
      <c r="E1383" t="inlineStr">
        <is>
          <t>CR</t>
        </is>
      </c>
      <c r="F1383" t="inlineStr">
        <is>
          <t>AED</t>
        </is>
      </c>
      <c r="G1383" s="7" t="n">
        <v>1001583.823</v>
      </c>
      <c r="H1383" t="inlineStr">
        <is>
          <t>GBP</t>
        </is>
      </c>
      <c r="I1383" s="7" t="n">
        <v>213337.354</v>
      </c>
      <c r="J1383" s="8" t="n">
        <v>46253.60576388889</v>
      </c>
      <c r="K1383" t="inlineStr">
        <is>
          <t>CF260819 01377</t>
        </is>
      </c>
      <c r="L1383" t="inlineStr">
        <is>
          <t>GL.NOSTRO.AED.BRMD.007</t>
        </is>
      </c>
      <c r="M1383" t="inlineStr">
        <is>
          <t>Elmwood Clearing</t>
        </is>
      </c>
      <c r="N1383" t="inlineStr">
        <is>
          <t>BRMDMM</t>
        </is>
      </c>
      <c r="O1383" t="inlineStr">
        <is>
          <t>NEW</t>
        </is>
      </c>
      <c r="P1383" t="inlineStr">
        <is>
          <t>NT26081900673</t>
        </is>
      </c>
      <c r="Q1383" t="inlineStr">
        <is>
          <t>GROSS</t>
        </is>
      </c>
    </row>
    <row r="1384">
      <c r="A1384" t="inlineStr">
        <is>
          <t>910703979141</t>
        </is>
      </c>
      <c r="B1384" t="inlineStr">
        <is>
          <t>TCQ</t>
        </is>
      </c>
      <c r="C1384" t="inlineStr">
        <is>
          <t>BRCC</t>
        </is>
      </c>
      <c r="D1384" s="6" t="n">
        <v>46253</v>
      </c>
      <c r="E1384" t="inlineStr">
        <is>
          <t>DR</t>
        </is>
      </c>
      <c r="F1384" t="inlineStr">
        <is>
          <t>CHF</t>
        </is>
      </c>
      <c r="G1384" s="7" t="n">
        <v>-424484.814</v>
      </c>
      <c r="H1384" t="inlineStr">
        <is>
          <t>GBP</t>
        </is>
      </c>
      <c r="I1384" s="7" t="n">
        <v>-380762.878</v>
      </c>
      <c r="J1384" s="8" t="n">
        <v>46253.6084375</v>
      </c>
      <c r="K1384" t="inlineStr">
        <is>
          <t>CF260819 01378</t>
        </is>
      </c>
      <c r="L1384" t="inlineStr">
        <is>
          <t>GL.NOSTRO.CHF.BRCC.003</t>
        </is>
      </c>
      <c r="M1384" t="inlineStr">
        <is>
          <t>Sablewood Settlement Bank</t>
        </is>
      </c>
      <c r="N1384" t="inlineStr">
        <is>
          <t>BRCCMM</t>
        </is>
      </c>
      <c r="O1384" t="inlineStr">
        <is>
          <t>NEW</t>
        </is>
      </c>
      <c r="Q1384" t="inlineStr">
        <is>
          <t>GROSS</t>
        </is>
      </c>
    </row>
    <row r="1385">
      <c r="A1385" t="inlineStr">
        <is>
          <t>499062838623</t>
        </is>
      </c>
      <c r="B1385" t="inlineStr">
        <is>
          <t>TCQ</t>
        </is>
      </c>
      <c r="C1385" t="inlineStr">
        <is>
          <t>BRBX</t>
        </is>
      </c>
      <c r="D1385" s="6" t="n">
        <v>46253</v>
      </c>
      <c r="E1385" t="inlineStr">
        <is>
          <t>DR</t>
        </is>
      </c>
      <c r="F1385" t="inlineStr">
        <is>
          <t>USD</t>
        </is>
      </c>
      <c r="G1385" s="7" t="n">
        <v>-848994327.632</v>
      </c>
      <c r="H1385" t="inlineStr">
        <is>
          <t>GBP</t>
        </is>
      </c>
      <c r="I1385" s="7" t="n">
        <v>-665611552.863</v>
      </c>
      <c r="J1385" s="8" t="n">
        <v>46253.41704861111</v>
      </c>
      <c r="K1385" t="inlineStr">
        <is>
          <t>CF260819 01379</t>
        </is>
      </c>
      <c r="L1385" t="inlineStr">
        <is>
          <t>GL.NOSTRO.USD.BRBX.003</t>
        </is>
      </c>
      <c r="M1385" t="inlineStr">
        <is>
          <t>Alder Trust</t>
        </is>
      </c>
      <c r="N1385" t="inlineStr">
        <is>
          <t>BRBXMM</t>
        </is>
      </c>
      <c r="O1385" t="inlineStr">
        <is>
          <t>NEW</t>
        </is>
      </c>
      <c r="Q1385" t="inlineStr">
        <is>
          <t>NETTER</t>
        </is>
      </c>
    </row>
    <row r="1386">
      <c r="A1386" t="inlineStr">
        <is>
          <t>499062838623</t>
        </is>
      </c>
      <c r="B1386" t="inlineStr">
        <is>
          <t>TCC</t>
        </is>
      </c>
      <c r="C1386" t="inlineStr">
        <is>
          <t>BRBX</t>
        </is>
      </c>
      <c r="D1386" s="6" t="n">
        <v>46253</v>
      </c>
      <c r="E1386" t="inlineStr">
        <is>
          <t>DR</t>
        </is>
      </c>
      <c r="F1386" t="inlineStr">
        <is>
          <t>USD</t>
        </is>
      </c>
      <c r="G1386" s="7" t="n">
        <v>-18013159.853</v>
      </c>
      <c r="H1386" t="inlineStr">
        <is>
          <t>GBP</t>
        </is>
      </c>
      <c r="I1386" s="7" t="n">
        <v>-14122317.325</v>
      </c>
      <c r="J1386" s="8" t="n">
        <v>46253.63215277778</v>
      </c>
      <c r="K1386" t="inlineStr">
        <is>
          <t>CF260819 01380</t>
        </is>
      </c>
      <c r="L1386" t="inlineStr">
        <is>
          <t>GL.NOSTRO.USD.BRBX.006</t>
        </is>
      </c>
      <c r="M1386" t="inlineStr">
        <is>
          <t>Zephyr Bank</t>
        </is>
      </c>
      <c r="N1386" t="inlineStr">
        <is>
          <t>BRBXMM</t>
        </is>
      </c>
      <c r="O1386" t="inlineStr">
        <is>
          <t>CANCEL</t>
        </is>
      </c>
      <c r="Q1386" t="inlineStr">
        <is>
          <t>NETTER</t>
        </is>
      </c>
    </row>
    <row r="1387">
      <c r="A1387" t="inlineStr">
        <is>
          <t>468341071172</t>
        </is>
      </c>
      <c r="B1387" t="inlineStr">
        <is>
          <t>TCX</t>
        </is>
      </c>
      <c r="C1387" t="inlineStr">
        <is>
          <t>BRCC</t>
        </is>
      </c>
      <c r="D1387" s="6" t="n">
        <v>46253</v>
      </c>
      <c r="E1387" t="inlineStr">
        <is>
          <t>DR</t>
        </is>
      </c>
      <c r="F1387" t="inlineStr">
        <is>
          <t>EUR</t>
        </is>
      </c>
      <c r="G1387" s="7" t="n">
        <v>-11220575.152</v>
      </c>
      <c r="H1387" t="inlineStr">
        <is>
          <t>GBP</t>
        </is>
      </c>
      <c r="I1387" s="7" t="n">
        <v>-9627253.48</v>
      </c>
      <c r="J1387" s="8" t="n">
        <v>46253.39770833333</v>
      </c>
      <c r="K1387" t="inlineStr">
        <is>
          <t>CF260819 01381</t>
        </is>
      </c>
      <c r="L1387" t="inlineStr">
        <is>
          <t>GL.NOSTRO.EUR.BRCC.004</t>
        </is>
      </c>
      <c r="M1387" t="inlineStr">
        <is>
          <t>Dunlin Bank</t>
        </is>
      </c>
      <c r="N1387" t="inlineStr">
        <is>
          <t>BRCC</t>
        </is>
      </c>
      <c r="O1387" t="inlineStr">
        <is>
          <t>NEW</t>
        </is>
      </c>
      <c r="Q1387" t="inlineStr">
        <is>
          <t>NETTER</t>
        </is>
      </c>
    </row>
    <row r="1388">
      <c r="A1388" t="inlineStr">
        <is>
          <t>621381112674</t>
        </is>
      </c>
      <c r="B1388" t="inlineStr">
        <is>
          <t>TCC</t>
        </is>
      </c>
      <c r="C1388" t="inlineStr">
        <is>
          <t>BRAA</t>
        </is>
      </c>
      <c r="D1388" s="6" t="n">
        <v>46253</v>
      </c>
      <c r="E1388" t="inlineStr">
        <is>
          <t>CR</t>
        </is>
      </c>
      <c r="F1388" t="inlineStr">
        <is>
          <t>PLN</t>
        </is>
      </c>
      <c r="G1388" s="7" t="n">
        <v>681232.363</v>
      </c>
      <c r="H1388" t="inlineStr">
        <is>
          <t>GBP</t>
        </is>
      </c>
      <c r="I1388" s="7" t="n">
        <v>134884.008</v>
      </c>
      <c r="J1388" s="8" t="n">
        <v>46253.52405092592</v>
      </c>
      <c r="K1388" t="inlineStr">
        <is>
          <t>CF260819 01382</t>
        </is>
      </c>
      <c r="L1388" t="inlineStr">
        <is>
          <t>GL.NOSTRO.PLN.BRAA.009</t>
        </is>
      </c>
      <c r="M1388" t="inlineStr">
        <is>
          <t>Thornbury Bank</t>
        </is>
      </c>
      <c r="N1388" t="inlineStr">
        <is>
          <t>BRAATRSY</t>
        </is>
      </c>
      <c r="O1388" t="inlineStr">
        <is>
          <t>NEW</t>
        </is>
      </c>
      <c r="P1388" t="inlineStr">
        <is>
          <t>NT26081900657</t>
        </is>
      </c>
      <c r="Q1388" t="inlineStr">
        <is>
          <t>GROSS</t>
        </is>
      </c>
    </row>
    <row r="1389">
      <c r="A1389" t="inlineStr">
        <is>
          <t>499062838623</t>
        </is>
      </c>
      <c r="B1389" t="inlineStr">
        <is>
          <t>TCC</t>
        </is>
      </c>
      <c r="C1389" t="inlineStr">
        <is>
          <t>BRBX</t>
        </is>
      </c>
      <c r="D1389" s="6" t="n">
        <v>46253</v>
      </c>
      <c r="E1389" t="inlineStr">
        <is>
          <t>CR</t>
        </is>
      </c>
      <c r="F1389" t="inlineStr">
        <is>
          <t>USD</t>
        </is>
      </c>
      <c r="G1389" s="7" t="n">
        <v>252849.023</v>
      </c>
      <c r="H1389" t="inlineStr">
        <is>
          <t>GBP</t>
        </is>
      </c>
      <c r="I1389" s="7" t="n">
        <v>198233.634</v>
      </c>
      <c r="J1389" s="8" t="n">
        <v>46253.29783564815</v>
      </c>
      <c r="K1389" t="inlineStr">
        <is>
          <t>CF260819 01383</t>
        </is>
      </c>
      <c r="L1389" t="inlineStr">
        <is>
          <t>GL.NOSTRO.USD.BRBX.009</t>
        </is>
      </c>
      <c r="M1389" t="inlineStr">
        <is>
          <t>Larkspur Clearing</t>
        </is>
      </c>
      <c r="N1389" t="inlineStr">
        <is>
          <t>BRBXCASH</t>
        </is>
      </c>
      <c r="O1389" t="inlineStr">
        <is>
          <t>NEW</t>
        </is>
      </c>
      <c r="Q1389" t="inlineStr">
        <is>
          <t>GROSS</t>
        </is>
      </c>
    </row>
    <row r="1390">
      <c r="A1390" t="inlineStr">
        <is>
          <t>132544340094</t>
        </is>
      </c>
      <c r="B1390" t="inlineStr">
        <is>
          <t>TCQ</t>
        </is>
      </c>
      <c r="C1390" t="inlineStr">
        <is>
          <t>BRYG</t>
        </is>
      </c>
      <c r="D1390" s="6" t="n">
        <v>46253</v>
      </c>
      <c r="E1390" t="inlineStr">
        <is>
          <t>CR</t>
        </is>
      </c>
      <c r="F1390" t="inlineStr">
        <is>
          <t>CZK</t>
        </is>
      </c>
      <c r="G1390" s="7" t="n">
        <v>349996016.126</v>
      </c>
      <c r="H1390" t="inlineStr">
        <is>
          <t>GBP</t>
        </is>
      </c>
      <c r="I1390" s="7" t="n">
        <v>11864864.947</v>
      </c>
      <c r="J1390" s="8" t="n">
        <v>46253.55041666667</v>
      </c>
      <c r="K1390" t="inlineStr">
        <is>
          <t>CF260819 01384</t>
        </is>
      </c>
      <c r="L1390" t="inlineStr">
        <is>
          <t>GL.NOSTRO.CZK.BRYG.001</t>
        </is>
      </c>
      <c r="M1390" t="inlineStr">
        <is>
          <t>Yarrow Clearing</t>
        </is>
      </c>
      <c r="N1390" t="inlineStr">
        <is>
          <t>BRYGCASH</t>
        </is>
      </c>
      <c r="O1390" t="inlineStr">
        <is>
          <t>NEW</t>
        </is>
      </c>
      <c r="P1390" t="inlineStr">
        <is>
          <t>NT26081900658</t>
        </is>
      </c>
      <c r="Q1390" t="inlineStr">
        <is>
          <t>NETTER</t>
        </is>
      </c>
    </row>
    <row r="1391">
      <c r="A1391" t="inlineStr">
        <is>
          <t>265771593142</t>
        </is>
      </c>
      <c r="B1391" t="inlineStr">
        <is>
          <t>TCP</t>
        </is>
      </c>
      <c r="C1391" t="inlineStr">
        <is>
          <t>BRYG</t>
        </is>
      </c>
      <c r="D1391" s="6" t="n">
        <v>46253</v>
      </c>
      <c r="E1391" t="inlineStr">
        <is>
          <t>DR</t>
        </is>
      </c>
      <c r="F1391" t="inlineStr">
        <is>
          <t>EUR</t>
        </is>
      </c>
      <c r="G1391" s="7" t="n">
        <v>-61481071.052</v>
      </c>
      <c r="H1391" t="inlineStr">
        <is>
          <t>GBP</t>
        </is>
      </c>
      <c r="I1391" s="7" t="n">
        <v>-52750758.963</v>
      </c>
      <c r="J1391" s="8" t="n">
        <v>46253.68217592593</v>
      </c>
      <c r="K1391" t="inlineStr">
        <is>
          <t>CF260819 01385</t>
        </is>
      </c>
      <c r="L1391" t="inlineStr">
        <is>
          <t>GL.NOSTRO.EUR.BRYG.003</t>
        </is>
      </c>
      <c r="M1391" t="inlineStr">
        <is>
          <t>Granite Clearing</t>
        </is>
      </c>
      <c r="N1391" t="inlineStr">
        <is>
          <t>BRYGMM</t>
        </is>
      </c>
      <c r="O1391" t="inlineStr">
        <is>
          <t>NEW</t>
        </is>
      </c>
      <c r="Q1391" t="inlineStr">
        <is>
          <t>GROSS</t>
        </is>
      </c>
    </row>
    <row r="1392">
      <c r="A1392" t="inlineStr">
        <is>
          <t>359365220160</t>
        </is>
      </c>
      <c r="B1392" t="inlineStr">
        <is>
          <t>TCG</t>
        </is>
      </c>
      <c r="C1392" t="inlineStr">
        <is>
          <t>BRGX</t>
        </is>
      </c>
      <c r="D1392" s="6" t="n">
        <v>46253</v>
      </c>
      <c r="E1392" t="inlineStr">
        <is>
          <t>CR</t>
        </is>
      </c>
      <c r="F1392" t="inlineStr">
        <is>
          <t>EUR</t>
        </is>
      </c>
      <c r="G1392" s="7" t="n">
        <v>11592521.718</v>
      </c>
      <c r="H1392" t="inlineStr">
        <is>
          <t>GBP</t>
        </is>
      </c>
      <c r="I1392" s="7" t="n">
        <v>9946383.634</v>
      </c>
      <c r="J1392" s="8" t="n">
        <v>46253.3677662037</v>
      </c>
      <c r="K1392" t="inlineStr">
        <is>
          <t>CF260819 01386</t>
        </is>
      </c>
      <c r="L1392" t="inlineStr">
        <is>
          <t>GL.NOSTRO.EUR.BRGX.008</t>
        </is>
      </c>
      <c r="M1392" t="inlineStr">
        <is>
          <t>Mallow Clearing</t>
        </is>
      </c>
      <c r="N1392" t="inlineStr">
        <is>
          <t>BRGXTRSY</t>
        </is>
      </c>
      <c r="O1392" t="inlineStr">
        <is>
          <t>NEW</t>
        </is>
      </c>
      <c r="P1392" t="inlineStr">
        <is>
          <t>NT26081900686</t>
        </is>
      </c>
      <c r="Q1392" t="inlineStr">
        <is>
          <t>NETTER</t>
        </is>
      </c>
    </row>
    <row r="1393">
      <c r="A1393" t="inlineStr">
        <is>
          <t>898317028833</t>
        </is>
      </c>
      <c r="B1393" t="inlineStr">
        <is>
          <t>TCQ</t>
        </is>
      </c>
      <c r="C1393" t="inlineStr">
        <is>
          <t>BRAA</t>
        </is>
      </c>
      <c r="D1393" s="6" t="n">
        <v>46253</v>
      </c>
      <c r="E1393" t="inlineStr">
        <is>
          <t>CR</t>
        </is>
      </c>
      <c r="F1393" t="inlineStr">
        <is>
          <t>GBP</t>
        </is>
      </c>
      <c r="G1393" s="7" t="n">
        <v>736724048.613</v>
      </c>
      <c r="H1393" t="inlineStr">
        <is>
          <t>GBP</t>
        </is>
      </c>
      <c r="I1393" s="7" t="n">
        <v>736724048.613</v>
      </c>
      <c r="J1393" s="8" t="n">
        <v>46253.57508101852</v>
      </c>
      <c r="K1393" t="inlineStr">
        <is>
          <t>CF260819 01387</t>
        </is>
      </c>
      <c r="L1393" t="inlineStr">
        <is>
          <t>GL.NOSTRO.GBP.BRAA.002</t>
        </is>
      </c>
      <c r="M1393" t="inlineStr">
        <is>
          <t>Granite Clearing</t>
        </is>
      </c>
      <c r="N1393" t="inlineStr">
        <is>
          <t>BRAATRSY</t>
        </is>
      </c>
      <c r="O1393" t="inlineStr">
        <is>
          <t>NEW</t>
        </is>
      </c>
      <c r="Q1393" t="inlineStr">
        <is>
          <t>NETTER</t>
        </is>
      </c>
    </row>
    <row r="1394">
      <c r="A1394" t="inlineStr">
        <is>
          <t>150316825069</t>
        </is>
      </c>
      <c r="B1394" t="inlineStr">
        <is>
          <t>TCG</t>
        </is>
      </c>
      <c r="C1394" t="inlineStr">
        <is>
          <t>BRGX</t>
        </is>
      </c>
      <c r="D1394" s="6" t="n">
        <v>46253</v>
      </c>
      <c r="E1394" t="inlineStr">
        <is>
          <t>DR</t>
        </is>
      </c>
      <c r="F1394" t="inlineStr">
        <is>
          <t>GBP</t>
        </is>
      </c>
      <c r="G1394" s="7" t="n">
        <v>-5269166.123</v>
      </c>
      <c r="H1394" t="inlineStr">
        <is>
          <t>GBP</t>
        </is>
      </c>
      <c r="I1394" s="7" t="n">
        <v>-5269166.123</v>
      </c>
      <c r="J1394" s="8" t="n">
        <v>46253.4174537037</v>
      </c>
      <c r="K1394" t="inlineStr">
        <is>
          <t>CF260819 01388</t>
        </is>
      </c>
      <c r="L1394" t="inlineStr">
        <is>
          <t>GL.NOSTRO.GBP.BRGX.005</t>
        </is>
      </c>
      <c r="M1394" t="inlineStr">
        <is>
          <t>Pinehurst Settlement Bank</t>
        </is>
      </c>
      <c r="N1394" t="inlineStr">
        <is>
          <t>BRGX</t>
        </is>
      </c>
      <c r="O1394" t="inlineStr">
        <is>
          <t>NEW</t>
        </is>
      </c>
      <c r="Q1394" t="inlineStr">
        <is>
          <t>INTERNAL</t>
        </is>
      </c>
    </row>
    <row r="1395">
      <c r="A1395" t="inlineStr">
        <is>
          <t>132544340094</t>
        </is>
      </c>
      <c r="B1395" t="inlineStr">
        <is>
          <t>TCC</t>
        </is>
      </c>
      <c r="C1395" t="inlineStr">
        <is>
          <t>BRYG</t>
        </is>
      </c>
      <c r="D1395" s="6" t="n">
        <v>46253</v>
      </c>
      <c r="E1395" t="inlineStr">
        <is>
          <t>CR</t>
        </is>
      </c>
      <c r="F1395" t="inlineStr">
        <is>
          <t>CZK</t>
        </is>
      </c>
      <c r="G1395" s="7" t="n">
        <v>935766010.238</v>
      </c>
      <c r="H1395" t="inlineStr">
        <is>
          <t>GBP</t>
        </is>
      </c>
      <c r="I1395" s="7" t="n">
        <v>31722467.747</v>
      </c>
      <c r="J1395" s="8" t="n">
        <v>46253.30385416667</v>
      </c>
      <c r="K1395" t="inlineStr">
        <is>
          <t>CF260819 01389</t>
        </is>
      </c>
      <c r="L1395" t="inlineStr">
        <is>
          <t>GL.NOSTRO.CZK.BRYG.003</t>
        </is>
      </c>
      <c r="M1395" t="inlineStr">
        <is>
          <t>Yarrow Commercial Bank</t>
        </is>
      </c>
      <c r="N1395" t="inlineStr">
        <is>
          <t>BRYGTRSY</t>
        </is>
      </c>
      <c r="O1395" t="inlineStr">
        <is>
          <t>NEW</t>
        </is>
      </c>
      <c r="Q1395" t="inlineStr">
        <is>
          <t>NETTER</t>
        </is>
      </c>
    </row>
    <row r="1396">
      <c r="A1396" t="inlineStr">
        <is>
          <t>726928343448</t>
        </is>
      </c>
      <c r="B1396" t="inlineStr">
        <is>
          <t>TCQ</t>
        </is>
      </c>
      <c r="C1396" t="inlineStr">
        <is>
          <t>BRGX</t>
        </is>
      </c>
      <c r="D1396" s="6" t="n">
        <v>46253</v>
      </c>
      <c r="E1396" t="inlineStr">
        <is>
          <t>CR</t>
        </is>
      </c>
      <c r="F1396" t="inlineStr">
        <is>
          <t>EUR</t>
        </is>
      </c>
      <c r="G1396" s="7" t="n">
        <v>95678639.552</v>
      </c>
      <c r="H1396" t="inlineStr">
        <is>
          <t>GBP</t>
        </is>
      </c>
      <c r="I1396" s="7" t="n">
        <v>82092272.736</v>
      </c>
      <c r="J1396" s="8" t="n">
        <v>46253.57082175926</v>
      </c>
      <c r="K1396" t="inlineStr">
        <is>
          <t>CF260819 01390</t>
        </is>
      </c>
      <c r="L1396" t="inlineStr">
        <is>
          <t>GL.NOSTRO.EUR.BRGX.002</t>
        </is>
      </c>
      <c r="M1396" t="inlineStr">
        <is>
          <t>Cedar Commercial Bank</t>
        </is>
      </c>
      <c r="N1396" t="inlineStr">
        <is>
          <t>BRGX</t>
        </is>
      </c>
      <c r="O1396" t="inlineStr">
        <is>
          <t>NEW</t>
        </is>
      </c>
      <c r="P1396" t="inlineStr">
        <is>
          <t>NT26081900674</t>
        </is>
      </c>
      <c r="Q1396" t="inlineStr">
        <is>
          <t>GROSS</t>
        </is>
      </c>
    </row>
    <row r="1397">
      <c r="A1397" t="inlineStr">
        <is>
          <t>824840705580</t>
        </is>
      </c>
      <c r="B1397" t="inlineStr">
        <is>
          <t>TCQ</t>
        </is>
      </c>
      <c r="C1397" t="inlineStr">
        <is>
          <t>BRGL</t>
        </is>
      </c>
      <c r="D1397" s="6" t="n">
        <v>46253</v>
      </c>
      <c r="E1397" t="inlineStr">
        <is>
          <t>CR</t>
        </is>
      </c>
      <c r="F1397" t="inlineStr">
        <is>
          <t>EUR</t>
        </is>
      </c>
      <c r="G1397" s="7" t="n">
        <v>614754.703</v>
      </c>
      <c r="H1397" t="inlineStr">
        <is>
          <t>GBP</t>
        </is>
      </c>
      <c r="I1397" s="7" t="n">
        <v>527459.535</v>
      </c>
      <c r="J1397" s="8" t="n">
        <v>46253.3168287037</v>
      </c>
      <c r="K1397" t="inlineStr">
        <is>
          <t>CF260819 01391</t>
        </is>
      </c>
      <c r="L1397" t="inlineStr">
        <is>
          <t>GL.NOSTRO.EUR.BRGL.003</t>
        </is>
      </c>
      <c r="M1397" t="inlineStr">
        <is>
          <t>Umberton Commercial Bank</t>
        </is>
      </c>
      <c r="N1397" t="inlineStr">
        <is>
          <t>BRGL</t>
        </is>
      </c>
      <c r="O1397" t="inlineStr">
        <is>
          <t>AMEND</t>
        </is>
      </c>
      <c r="P1397" t="inlineStr">
        <is>
          <t>NT26081900684</t>
        </is>
      </c>
      <c r="Q1397" t="inlineStr">
        <is>
          <t>NETTER</t>
        </is>
      </c>
    </row>
    <row r="1398">
      <c r="A1398" t="inlineStr">
        <is>
          <t>910703979141</t>
        </is>
      </c>
      <c r="B1398" t="inlineStr">
        <is>
          <t>TCG</t>
        </is>
      </c>
      <c r="C1398" t="inlineStr">
        <is>
          <t>BRCC</t>
        </is>
      </c>
      <c r="D1398" s="6" t="n">
        <v>46253</v>
      </c>
      <c r="E1398" t="inlineStr">
        <is>
          <t>DR</t>
        </is>
      </c>
      <c r="F1398" t="inlineStr">
        <is>
          <t>CHF</t>
        </is>
      </c>
      <c r="G1398" s="7" t="n">
        <v>-1876569.733</v>
      </c>
      <c r="H1398" t="inlineStr">
        <is>
          <t>GBP</t>
        </is>
      </c>
      <c r="I1398" s="7" t="n">
        <v>-1683283.051</v>
      </c>
      <c r="J1398" s="8" t="n">
        <v>46253.46909722222</v>
      </c>
      <c r="K1398" t="inlineStr">
        <is>
          <t>CF260819 01392</t>
        </is>
      </c>
      <c r="L1398" t="inlineStr">
        <is>
          <t>GL.NOSTRO.CHF.BRCC.002</t>
        </is>
      </c>
      <c r="M1398" t="inlineStr">
        <is>
          <t>Oriel Trust</t>
        </is>
      </c>
      <c r="N1398" t="inlineStr">
        <is>
          <t>BRCCCASH</t>
        </is>
      </c>
      <c r="O1398" t="inlineStr">
        <is>
          <t>AMEND</t>
        </is>
      </c>
      <c r="P1398" t="inlineStr">
        <is>
          <t>NT26081900674</t>
        </is>
      </c>
      <c r="Q1398" t="inlineStr">
        <is>
          <t>GROSS</t>
        </is>
      </c>
    </row>
    <row r="1399">
      <c r="A1399" t="inlineStr">
        <is>
          <t>794226063698</t>
        </is>
      </c>
      <c r="B1399" t="inlineStr">
        <is>
          <t>TCQ</t>
        </is>
      </c>
      <c r="C1399" t="inlineStr">
        <is>
          <t>BRMD</t>
        </is>
      </c>
      <c r="D1399" s="6" t="n">
        <v>46253</v>
      </c>
      <c r="E1399" t="inlineStr">
        <is>
          <t>CR</t>
        </is>
      </c>
      <c r="F1399" t="inlineStr">
        <is>
          <t>AED</t>
        </is>
      </c>
      <c r="G1399" s="7" t="n">
        <v>645842.312</v>
      </c>
      <c r="H1399" t="inlineStr">
        <is>
          <t>GBP</t>
        </is>
      </c>
      <c r="I1399" s="7" t="n">
        <v>137564.412</v>
      </c>
      <c r="J1399" s="8" t="n">
        <v>46253.60689814815</v>
      </c>
      <c r="K1399" t="inlineStr">
        <is>
          <t>CF260819 01393</t>
        </is>
      </c>
      <c r="L1399" t="inlineStr">
        <is>
          <t>GL.NOSTRO.AED.BRMD.006</t>
        </is>
      </c>
      <c r="M1399" t="inlineStr">
        <is>
          <t>Mallow Commercial Bank</t>
        </is>
      </c>
      <c r="N1399" t="inlineStr">
        <is>
          <t>BRMDTRSY</t>
        </is>
      </c>
      <c r="O1399" t="inlineStr">
        <is>
          <t>CANCEL</t>
        </is>
      </c>
      <c r="Q1399" t="inlineStr">
        <is>
          <t>GROSS</t>
        </is>
      </c>
    </row>
    <row r="1400">
      <c r="A1400" t="inlineStr">
        <is>
          <t>794226063698</t>
        </is>
      </c>
      <c r="B1400" t="inlineStr">
        <is>
          <t>TCC</t>
        </is>
      </c>
      <c r="C1400" t="inlineStr">
        <is>
          <t>BRMD</t>
        </is>
      </c>
      <c r="D1400" s="6" t="n">
        <v>46253</v>
      </c>
      <c r="E1400" t="inlineStr">
        <is>
          <t>CR</t>
        </is>
      </c>
      <c r="F1400" t="inlineStr">
        <is>
          <t>AED</t>
        </is>
      </c>
      <c r="G1400" s="7" t="n">
        <v>50785027.648</v>
      </c>
      <c r="H1400" t="inlineStr">
        <is>
          <t>GBP</t>
        </is>
      </c>
      <c r="I1400" s="7" t="n">
        <v>10817210.889</v>
      </c>
      <c r="J1400" s="8" t="n">
        <v>46253.36752314815</v>
      </c>
      <c r="K1400" t="inlineStr">
        <is>
          <t>CF260819 01394</t>
        </is>
      </c>
      <c r="L1400" t="inlineStr">
        <is>
          <t>GL.NOSTRO.AED.BRMD.005</t>
        </is>
      </c>
      <c r="M1400" t="inlineStr">
        <is>
          <t>Wrenfield Settlement Bank</t>
        </is>
      </c>
      <c r="N1400" t="inlineStr">
        <is>
          <t>BRMD</t>
        </is>
      </c>
      <c r="O1400" t="inlineStr">
        <is>
          <t>AMEND</t>
        </is>
      </c>
      <c r="P1400" t="inlineStr">
        <is>
          <t>NT26081900657</t>
        </is>
      </c>
      <c r="Q1400" t="inlineStr">
        <is>
          <t>GROSS</t>
        </is>
      </c>
    </row>
    <row r="1401">
      <c r="A1401" t="inlineStr">
        <is>
          <t>150316825069</t>
        </is>
      </c>
      <c r="B1401" t="inlineStr">
        <is>
          <t>TCP</t>
        </is>
      </c>
      <c r="C1401" t="inlineStr">
        <is>
          <t>BRGX</t>
        </is>
      </c>
      <c r="D1401" s="6" t="n">
        <v>46253</v>
      </c>
      <c r="E1401" t="inlineStr">
        <is>
          <t>CR</t>
        </is>
      </c>
      <c r="F1401" t="inlineStr">
        <is>
          <t>GBP</t>
        </is>
      </c>
      <c r="G1401" s="7" t="n">
        <v>146419408.011</v>
      </c>
      <c r="H1401" t="inlineStr">
        <is>
          <t>GBP</t>
        </is>
      </c>
      <c r="I1401" s="7" t="n">
        <v>146419408.011</v>
      </c>
      <c r="J1401" s="8" t="n">
        <v>46253.5546875</v>
      </c>
      <c r="K1401" t="inlineStr">
        <is>
          <t>CF260819 01395</t>
        </is>
      </c>
      <c r="L1401" t="inlineStr">
        <is>
          <t>GL.NOSTRO.GBP.BRGX.004</t>
        </is>
      </c>
      <c r="M1401" t="inlineStr">
        <is>
          <t>Zephyr Commercial Bank</t>
        </is>
      </c>
      <c r="N1401" t="inlineStr">
        <is>
          <t>BRGXMM</t>
        </is>
      </c>
      <c r="O1401" t="inlineStr">
        <is>
          <t>NEW</t>
        </is>
      </c>
      <c r="Q1401" t="inlineStr">
        <is>
          <t>NETTER</t>
        </is>
      </c>
    </row>
    <row r="1402">
      <c r="A1402" t="inlineStr">
        <is>
          <t>700726936098</t>
        </is>
      </c>
      <c r="B1402" t="inlineStr">
        <is>
          <t>TCP</t>
        </is>
      </c>
      <c r="C1402" t="inlineStr">
        <is>
          <t>BRMD</t>
        </is>
      </c>
      <c r="D1402" s="6" t="n">
        <v>46253</v>
      </c>
      <c r="E1402" t="inlineStr">
        <is>
          <t>CR</t>
        </is>
      </c>
      <c r="F1402" t="inlineStr">
        <is>
          <t>SAR</t>
        </is>
      </c>
      <c r="G1402" s="7" t="n">
        <v>11718.894</v>
      </c>
      <c r="H1402" t="inlineStr">
        <is>
          <t>GBP</t>
        </is>
      </c>
      <c r="I1402" s="7" t="n">
        <v>2449.249</v>
      </c>
      <c r="J1402" s="8" t="n">
        <v>46253.35009259259</v>
      </c>
      <c r="K1402" t="inlineStr">
        <is>
          <t>CF260819 01396</t>
        </is>
      </c>
      <c r="L1402" t="inlineStr">
        <is>
          <t>GL.NOSTRO.SAR.BRMD.002</t>
        </is>
      </c>
      <c r="M1402" t="inlineStr">
        <is>
          <t>Mallow Clearing</t>
        </is>
      </c>
      <c r="N1402" t="inlineStr">
        <is>
          <t>BRMDMM</t>
        </is>
      </c>
      <c r="O1402" t="inlineStr">
        <is>
          <t>NEW</t>
        </is>
      </c>
      <c r="Q1402" t="inlineStr">
        <is>
          <t>NETTER</t>
        </is>
      </c>
    </row>
    <row r="1403">
      <c r="A1403" t="inlineStr">
        <is>
          <t>284925023085</t>
        </is>
      </c>
      <c r="B1403" t="inlineStr">
        <is>
          <t>TCC</t>
        </is>
      </c>
      <c r="C1403" t="inlineStr">
        <is>
          <t>BRMD</t>
        </is>
      </c>
      <c r="D1403" s="6" t="n">
        <v>46253</v>
      </c>
      <c r="E1403" t="inlineStr">
        <is>
          <t>DR</t>
        </is>
      </c>
      <c r="F1403" t="inlineStr">
        <is>
          <t>MXN</t>
        </is>
      </c>
      <c r="G1403" s="7" t="n">
        <v>-416539170.242</v>
      </c>
      <c r="H1403" t="inlineStr">
        <is>
          <t>GBP</t>
        </is>
      </c>
      <c r="I1403" s="7" t="n">
        <v>-17827876.486</v>
      </c>
      <c r="J1403" s="8" t="n">
        <v>46253.29133101852</v>
      </c>
      <c r="K1403" t="inlineStr">
        <is>
          <t>CF260819 01397</t>
        </is>
      </c>
      <c r="L1403" t="inlineStr">
        <is>
          <t>GL.NOSTRO.MXN.BRMD.009</t>
        </is>
      </c>
      <c r="M1403" t="inlineStr">
        <is>
          <t>Wrenfield Commercial Bank</t>
        </is>
      </c>
      <c r="N1403" t="inlineStr">
        <is>
          <t>BRMD</t>
        </is>
      </c>
      <c r="O1403" t="inlineStr">
        <is>
          <t>NEW</t>
        </is>
      </c>
      <c r="P1403" t="inlineStr">
        <is>
          <t>NT26081900678</t>
        </is>
      </c>
      <c r="Q1403" t="inlineStr">
        <is>
          <t>NETTER</t>
        </is>
      </c>
    </row>
    <row r="1404">
      <c r="A1404" t="inlineStr">
        <is>
          <t>794226063698</t>
        </is>
      </c>
      <c r="B1404" t="inlineStr">
        <is>
          <t>TCP</t>
        </is>
      </c>
      <c r="C1404" t="inlineStr">
        <is>
          <t>BRMD</t>
        </is>
      </c>
      <c r="D1404" s="6" t="n">
        <v>46253</v>
      </c>
      <c r="E1404" t="inlineStr">
        <is>
          <t>DR</t>
        </is>
      </c>
      <c r="F1404" t="inlineStr">
        <is>
          <t>AED</t>
        </is>
      </c>
      <c r="G1404" s="7" t="n">
        <v>-239948334.533</v>
      </c>
      <c r="H1404" t="inlineStr">
        <is>
          <t>GBP</t>
        </is>
      </c>
      <c r="I1404" s="7" t="n">
        <v>-51108995.256</v>
      </c>
      <c r="J1404" s="8" t="n">
        <v>46253.3783912037</v>
      </c>
      <c r="K1404" t="inlineStr">
        <is>
          <t>CF260819 01398</t>
        </is>
      </c>
      <c r="L1404" t="inlineStr">
        <is>
          <t>GL.NOSTRO.AED.BRMD.002</t>
        </is>
      </c>
      <c r="M1404" t="inlineStr">
        <is>
          <t>Pinehurst Bank</t>
        </is>
      </c>
      <c r="N1404" t="inlineStr">
        <is>
          <t>BRMDMM</t>
        </is>
      </c>
      <c r="O1404" t="inlineStr">
        <is>
          <t>NEW</t>
        </is>
      </c>
      <c r="Q1404" t="inlineStr">
        <is>
          <t>NETTER</t>
        </is>
      </c>
    </row>
    <row r="1405">
      <c r="A1405" t="inlineStr">
        <is>
          <t>468341071172</t>
        </is>
      </c>
      <c r="B1405" t="inlineStr">
        <is>
          <t>TCP</t>
        </is>
      </c>
      <c r="C1405" t="inlineStr">
        <is>
          <t>BRCC</t>
        </is>
      </c>
      <c r="D1405" s="6" t="n">
        <v>46253</v>
      </c>
      <c r="E1405" t="inlineStr">
        <is>
          <t>DR</t>
        </is>
      </c>
      <c r="F1405" t="inlineStr">
        <is>
          <t>EUR</t>
        </is>
      </c>
      <c r="G1405" s="7" t="n">
        <v>-193475999.841</v>
      </c>
      <c r="H1405" t="inlineStr">
        <is>
          <t>GBP</t>
        </is>
      </c>
      <c r="I1405" s="7" t="n">
        <v>-166002407.864</v>
      </c>
      <c r="J1405" s="8" t="n">
        <v>46253.50454861111</v>
      </c>
      <c r="K1405" t="inlineStr">
        <is>
          <t>CF260819 01399</t>
        </is>
      </c>
      <c r="L1405" t="inlineStr">
        <is>
          <t>GL.NOSTRO.EUR.BRCC.007</t>
        </is>
      </c>
      <c r="M1405" t="inlineStr">
        <is>
          <t>Sablewood Commercial Bank</t>
        </is>
      </c>
      <c r="N1405" t="inlineStr">
        <is>
          <t>BRCCMM</t>
        </is>
      </c>
      <c r="O1405" t="inlineStr">
        <is>
          <t>NEW</t>
        </is>
      </c>
      <c r="Q1405" t="inlineStr">
        <is>
          <t>GROSS</t>
        </is>
      </c>
    </row>
    <row r="1406">
      <c r="A1406" t="inlineStr">
        <is>
          <t>794226063698</t>
        </is>
      </c>
      <c r="B1406" t="inlineStr">
        <is>
          <t>TCG</t>
        </is>
      </c>
      <c r="C1406" t="inlineStr">
        <is>
          <t>BRMD</t>
        </is>
      </c>
      <c r="D1406" s="6" t="n">
        <v>46253</v>
      </c>
      <c r="E1406" t="inlineStr">
        <is>
          <t>DR</t>
        </is>
      </c>
      <c r="F1406" t="inlineStr">
        <is>
          <t>AED</t>
        </is>
      </c>
      <c r="G1406" s="7" t="n">
        <v>-13762.834</v>
      </c>
      <c r="H1406" t="inlineStr">
        <is>
          <t>GBP</t>
        </is>
      </c>
      <c r="I1406" s="7" t="n">
        <v>-2931.484</v>
      </c>
      <c r="J1406" s="8" t="n">
        <v>46253.63888888889</v>
      </c>
      <c r="K1406" t="inlineStr">
        <is>
          <t>CF260819 01400</t>
        </is>
      </c>
      <c r="L1406" t="inlineStr">
        <is>
          <t>GL.NOSTRO.AED.BRMD.001</t>
        </is>
      </c>
      <c r="M1406" t="inlineStr">
        <is>
          <t>Granite Clearing</t>
        </is>
      </c>
      <c r="N1406" t="inlineStr">
        <is>
          <t>BRMDMM</t>
        </is>
      </c>
      <c r="O1406" t="inlineStr">
        <is>
          <t>NEW</t>
        </is>
      </c>
      <c r="Q1406" t="inlineStr">
        <is>
          <t>NETTER</t>
        </is>
      </c>
    </row>
    <row r="1407">
      <c r="A1407" t="inlineStr">
        <is>
          <t>150316825069</t>
        </is>
      </c>
      <c r="B1407" t="inlineStr">
        <is>
          <t>TCC</t>
        </is>
      </c>
      <c r="C1407" t="inlineStr">
        <is>
          <t>BRGX</t>
        </is>
      </c>
      <c r="D1407" s="6" t="n">
        <v>46253</v>
      </c>
      <c r="E1407" t="inlineStr">
        <is>
          <t>DR</t>
        </is>
      </c>
      <c r="F1407" t="inlineStr">
        <is>
          <t>GBP</t>
        </is>
      </c>
      <c r="G1407" s="7" t="n">
        <v>-38703961.368</v>
      </c>
      <c r="H1407" t="inlineStr">
        <is>
          <t>GBP</t>
        </is>
      </c>
      <c r="I1407" s="7" t="n">
        <v>-38703961.368</v>
      </c>
      <c r="J1407" s="8" t="n">
        <v>46253.48364583333</v>
      </c>
      <c r="K1407" t="inlineStr">
        <is>
          <t>CF260819 01401</t>
        </is>
      </c>
      <c r="L1407" t="inlineStr">
        <is>
          <t>GL.NOSTRO.GBP.BRGX.001</t>
        </is>
      </c>
      <c r="M1407" t="inlineStr">
        <is>
          <t>Pinehurst Bank</t>
        </is>
      </c>
      <c r="N1407" t="inlineStr">
        <is>
          <t>BRGX</t>
        </is>
      </c>
      <c r="O1407" t="inlineStr">
        <is>
          <t>NEW</t>
        </is>
      </c>
      <c r="P1407" t="inlineStr">
        <is>
          <t>NT26081900658</t>
        </is>
      </c>
      <c r="Q1407" t="inlineStr">
        <is>
          <t>NETTER</t>
        </is>
      </c>
    </row>
    <row r="1408">
      <c r="A1408" t="inlineStr">
        <is>
          <t>700726936098</t>
        </is>
      </c>
      <c r="B1408" t="inlineStr">
        <is>
          <t>TCG</t>
        </is>
      </c>
      <c r="C1408" t="inlineStr">
        <is>
          <t>BRMD</t>
        </is>
      </c>
      <c r="D1408" s="6" t="n">
        <v>46253</v>
      </c>
      <c r="E1408" t="inlineStr">
        <is>
          <t>DR</t>
        </is>
      </c>
      <c r="F1408" t="inlineStr">
        <is>
          <t>SAR</t>
        </is>
      </c>
      <c r="G1408" s="7" t="n">
        <v>-450559.165</v>
      </c>
      <c r="H1408" t="inlineStr">
        <is>
          <t>GBP</t>
        </is>
      </c>
      <c r="I1408" s="7" t="n">
        <v>-94166.86500000001</v>
      </c>
      <c r="J1408" s="8" t="n">
        <v>46253.60891203704</v>
      </c>
      <c r="K1408" t="inlineStr">
        <is>
          <t>CF260819 01402</t>
        </is>
      </c>
      <c r="L1408" t="inlineStr">
        <is>
          <t>GL.NOSTRO.SAR.BRMD.008</t>
        </is>
      </c>
      <c r="M1408" t="inlineStr">
        <is>
          <t>Ironbark Trust</t>
        </is>
      </c>
      <c r="N1408" t="inlineStr">
        <is>
          <t>BRMDTRSY</t>
        </is>
      </c>
      <c r="O1408" t="inlineStr">
        <is>
          <t>NEW</t>
        </is>
      </c>
      <c r="Q1408" t="inlineStr">
        <is>
          <t>NETTER</t>
        </is>
      </c>
    </row>
    <row r="1409">
      <c r="A1409" t="inlineStr">
        <is>
          <t>898317028833</t>
        </is>
      </c>
      <c r="B1409" t="inlineStr">
        <is>
          <t>TCQ</t>
        </is>
      </c>
      <c r="C1409" t="inlineStr">
        <is>
          <t>BRAA</t>
        </is>
      </c>
      <c r="D1409" s="6" t="n">
        <v>46253</v>
      </c>
      <c r="E1409" t="inlineStr">
        <is>
          <t>CR</t>
        </is>
      </c>
      <c r="F1409" t="inlineStr">
        <is>
          <t>GBP</t>
        </is>
      </c>
      <c r="G1409" s="7" t="n">
        <v>29790755.751</v>
      </c>
      <c r="H1409" t="inlineStr">
        <is>
          <t>GBP</t>
        </is>
      </c>
      <c r="I1409" s="7" t="n">
        <v>29790755.751</v>
      </c>
      <c r="J1409" s="8" t="n">
        <v>46253.74417824074</v>
      </c>
      <c r="K1409" t="inlineStr">
        <is>
          <t>CF260819 01403</t>
        </is>
      </c>
      <c r="L1409" t="inlineStr">
        <is>
          <t>GL.NOSTRO.GBP.BRAA.006</t>
        </is>
      </c>
      <c r="M1409" t="inlineStr">
        <is>
          <t>Mallow Clearing</t>
        </is>
      </c>
      <c r="N1409" t="inlineStr">
        <is>
          <t>BRAACASH</t>
        </is>
      </c>
      <c r="O1409" t="inlineStr">
        <is>
          <t>NEW</t>
        </is>
      </c>
      <c r="P1409" t="inlineStr">
        <is>
          <t>NT26081900688</t>
        </is>
      </c>
      <c r="Q1409" t="inlineStr">
        <is>
          <t>INTERNAL</t>
        </is>
      </c>
    </row>
    <row r="1410">
      <c r="A1410" t="inlineStr">
        <is>
          <t>150316825069</t>
        </is>
      </c>
      <c r="B1410" t="inlineStr">
        <is>
          <t>TCQ</t>
        </is>
      </c>
      <c r="C1410" t="inlineStr">
        <is>
          <t>BRGX</t>
        </is>
      </c>
      <c r="D1410" s="6" t="n">
        <v>46253</v>
      </c>
      <c r="E1410" t="inlineStr">
        <is>
          <t>CR</t>
        </is>
      </c>
      <c r="F1410" t="inlineStr">
        <is>
          <t>GBP</t>
        </is>
      </c>
      <c r="G1410" s="7" t="n">
        <v>135002.652</v>
      </c>
      <c r="H1410" t="inlineStr">
        <is>
          <t>GBP</t>
        </is>
      </c>
      <c r="I1410" s="7" t="n">
        <v>135002.652</v>
      </c>
      <c r="J1410" s="8" t="n">
        <v>46253.44938657407</v>
      </c>
      <c r="K1410" t="inlineStr">
        <is>
          <t>CF260819 01404</t>
        </is>
      </c>
      <c r="L1410" t="inlineStr">
        <is>
          <t>GL.NOSTRO.GBP.BRGX.007</t>
        </is>
      </c>
      <c r="M1410" t="inlineStr">
        <is>
          <t>Vetchling Settlement Bank</t>
        </is>
      </c>
      <c r="N1410" t="inlineStr">
        <is>
          <t>BRGXTRSY</t>
        </is>
      </c>
      <c r="O1410" t="inlineStr">
        <is>
          <t>NEW</t>
        </is>
      </c>
      <c r="P1410" t="inlineStr">
        <is>
          <t>NT26081900670</t>
        </is>
      </c>
      <c r="Q1410" t="inlineStr">
        <is>
          <t>GROSS</t>
        </is>
      </c>
    </row>
    <row r="1411">
      <c r="A1411" t="inlineStr">
        <is>
          <t>824840705580</t>
        </is>
      </c>
      <c r="B1411" t="inlineStr">
        <is>
          <t>TCP</t>
        </is>
      </c>
      <c r="C1411" t="inlineStr">
        <is>
          <t>BRGL</t>
        </is>
      </c>
      <c r="D1411" s="6" t="n">
        <v>46253</v>
      </c>
      <c r="E1411" t="inlineStr">
        <is>
          <t>CR</t>
        </is>
      </c>
      <c r="F1411" t="inlineStr">
        <is>
          <t>EUR</t>
        </is>
      </c>
      <c r="G1411" s="7" t="n">
        <v>8753992.256999999</v>
      </c>
      <c r="H1411" t="inlineStr">
        <is>
          <t>GBP</t>
        </is>
      </c>
      <c r="I1411" s="7" t="n">
        <v>7510925.357</v>
      </c>
      <c r="J1411" s="8" t="n">
        <v>46253.37421296296</v>
      </c>
      <c r="K1411" t="inlineStr">
        <is>
          <t>CF260819 01405</t>
        </is>
      </c>
      <c r="L1411" t="inlineStr">
        <is>
          <t>GL.NOSTRO.EUR.BRGL.004</t>
        </is>
      </c>
      <c r="M1411" t="inlineStr">
        <is>
          <t>Yarrow Clearing</t>
        </is>
      </c>
      <c r="N1411" t="inlineStr">
        <is>
          <t>BRGLTRSY</t>
        </is>
      </c>
      <c r="O1411" t="inlineStr">
        <is>
          <t>AMEND</t>
        </is>
      </c>
      <c r="Q1411" t="inlineStr">
        <is>
          <t>GROSS</t>
        </is>
      </c>
    </row>
    <row r="1412">
      <c r="A1412" t="inlineStr">
        <is>
          <t>898317028833</t>
        </is>
      </c>
      <c r="B1412" t="inlineStr">
        <is>
          <t>TCP</t>
        </is>
      </c>
      <c r="C1412" t="inlineStr">
        <is>
          <t>BRAA</t>
        </is>
      </c>
      <c r="D1412" s="6" t="n">
        <v>46253</v>
      </c>
      <c r="E1412" t="inlineStr">
        <is>
          <t>DR</t>
        </is>
      </c>
      <c r="F1412" t="inlineStr">
        <is>
          <t>GBP</t>
        </is>
      </c>
      <c r="G1412" s="7" t="n">
        <v>-5973941.254</v>
      </c>
      <c r="H1412" t="inlineStr">
        <is>
          <t>GBP</t>
        </is>
      </c>
      <c r="I1412" s="7" t="n">
        <v>-5973941.254</v>
      </c>
      <c r="J1412" s="8" t="n">
        <v>46253.46737268518</v>
      </c>
      <c r="K1412" t="inlineStr">
        <is>
          <t>CF260819 01406</t>
        </is>
      </c>
      <c r="L1412" t="inlineStr">
        <is>
          <t>GL.NOSTRO.GBP.BRAA.006</t>
        </is>
      </c>
      <c r="M1412" t="inlineStr">
        <is>
          <t>Dunlin Trust</t>
        </is>
      </c>
      <c r="N1412" t="inlineStr">
        <is>
          <t>BRAATRSY</t>
        </is>
      </c>
      <c r="O1412" t="inlineStr">
        <is>
          <t>NEW</t>
        </is>
      </c>
      <c r="P1412" t="inlineStr">
        <is>
          <t>NT26081900679</t>
        </is>
      </c>
      <c r="Q1412" t="inlineStr">
        <is>
          <t>INTERNAL</t>
        </is>
      </c>
    </row>
    <row r="1413">
      <c r="A1413" t="inlineStr">
        <is>
          <t>150316825069</t>
        </is>
      </c>
      <c r="B1413" t="inlineStr">
        <is>
          <t>TCX</t>
        </is>
      </c>
      <c r="C1413" t="inlineStr">
        <is>
          <t>BRGX</t>
        </is>
      </c>
      <c r="D1413" s="6" t="n">
        <v>46253</v>
      </c>
      <c r="E1413" t="inlineStr">
        <is>
          <t>DR</t>
        </is>
      </c>
      <c r="F1413" t="inlineStr">
        <is>
          <t>GBP</t>
        </is>
      </c>
      <c r="G1413" s="7" t="n">
        <v>-331292.284</v>
      </c>
      <c r="H1413" t="inlineStr">
        <is>
          <t>GBP</t>
        </is>
      </c>
      <c r="I1413" s="7" t="n">
        <v>-331292.284</v>
      </c>
      <c r="J1413" s="8" t="n">
        <v>46253.41268518518</v>
      </c>
      <c r="K1413" t="inlineStr">
        <is>
          <t>CF260819 01407</t>
        </is>
      </c>
      <c r="L1413" t="inlineStr">
        <is>
          <t>GL.NOSTRO.GBP.BRGX.005</t>
        </is>
      </c>
      <c r="M1413" t="inlineStr">
        <is>
          <t>Alder Clearing</t>
        </is>
      </c>
      <c r="N1413" t="inlineStr">
        <is>
          <t>BRGXCASH</t>
        </is>
      </c>
      <c r="O1413" t="inlineStr">
        <is>
          <t>AMEND</t>
        </is>
      </c>
      <c r="P1413" t="inlineStr">
        <is>
          <t>NT26081900672</t>
        </is>
      </c>
      <c r="Q1413" t="inlineStr">
        <is>
          <t>NETTER</t>
        </is>
      </c>
    </row>
    <row r="1414">
      <c r="A1414" t="inlineStr">
        <is>
          <t>150316825069</t>
        </is>
      </c>
      <c r="B1414" t="inlineStr">
        <is>
          <t>TCX</t>
        </is>
      </c>
      <c r="C1414" t="inlineStr">
        <is>
          <t>BRGX</t>
        </is>
      </c>
      <c r="D1414" s="6" t="n">
        <v>46253</v>
      </c>
      <c r="E1414" t="inlineStr">
        <is>
          <t>CR</t>
        </is>
      </c>
      <c r="F1414" t="inlineStr">
        <is>
          <t>GBP</t>
        </is>
      </c>
      <c r="G1414" s="7" t="n">
        <v>3421.459</v>
      </c>
      <c r="H1414" t="inlineStr">
        <is>
          <t>GBP</t>
        </is>
      </c>
      <c r="I1414" s="7" t="n">
        <v>3421.459</v>
      </c>
      <c r="J1414" s="8" t="n">
        <v>46253.49211805555</v>
      </c>
      <c r="K1414" t="inlineStr">
        <is>
          <t>CF260819 01408</t>
        </is>
      </c>
      <c r="L1414" t="inlineStr">
        <is>
          <t>GL.NOSTRO.GBP.BRGX.005</t>
        </is>
      </c>
      <c r="M1414" t="inlineStr">
        <is>
          <t>Vetchling Commercial Bank</t>
        </is>
      </c>
      <c r="N1414" t="inlineStr">
        <is>
          <t>BRGX</t>
        </is>
      </c>
      <c r="O1414" t="inlineStr">
        <is>
          <t>NEW</t>
        </is>
      </c>
      <c r="Q1414" t="inlineStr">
        <is>
          <t>NETTER</t>
        </is>
      </c>
    </row>
    <row r="1415">
      <c r="A1415" t="inlineStr">
        <is>
          <t>910703979141</t>
        </is>
      </c>
      <c r="B1415" t="inlineStr">
        <is>
          <t>TCC</t>
        </is>
      </c>
      <c r="C1415" t="inlineStr">
        <is>
          <t>BRCC</t>
        </is>
      </c>
      <c r="D1415" s="6" t="n">
        <v>46253</v>
      </c>
      <c r="E1415" t="inlineStr">
        <is>
          <t>CR</t>
        </is>
      </c>
      <c r="F1415" t="inlineStr">
        <is>
          <t>CHF</t>
        </is>
      </c>
      <c r="G1415" s="7" t="n">
        <v>29638650.61</v>
      </c>
      <c r="H1415" t="inlineStr">
        <is>
          <t>GBP</t>
        </is>
      </c>
      <c r="I1415" s="7" t="n">
        <v>26585869.597</v>
      </c>
      <c r="J1415" s="8" t="n">
        <v>46253.33041666666</v>
      </c>
      <c r="K1415" t="inlineStr">
        <is>
          <t>CF260819 01409</t>
        </is>
      </c>
      <c r="L1415" t="inlineStr">
        <is>
          <t>GL.NOSTRO.CHF.BRCC.009</t>
        </is>
      </c>
      <c r="M1415" t="inlineStr">
        <is>
          <t>Elmwood Bank</t>
        </is>
      </c>
      <c r="N1415" t="inlineStr">
        <is>
          <t>BRCCMM</t>
        </is>
      </c>
      <c r="O1415" t="inlineStr">
        <is>
          <t>NEW</t>
        </is>
      </c>
      <c r="P1415" t="inlineStr">
        <is>
          <t>NT26081900668</t>
        </is>
      </c>
      <c r="Q1415" t="inlineStr">
        <is>
          <t>NETTER</t>
        </is>
      </c>
    </row>
    <row r="1416">
      <c r="A1416" t="inlineStr">
        <is>
          <t>968942362772</t>
        </is>
      </c>
      <c r="B1416" t="inlineStr">
        <is>
          <t>TCX</t>
        </is>
      </c>
      <c r="C1416" t="inlineStr">
        <is>
          <t>BRYG</t>
        </is>
      </c>
      <c r="D1416" s="6" t="n">
        <v>46253</v>
      </c>
      <c r="E1416" t="inlineStr">
        <is>
          <t>CR</t>
        </is>
      </c>
      <c r="F1416" t="inlineStr">
        <is>
          <t>EUR</t>
        </is>
      </c>
      <c r="G1416" s="7" t="n">
        <v>120034458.142</v>
      </c>
      <c r="H1416" t="inlineStr">
        <is>
          <t>GBP</t>
        </is>
      </c>
      <c r="I1416" s="7" t="n">
        <v>102989565.086</v>
      </c>
      <c r="J1416" s="8" t="n">
        <v>46253.49387731482</v>
      </c>
      <c r="K1416" t="inlineStr">
        <is>
          <t>CF260819 01410</t>
        </is>
      </c>
      <c r="L1416" t="inlineStr">
        <is>
          <t>GL.NOSTRO.EUR.BRYG.006</t>
        </is>
      </c>
      <c r="M1416" t="inlineStr">
        <is>
          <t>Vetchling Bank</t>
        </is>
      </c>
      <c r="N1416" t="inlineStr">
        <is>
          <t>BRYGCASH</t>
        </is>
      </c>
      <c r="O1416" t="inlineStr">
        <is>
          <t>NEW</t>
        </is>
      </c>
      <c r="P1416" t="inlineStr">
        <is>
          <t>NT26081900661</t>
        </is>
      </c>
      <c r="Q1416" t="inlineStr">
        <is>
          <t>NETTER</t>
        </is>
      </c>
    </row>
    <row r="1417">
      <c r="A1417" t="inlineStr">
        <is>
          <t>132544340094</t>
        </is>
      </c>
      <c r="B1417" t="inlineStr">
        <is>
          <t>TCG</t>
        </is>
      </c>
      <c r="C1417" t="inlineStr">
        <is>
          <t>BRYG</t>
        </is>
      </c>
      <c r="D1417" s="6" t="n">
        <v>46253</v>
      </c>
      <c r="E1417" t="inlineStr">
        <is>
          <t>DR</t>
        </is>
      </c>
      <c r="F1417" t="inlineStr">
        <is>
          <t>CZK</t>
        </is>
      </c>
      <c r="G1417" s="7" t="n">
        <v>-107684361.489</v>
      </c>
      <c r="H1417" t="inlineStr">
        <is>
          <t>GBP</t>
        </is>
      </c>
      <c r="I1417" s="7" t="n">
        <v>-3650499.854</v>
      </c>
      <c r="J1417" s="8" t="n">
        <v>46253.69748842593</v>
      </c>
      <c r="K1417" t="inlineStr">
        <is>
          <t>CF260819 01411</t>
        </is>
      </c>
      <c r="L1417" t="inlineStr">
        <is>
          <t>GL.NOSTRO.CZK.BRYG.004</t>
        </is>
      </c>
      <c r="M1417" t="inlineStr">
        <is>
          <t>Umberton Clearing</t>
        </is>
      </c>
      <c r="N1417" t="inlineStr">
        <is>
          <t>BRYGMM</t>
        </is>
      </c>
      <c r="O1417" t="inlineStr">
        <is>
          <t>CANCEL</t>
        </is>
      </c>
      <c r="P1417" t="inlineStr">
        <is>
          <t>NT26081900684</t>
        </is>
      </c>
      <c r="Q1417" t="inlineStr">
        <is>
          <t>NETTER</t>
        </is>
      </c>
    </row>
    <row r="1418">
      <c r="A1418" t="inlineStr">
        <is>
          <t>910703979141</t>
        </is>
      </c>
      <c r="B1418" t="inlineStr">
        <is>
          <t>TCQ</t>
        </is>
      </c>
      <c r="C1418" t="inlineStr">
        <is>
          <t>BRCC</t>
        </is>
      </c>
      <c r="D1418" s="6" t="n">
        <v>46253</v>
      </c>
      <c r="E1418" t="inlineStr">
        <is>
          <t>DR</t>
        </is>
      </c>
      <c r="F1418" t="inlineStr">
        <is>
          <t>CHF</t>
        </is>
      </c>
      <c r="G1418" s="7" t="n">
        <v>-39335086.5</v>
      </c>
      <c r="H1418" t="inlineStr">
        <is>
          <t>GBP</t>
        </is>
      </c>
      <c r="I1418" s="7" t="n">
        <v>-35283572.59</v>
      </c>
      <c r="J1418" s="8" t="n">
        <v>46253.33730324074</v>
      </c>
      <c r="K1418" t="inlineStr">
        <is>
          <t>CF260819 01412</t>
        </is>
      </c>
      <c r="L1418" t="inlineStr">
        <is>
          <t>GL.NOSTRO.CHF.BRCC.006</t>
        </is>
      </c>
      <c r="M1418" t="inlineStr">
        <is>
          <t>Umberton Clearing</t>
        </is>
      </c>
      <c r="N1418" t="inlineStr">
        <is>
          <t>BRCCTRSY</t>
        </is>
      </c>
      <c r="O1418" t="inlineStr">
        <is>
          <t>NEW</t>
        </is>
      </c>
      <c r="Q1418" t="inlineStr">
        <is>
          <t>NETTER</t>
        </is>
      </c>
    </row>
    <row r="1419">
      <c r="A1419" t="inlineStr">
        <is>
          <t>794226063698</t>
        </is>
      </c>
      <c r="B1419" t="inlineStr">
        <is>
          <t>TCG</t>
        </is>
      </c>
      <c r="C1419" t="inlineStr">
        <is>
          <t>BRMD</t>
        </is>
      </c>
      <c r="D1419" s="6" t="n">
        <v>46253</v>
      </c>
      <c r="E1419" t="inlineStr">
        <is>
          <t>CR</t>
        </is>
      </c>
      <c r="F1419" t="inlineStr">
        <is>
          <t>AED</t>
        </is>
      </c>
      <c r="G1419" s="7" t="n">
        <v>4685209.229</v>
      </c>
      <c r="H1419" t="inlineStr">
        <is>
          <t>GBP</t>
        </is>
      </c>
      <c r="I1419" s="7" t="n">
        <v>997949.566</v>
      </c>
      <c r="J1419" s="8" t="n">
        <v>46253.5675</v>
      </c>
      <c r="K1419" t="inlineStr">
        <is>
          <t>CF260819 01413</t>
        </is>
      </c>
      <c r="L1419" t="inlineStr">
        <is>
          <t>GL.NOSTRO.AED.BRMD.009</t>
        </is>
      </c>
      <c r="M1419" t="inlineStr">
        <is>
          <t>Pinehurst Bank</t>
        </is>
      </c>
      <c r="N1419" t="inlineStr">
        <is>
          <t>BRMDCASH</t>
        </is>
      </c>
      <c r="O1419" t="inlineStr">
        <is>
          <t>NEW</t>
        </is>
      </c>
      <c r="Q1419" t="inlineStr">
        <is>
          <t>NETTER</t>
        </is>
      </c>
    </row>
    <row r="1420">
      <c r="A1420" t="inlineStr">
        <is>
          <t>726928343448</t>
        </is>
      </c>
      <c r="B1420" t="inlineStr">
        <is>
          <t>TCQ</t>
        </is>
      </c>
      <c r="C1420" t="inlineStr">
        <is>
          <t>BRGX</t>
        </is>
      </c>
      <c r="D1420" s="6" t="n">
        <v>46253</v>
      </c>
      <c r="E1420" t="inlineStr">
        <is>
          <t>DR</t>
        </is>
      </c>
      <c r="F1420" t="inlineStr">
        <is>
          <t>EUR</t>
        </is>
      </c>
      <c r="G1420" s="7" t="n">
        <v>-3448889073.283</v>
      </c>
      <c r="H1420" t="inlineStr">
        <is>
          <t>GBP</t>
        </is>
      </c>
      <c r="I1420" s="7" t="n">
        <v>-2959146824.877</v>
      </c>
      <c r="J1420" s="8" t="n">
        <v>46253.39328703703</v>
      </c>
      <c r="K1420" t="inlineStr">
        <is>
          <t>CF260819 01414</t>
        </is>
      </c>
      <c r="L1420" t="inlineStr">
        <is>
          <t>GL.NOSTRO.EUR.BRGX.005</t>
        </is>
      </c>
      <c r="M1420" t="inlineStr">
        <is>
          <t>Zephyr Commercial Bank</t>
        </is>
      </c>
      <c r="N1420" t="inlineStr">
        <is>
          <t>BRGXTRSY</t>
        </is>
      </c>
      <c r="O1420" t="inlineStr">
        <is>
          <t>NEW</t>
        </is>
      </c>
      <c r="P1420" t="inlineStr">
        <is>
          <t>NT26081900687</t>
        </is>
      </c>
      <c r="Q1420" t="inlineStr">
        <is>
          <t>NETTER</t>
        </is>
      </c>
    </row>
    <row r="1421">
      <c r="A1421" t="inlineStr">
        <is>
          <t>120047354818</t>
        </is>
      </c>
      <c r="B1421" t="inlineStr">
        <is>
          <t>TCP</t>
        </is>
      </c>
      <c r="C1421" t="inlineStr">
        <is>
          <t>BRNK</t>
        </is>
      </c>
      <c r="D1421" s="6" t="n">
        <v>46253</v>
      </c>
      <c r="E1421" t="inlineStr">
        <is>
          <t>CR</t>
        </is>
      </c>
      <c r="F1421" t="inlineStr">
        <is>
          <t>USD</t>
        </is>
      </c>
      <c r="G1421" s="7" t="n">
        <v>11337982.477</v>
      </c>
      <c r="H1421" t="inlineStr">
        <is>
          <t>GBP</t>
        </is>
      </c>
      <c r="I1421" s="7" t="n">
        <v>8888978.262</v>
      </c>
      <c r="J1421" s="8" t="n">
        <v>46253.28826388889</v>
      </c>
      <c r="K1421" t="inlineStr">
        <is>
          <t>CF260819 01415</t>
        </is>
      </c>
      <c r="L1421" t="inlineStr">
        <is>
          <t>GL.NOSTRO.USD.BRNK.007</t>
        </is>
      </c>
      <c r="M1421" t="inlineStr">
        <is>
          <t>Redstart Trust</t>
        </is>
      </c>
      <c r="N1421" t="inlineStr">
        <is>
          <t>BRNK</t>
        </is>
      </c>
      <c r="O1421" t="inlineStr">
        <is>
          <t>NEW</t>
        </is>
      </c>
      <c r="P1421" t="inlineStr">
        <is>
          <t>NT26081900684</t>
        </is>
      </c>
      <c r="Q1421" t="inlineStr">
        <is>
          <t>NETTER</t>
        </is>
      </c>
    </row>
    <row r="1422">
      <c r="A1422" t="inlineStr">
        <is>
          <t>468341071172</t>
        </is>
      </c>
      <c r="B1422" t="inlineStr">
        <is>
          <t>TCP</t>
        </is>
      </c>
      <c r="C1422" t="inlineStr">
        <is>
          <t>BRCC</t>
        </is>
      </c>
      <c r="D1422" s="6" t="n">
        <v>46253</v>
      </c>
      <c r="E1422" t="inlineStr">
        <is>
          <t>DR</t>
        </is>
      </c>
      <c r="F1422" t="inlineStr">
        <is>
          <t>EUR</t>
        </is>
      </c>
      <c r="G1422" s="7" t="n">
        <v>-94016311.873</v>
      </c>
      <c r="H1422" t="inlineStr">
        <is>
          <t>GBP</t>
        </is>
      </c>
      <c r="I1422" s="7" t="n">
        <v>-80665995.587</v>
      </c>
      <c r="J1422" s="8" t="n">
        <v>46253.4030787037</v>
      </c>
      <c r="K1422" t="inlineStr">
        <is>
          <t>CF260819 01416</t>
        </is>
      </c>
      <c r="L1422" t="inlineStr">
        <is>
          <t>GL.NOSTRO.EUR.BRCC.005</t>
        </is>
      </c>
      <c r="M1422" t="inlineStr">
        <is>
          <t>Zephyr Bank</t>
        </is>
      </c>
      <c r="N1422" t="inlineStr">
        <is>
          <t>BRCCMM</t>
        </is>
      </c>
      <c r="O1422" t="inlineStr">
        <is>
          <t>NEW</t>
        </is>
      </c>
      <c r="P1422" t="inlineStr">
        <is>
          <t>NT26081900693</t>
        </is>
      </c>
      <c r="Q1422" t="inlineStr">
        <is>
          <t>GROSS</t>
        </is>
      </c>
    </row>
    <row r="1423">
      <c r="A1423" t="inlineStr">
        <is>
          <t>150316825069</t>
        </is>
      </c>
      <c r="B1423" t="inlineStr">
        <is>
          <t>TCC</t>
        </is>
      </c>
      <c r="C1423" t="inlineStr">
        <is>
          <t>BRGX</t>
        </is>
      </c>
      <c r="D1423" s="6" t="n">
        <v>46253</v>
      </c>
      <c r="E1423" t="inlineStr">
        <is>
          <t>CR</t>
        </is>
      </c>
      <c r="F1423" t="inlineStr">
        <is>
          <t>GBP</t>
        </is>
      </c>
      <c r="G1423" s="7" t="n">
        <v>1105099.029</v>
      </c>
      <c r="H1423" t="inlineStr">
        <is>
          <t>GBP</t>
        </is>
      </c>
      <c r="I1423" s="7" t="n">
        <v>1105099.029</v>
      </c>
      <c r="J1423" s="8" t="n">
        <v>46253.59078703704</v>
      </c>
      <c r="K1423" t="inlineStr">
        <is>
          <t>CF260819 01417</t>
        </is>
      </c>
      <c r="L1423" t="inlineStr">
        <is>
          <t>GL.NOSTRO.GBP.BRGX.005</t>
        </is>
      </c>
      <c r="M1423" t="inlineStr">
        <is>
          <t>Pinehurst Bank</t>
        </is>
      </c>
      <c r="N1423" t="inlineStr">
        <is>
          <t>BRGXTRSY</t>
        </is>
      </c>
      <c r="O1423" t="inlineStr">
        <is>
          <t>NEW</t>
        </is>
      </c>
      <c r="Q1423" t="inlineStr">
        <is>
          <t>NETTER</t>
        </is>
      </c>
    </row>
    <row r="1424">
      <c r="A1424" t="inlineStr">
        <is>
          <t>150316825069</t>
        </is>
      </c>
      <c r="B1424" t="inlineStr">
        <is>
          <t>TCP</t>
        </is>
      </c>
      <c r="C1424" t="inlineStr">
        <is>
          <t>BRGX</t>
        </is>
      </c>
      <c r="D1424" s="6" t="n">
        <v>46253</v>
      </c>
      <c r="E1424" t="inlineStr">
        <is>
          <t>DR</t>
        </is>
      </c>
      <c r="F1424" t="inlineStr">
        <is>
          <t>GBP</t>
        </is>
      </c>
      <c r="G1424" s="7" t="n">
        <v>-851715.056</v>
      </c>
      <c r="H1424" t="inlineStr">
        <is>
          <t>GBP</t>
        </is>
      </c>
      <c r="I1424" s="7" t="n">
        <v>-851715.056</v>
      </c>
      <c r="J1424" s="8" t="n">
        <v>46253.31925925926</v>
      </c>
      <c r="K1424" t="inlineStr">
        <is>
          <t>CF260819 01418</t>
        </is>
      </c>
      <c r="L1424" t="inlineStr">
        <is>
          <t>GL.NOSTRO.GBP.BRGX.002</t>
        </is>
      </c>
      <c r="M1424" t="inlineStr">
        <is>
          <t>Cedar Commercial Bank</t>
        </is>
      </c>
      <c r="N1424" t="inlineStr">
        <is>
          <t>BRGX</t>
        </is>
      </c>
      <c r="O1424" t="inlineStr">
        <is>
          <t>NEW</t>
        </is>
      </c>
      <c r="Q1424" t="inlineStr">
        <is>
          <t>NETTER</t>
        </is>
      </c>
    </row>
    <row r="1425">
      <c r="A1425" t="inlineStr">
        <is>
          <t>113829985108</t>
        </is>
      </c>
      <c r="B1425" t="inlineStr">
        <is>
          <t>TCX</t>
        </is>
      </c>
      <c r="C1425" t="inlineStr">
        <is>
          <t>BRGL</t>
        </is>
      </c>
      <c r="D1425" s="6" t="n">
        <v>46253</v>
      </c>
      <c r="E1425" t="inlineStr">
        <is>
          <t>DR</t>
        </is>
      </c>
      <c r="F1425" t="inlineStr">
        <is>
          <t>EUR</t>
        </is>
      </c>
      <c r="G1425" s="7" t="n">
        <v>-140836955.077</v>
      </c>
      <c r="H1425" t="inlineStr">
        <is>
          <t>GBP</t>
        </is>
      </c>
      <c r="I1425" s="7" t="n">
        <v>-120838107.456</v>
      </c>
      <c r="J1425" s="8" t="n">
        <v>46253.31622685185</v>
      </c>
      <c r="K1425" t="inlineStr">
        <is>
          <t>CF260819 01419</t>
        </is>
      </c>
      <c r="L1425" t="inlineStr">
        <is>
          <t>GL.NOSTRO.EUR.BRGL.004</t>
        </is>
      </c>
      <c r="M1425" t="inlineStr">
        <is>
          <t>Pinehurst Bank</t>
        </is>
      </c>
      <c r="N1425" t="inlineStr">
        <is>
          <t>BRGLCASH</t>
        </is>
      </c>
      <c r="O1425" t="inlineStr">
        <is>
          <t>NEW</t>
        </is>
      </c>
      <c r="P1425" t="inlineStr">
        <is>
          <t>NT26081900665</t>
        </is>
      </c>
      <c r="Q1425" t="inlineStr">
        <is>
          <t>INTERNAL</t>
        </is>
      </c>
    </row>
    <row r="1426">
      <c r="A1426" t="inlineStr">
        <is>
          <t>910703979141</t>
        </is>
      </c>
      <c r="B1426" t="inlineStr">
        <is>
          <t>TCC</t>
        </is>
      </c>
      <c r="C1426" t="inlineStr">
        <is>
          <t>BRCC</t>
        </is>
      </c>
      <c r="D1426" s="6" t="n">
        <v>46253</v>
      </c>
      <c r="E1426" t="inlineStr">
        <is>
          <t>DR</t>
        </is>
      </c>
      <c r="F1426" t="inlineStr">
        <is>
          <t>CHF</t>
        </is>
      </c>
      <c r="G1426" s="7" t="n">
        <v>-42577126.338</v>
      </c>
      <c r="H1426" t="inlineStr">
        <is>
          <t>GBP</t>
        </is>
      </c>
      <c r="I1426" s="7" t="n">
        <v>-38191682.325</v>
      </c>
      <c r="J1426" s="8" t="n">
        <v>46253.11924768519</v>
      </c>
      <c r="K1426" t="inlineStr">
        <is>
          <t>CF260819 01420</t>
        </is>
      </c>
      <c r="L1426" t="inlineStr">
        <is>
          <t>GL.NOSTRO.CHF.BRCC.003</t>
        </is>
      </c>
      <c r="M1426" t="inlineStr">
        <is>
          <t>Sablewood Settlement Bank</t>
        </is>
      </c>
      <c r="N1426" t="inlineStr">
        <is>
          <t>BRCCTRSY</t>
        </is>
      </c>
      <c r="O1426" t="inlineStr">
        <is>
          <t>NEW</t>
        </is>
      </c>
      <c r="P1426" t="inlineStr">
        <is>
          <t>NT26081900662</t>
        </is>
      </c>
      <c r="Q1426" t="inlineStr">
        <is>
          <t>GROSS</t>
        </is>
      </c>
    </row>
    <row r="1427">
      <c r="A1427" t="inlineStr">
        <is>
          <t>468341071172</t>
        </is>
      </c>
      <c r="B1427" t="inlineStr">
        <is>
          <t>TCX</t>
        </is>
      </c>
      <c r="C1427" t="inlineStr">
        <is>
          <t>BRCC</t>
        </is>
      </c>
      <c r="D1427" s="6" t="n">
        <v>46253</v>
      </c>
      <c r="E1427" t="inlineStr">
        <is>
          <t>CR</t>
        </is>
      </c>
      <c r="F1427" t="inlineStr">
        <is>
          <t>EUR</t>
        </is>
      </c>
      <c r="G1427" s="7" t="n">
        <v>1713251.822</v>
      </c>
      <c r="H1427" t="inlineStr">
        <is>
          <t>GBP</t>
        </is>
      </c>
      <c r="I1427" s="7" t="n">
        <v>1469970.063</v>
      </c>
      <c r="J1427" s="8" t="n">
        <v>46253.71063657408</v>
      </c>
      <c r="K1427" t="inlineStr">
        <is>
          <t>CF260819 01421</t>
        </is>
      </c>
      <c r="L1427" t="inlineStr">
        <is>
          <t>GL.NOSTRO.EUR.BRCC.004</t>
        </is>
      </c>
      <c r="M1427" t="inlineStr">
        <is>
          <t>Fernway Settlement Bank</t>
        </is>
      </c>
      <c r="N1427" t="inlineStr">
        <is>
          <t>BRCCTRSY</t>
        </is>
      </c>
      <c r="O1427" t="inlineStr">
        <is>
          <t>NEW</t>
        </is>
      </c>
      <c r="P1427" t="inlineStr">
        <is>
          <t>NT26081900657</t>
        </is>
      </c>
      <c r="Q1427" t="inlineStr">
        <is>
          <t>GROSS</t>
        </is>
      </c>
    </row>
    <row r="1428">
      <c r="A1428" t="inlineStr">
        <is>
          <t>132544340094</t>
        </is>
      </c>
      <c r="B1428" t="inlineStr">
        <is>
          <t>TCX</t>
        </is>
      </c>
      <c r="C1428" t="inlineStr">
        <is>
          <t>BRYG</t>
        </is>
      </c>
      <c r="D1428" s="6" t="n">
        <v>46253</v>
      </c>
      <c r="E1428" t="inlineStr">
        <is>
          <t>DR</t>
        </is>
      </c>
      <c r="F1428" t="inlineStr">
        <is>
          <t>CZK</t>
        </is>
      </c>
      <c r="G1428" s="7" t="n">
        <v>-169516.48</v>
      </c>
      <c r="H1428" t="inlineStr">
        <is>
          <t>GBP</t>
        </is>
      </c>
      <c r="I1428" s="7" t="n">
        <v>-5746.609</v>
      </c>
      <c r="J1428" s="8" t="n">
        <v>46253.23091435185</v>
      </c>
      <c r="K1428" t="inlineStr">
        <is>
          <t>CF260819 01422</t>
        </is>
      </c>
      <c r="L1428" t="inlineStr">
        <is>
          <t>GL.NOSTRO.CZK.BRYG.007</t>
        </is>
      </c>
      <c r="M1428" t="inlineStr">
        <is>
          <t>Umberton Commercial Bank</t>
        </is>
      </c>
      <c r="N1428" t="inlineStr">
        <is>
          <t>BRYGCASH</t>
        </is>
      </c>
      <c r="O1428" t="inlineStr">
        <is>
          <t>NEW</t>
        </is>
      </c>
      <c r="Q1428" t="inlineStr">
        <is>
          <t>NETTER</t>
        </is>
      </c>
    </row>
    <row r="1429">
      <c r="A1429" t="inlineStr">
        <is>
          <t>132544340094</t>
        </is>
      </c>
      <c r="B1429" t="inlineStr">
        <is>
          <t>TCQ</t>
        </is>
      </c>
      <c r="C1429" t="inlineStr">
        <is>
          <t>BRYG</t>
        </is>
      </c>
      <c r="D1429" s="6" t="n">
        <v>46253</v>
      </c>
      <c r="E1429" t="inlineStr">
        <is>
          <t>DR</t>
        </is>
      </c>
      <c r="F1429" t="inlineStr">
        <is>
          <t>CZK</t>
        </is>
      </c>
      <c r="G1429" s="7" t="n">
        <v>-196370853.679</v>
      </c>
      <c r="H1429" t="inlineStr">
        <is>
          <t>GBP</t>
        </is>
      </c>
      <c r="I1429" s="7" t="n">
        <v>-6656971.94</v>
      </c>
      <c r="J1429" s="8" t="n">
        <v>46253.5594212963</v>
      </c>
      <c r="K1429" t="inlineStr">
        <is>
          <t>CF260819 01423</t>
        </is>
      </c>
      <c r="L1429" t="inlineStr">
        <is>
          <t>GL.NOSTRO.CZK.BRYG.001</t>
        </is>
      </c>
      <c r="M1429" t="inlineStr">
        <is>
          <t>Elmwood Trust</t>
        </is>
      </c>
      <c r="N1429" t="inlineStr">
        <is>
          <t>BRYGTRSY</t>
        </is>
      </c>
      <c r="O1429" t="inlineStr">
        <is>
          <t>NEW</t>
        </is>
      </c>
      <c r="Q1429" t="inlineStr">
        <is>
          <t>GROSS</t>
        </is>
      </c>
    </row>
    <row r="1430">
      <c r="A1430" t="inlineStr">
        <is>
          <t>150316825069</t>
        </is>
      </c>
      <c r="B1430" t="inlineStr">
        <is>
          <t>TCG</t>
        </is>
      </c>
      <c r="C1430" t="inlineStr">
        <is>
          <t>BRGX</t>
        </is>
      </c>
      <c r="D1430" s="6" t="n">
        <v>46253</v>
      </c>
      <c r="E1430" t="inlineStr">
        <is>
          <t>DR</t>
        </is>
      </c>
      <c r="F1430" t="inlineStr">
        <is>
          <t>GBP</t>
        </is>
      </c>
      <c r="G1430" s="7" t="n">
        <v>-44817459.982</v>
      </c>
      <c r="H1430" t="inlineStr">
        <is>
          <t>GBP</t>
        </is>
      </c>
      <c r="I1430" s="7" t="n">
        <v>-44817459.982</v>
      </c>
      <c r="J1430" s="8" t="n">
        <v>46253.13292824074</v>
      </c>
      <c r="K1430" t="inlineStr">
        <is>
          <t>CF260819 01424</t>
        </is>
      </c>
      <c r="L1430" t="inlineStr">
        <is>
          <t>GL.NOSTRO.GBP.BRGX.009</t>
        </is>
      </c>
      <c r="M1430" t="inlineStr">
        <is>
          <t>Ironbark Trust</t>
        </is>
      </c>
      <c r="N1430" t="inlineStr">
        <is>
          <t>BRGXTRSY</t>
        </is>
      </c>
      <c r="O1430" t="inlineStr">
        <is>
          <t>NEW</t>
        </is>
      </c>
      <c r="P1430" t="inlineStr">
        <is>
          <t>NT26081900669</t>
        </is>
      </c>
      <c r="Q1430" t="inlineStr">
        <is>
          <t>NETTER</t>
        </is>
      </c>
    </row>
    <row r="1431">
      <c r="A1431" t="inlineStr">
        <is>
          <t>968942362772</t>
        </is>
      </c>
      <c r="B1431" t="inlineStr">
        <is>
          <t>TCC</t>
        </is>
      </c>
      <c r="C1431" t="inlineStr">
        <is>
          <t>BRYG</t>
        </is>
      </c>
      <c r="D1431" s="6" t="n">
        <v>46253</v>
      </c>
      <c r="E1431" t="inlineStr">
        <is>
          <t>CR</t>
        </is>
      </c>
      <c r="F1431" t="inlineStr">
        <is>
          <t>EUR</t>
        </is>
      </c>
      <c r="G1431" s="7" t="n">
        <v>77151585.072</v>
      </c>
      <c r="H1431" t="inlineStr">
        <is>
          <t>GBP</t>
        </is>
      </c>
      <c r="I1431" s="7" t="n">
        <v>66196059.992</v>
      </c>
      <c r="J1431" s="8" t="n">
        <v>46253.60541666667</v>
      </c>
      <c r="K1431" t="inlineStr">
        <is>
          <t>CF260819 01425</t>
        </is>
      </c>
      <c r="L1431" t="inlineStr">
        <is>
          <t>GL.NOSTRO.EUR.BRYG.003</t>
        </is>
      </c>
      <c r="M1431" t="inlineStr">
        <is>
          <t>Elmwood Trust</t>
        </is>
      </c>
      <c r="N1431" t="inlineStr">
        <is>
          <t>BRYGTRSY</t>
        </is>
      </c>
      <c r="O1431" t="inlineStr">
        <is>
          <t>AMEND</t>
        </is>
      </c>
      <c r="Q1431" t="inlineStr">
        <is>
          <t>NETTER</t>
        </is>
      </c>
    </row>
    <row r="1432">
      <c r="A1432" t="inlineStr">
        <is>
          <t>794226063698</t>
        </is>
      </c>
      <c r="B1432" t="inlineStr">
        <is>
          <t>TCP</t>
        </is>
      </c>
      <c r="C1432" t="inlineStr">
        <is>
          <t>BRMD</t>
        </is>
      </c>
      <c r="D1432" s="6" t="n">
        <v>46253</v>
      </c>
      <c r="E1432" t="inlineStr">
        <is>
          <t>CR</t>
        </is>
      </c>
      <c r="F1432" t="inlineStr">
        <is>
          <t>AED</t>
        </is>
      </c>
      <c r="G1432" s="7" t="n">
        <v>4945182.255</v>
      </c>
      <c r="H1432" t="inlineStr">
        <is>
          <t>GBP</t>
        </is>
      </c>
      <c r="I1432" s="7" t="n">
        <v>1053323.82</v>
      </c>
      <c r="J1432" s="8" t="n">
        <v>46253.43581018518</v>
      </c>
      <c r="K1432" t="inlineStr">
        <is>
          <t>CF260819 01426</t>
        </is>
      </c>
      <c r="L1432" t="inlineStr">
        <is>
          <t>GL.NOSTRO.AED.BRMD.001</t>
        </is>
      </c>
      <c r="M1432" t="inlineStr">
        <is>
          <t>Dunlin Trust</t>
        </is>
      </c>
      <c r="N1432" t="inlineStr">
        <is>
          <t>BRMDTRSY</t>
        </is>
      </c>
      <c r="O1432" t="inlineStr">
        <is>
          <t>NEW</t>
        </is>
      </c>
      <c r="Q1432" t="inlineStr">
        <is>
          <t>NETTER</t>
        </is>
      </c>
    </row>
    <row r="1433">
      <c r="A1433" t="inlineStr">
        <is>
          <t>150316825069</t>
        </is>
      </c>
      <c r="B1433" t="inlineStr">
        <is>
          <t>TCG</t>
        </is>
      </c>
      <c r="C1433" t="inlineStr">
        <is>
          <t>BRGX</t>
        </is>
      </c>
      <c r="D1433" s="6" t="n">
        <v>46253</v>
      </c>
      <c r="E1433" t="inlineStr">
        <is>
          <t>CR</t>
        </is>
      </c>
      <c r="F1433" t="inlineStr">
        <is>
          <t>GBP</t>
        </is>
      </c>
      <c r="G1433" s="7" t="n">
        <v>1165765.021</v>
      </c>
      <c r="H1433" t="inlineStr">
        <is>
          <t>GBP</t>
        </is>
      </c>
      <c r="I1433" s="7" t="n">
        <v>1165765.021</v>
      </c>
      <c r="J1433" s="8" t="n">
        <v>46253.47832175926</v>
      </c>
      <c r="K1433" t="inlineStr">
        <is>
          <t>CF260819 01427</t>
        </is>
      </c>
      <c r="L1433" t="inlineStr">
        <is>
          <t>GL.NOSTRO.GBP.BRGX.006</t>
        </is>
      </c>
      <c r="M1433" t="inlineStr">
        <is>
          <t>Dunlin Clearing</t>
        </is>
      </c>
      <c r="N1433" t="inlineStr">
        <is>
          <t>BRGXTRSY</t>
        </is>
      </c>
      <c r="O1433" t="inlineStr">
        <is>
          <t>NEW</t>
        </is>
      </c>
      <c r="Q1433" t="inlineStr">
        <is>
          <t>GROSS</t>
        </is>
      </c>
    </row>
    <row r="1434">
      <c r="A1434" t="inlineStr">
        <is>
          <t>499062838623</t>
        </is>
      </c>
      <c r="B1434" t="inlineStr">
        <is>
          <t>TCP</t>
        </is>
      </c>
      <c r="C1434" t="inlineStr">
        <is>
          <t>BRBX</t>
        </is>
      </c>
      <c r="D1434" s="6" t="n">
        <v>46253</v>
      </c>
      <c r="E1434" t="inlineStr">
        <is>
          <t>CR</t>
        </is>
      </c>
      <c r="F1434" t="inlineStr">
        <is>
          <t>USD</t>
        </is>
      </c>
      <c r="G1434" s="7" t="n">
        <v>51808412.938</v>
      </c>
      <c r="H1434" t="inlineStr">
        <is>
          <t>GBP</t>
        </is>
      </c>
      <c r="I1434" s="7" t="n">
        <v>40617795.743</v>
      </c>
      <c r="J1434" s="8" t="n">
        <v>46253.60767361111</v>
      </c>
      <c r="K1434" t="inlineStr">
        <is>
          <t>CF260819 01428</t>
        </is>
      </c>
      <c r="L1434" t="inlineStr">
        <is>
          <t>GL.NOSTRO.USD.BRBX.002</t>
        </is>
      </c>
      <c r="M1434" t="inlineStr">
        <is>
          <t>Sablewood Settlement Bank</t>
        </is>
      </c>
      <c r="N1434" t="inlineStr">
        <is>
          <t>BRBXMM</t>
        </is>
      </c>
      <c r="O1434" t="inlineStr">
        <is>
          <t>NEW</t>
        </is>
      </c>
      <c r="Q1434" t="inlineStr">
        <is>
          <t>NETTER</t>
        </is>
      </c>
    </row>
    <row r="1435">
      <c r="A1435" t="inlineStr">
        <is>
          <t>898317028833</t>
        </is>
      </c>
      <c r="B1435" t="inlineStr">
        <is>
          <t>TCQ</t>
        </is>
      </c>
      <c r="C1435" t="inlineStr">
        <is>
          <t>BRAA</t>
        </is>
      </c>
      <c r="D1435" s="6" t="n">
        <v>46253</v>
      </c>
      <c r="E1435" t="inlineStr">
        <is>
          <t>DR</t>
        </is>
      </c>
      <c r="F1435" t="inlineStr">
        <is>
          <t>GBP</t>
        </is>
      </c>
      <c r="G1435" s="7" t="n">
        <v>-34241835.897</v>
      </c>
      <c r="H1435" t="inlineStr">
        <is>
          <t>GBP</t>
        </is>
      </c>
      <c r="I1435" s="7" t="n">
        <v>-34241835.897</v>
      </c>
      <c r="J1435" s="8" t="n">
        <v>46253.37824074074</v>
      </c>
      <c r="K1435" t="inlineStr">
        <is>
          <t>CF260819 01429</t>
        </is>
      </c>
      <c r="L1435" t="inlineStr">
        <is>
          <t>GL.NOSTRO.GBP.BRAA.007</t>
        </is>
      </c>
      <c r="M1435" t="inlineStr">
        <is>
          <t>Thornbury Bank</t>
        </is>
      </c>
      <c r="N1435" t="inlineStr">
        <is>
          <t>BRAAMM</t>
        </is>
      </c>
      <c r="O1435" t="inlineStr">
        <is>
          <t>CANCEL</t>
        </is>
      </c>
      <c r="P1435" t="inlineStr">
        <is>
          <t>NT26081900689</t>
        </is>
      </c>
      <c r="Q1435" t="inlineStr">
        <is>
          <t>GROSS</t>
        </is>
      </c>
    </row>
    <row r="1436">
      <c r="A1436" t="inlineStr">
        <is>
          <t>120047354818</t>
        </is>
      </c>
      <c r="B1436" t="inlineStr">
        <is>
          <t>TCG</t>
        </is>
      </c>
      <c r="C1436" t="inlineStr">
        <is>
          <t>BRNK</t>
        </is>
      </c>
      <c r="D1436" s="6" t="n">
        <v>46253</v>
      </c>
      <c r="E1436" t="inlineStr">
        <is>
          <t>DR</t>
        </is>
      </c>
      <c r="F1436" t="inlineStr">
        <is>
          <t>USD</t>
        </is>
      </c>
      <c r="G1436" s="7" t="n">
        <v>-753228.6949999999</v>
      </c>
      <c r="H1436" t="inlineStr">
        <is>
          <t>GBP</t>
        </is>
      </c>
      <c r="I1436" s="7" t="n">
        <v>-590531.297</v>
      </c>
      <c r="J1436" s="8" t="n">
        <v>46253.45200231481</v>
      </c>
      <c r="K1436" t="inlineStr">
        <is>
          <t>CF260819 01430</t>
        </is>
      </c>
      <c r="L1436" t="inlineStr">
        <is>
          <t>GL.NOSTRO.USD.BRNK.001</t>
        </is>
      </c>
      <c r="M1436" t="inlineStr">
        <is>
          <t>Ironbark Trust</t>
        </is>
      </c>
      <c r="N1436" t="inlineStr">
        <is>
          <t>BRNKMM</t>
        </is>
      </c>
      <c r="O1436" t="inlineStr">
        <is>
          <t>NEW</t>
        </is>
      </c>
      <c r="Q1436" t="inlineStr">
        <is>
          <t>INTERNAL</t>
        </is>
      </c>
    </row>
    <row r="1437">
      <c r="A1437" t="inlineStr">
        <is>
          <t>898317028833</t>
        </is>
      </c>
      <c r="B1437" t="inlineStr">
        <is>
          <t>TCQ</t>
        </is>
      </c>
      <c r="C1437" t="inlineStr">
        <is>
          <t>BRAA</t>
        </is>
      </c>
      <c r="D1437" s="6" t="n">
        <v>46253</v>
      </c>
      <c r="E1437" t="inlineStr">
        <is>
          <t>DR</t>
        </is>
      </c>
      <c r="F1437" t="inlineStr">
        <is>
          <t>GBP</t>
        </is>
      </c>
      <c r="G1437" s="7" t="n">
        <v>-729969816.437</v>
      </c>
      <c r="H1437" t="inlineStr">
        <is>
          <t>GBP</t>
        </is>
      </c>
      <c r="I1437" s="7" t="n">
        <v>-729969816.437</v>
      </c>
      <c r="J1437" s="8" t="n">
        <v>46253.36721064815</v>
      </c>
      <c r="K1437" t="inlineStr">
        <is>
          <t>CF260819 01431</t>
        </is>
      </c>
      <c r="L1437" t="inlineStr">
        <is>
          <t>GL.NOSTRO.GBP.BRAA.009</t>
        </is>
      </c>
      <c r="M1437" t="inlineStr">
        <is>
          <t>Yarrow Clearing</t>
        </is>
      </c>
      <c r="N1437" t="inlineStr">
        <is>
          <t>BRAACASH</t>
        </is>
      </c>
      <c r="O1437" t="inlineStr">
        <is>
          <t>NEW</t>
        </is>
      </c>
      <c r="Q1437" t="inlineStr">
        <is>
          <t>NETTER</t>
        </is>
      </c>
    </row>
    <row r="1438">
      <c r="A1438" t="inlineStr">
        <is>
          <t>621381112674</t>
        </is>
      </c>
      <c r="B1438" t="inlineStr">
        <is>
          <t>TCC</t>
        </is>
      </c>
      <c r="C1438" t="inlineStr">
        <is>
          <t>BRAA</t>
        </is>
      </c>
      <c r="D1438" s="6" t="n">
        <v>46253</v>
      </c>
      <c r="E1438" t="inlineStr">
        <is>
          <t>CR</t>
        </is>
      </c>
      <c r="F1438" t="inlineStr">
        <is>
          <t>PLN</t>
        </is>
      </c>
      <c r="G1438" s="7" t="n">
        <v>54027152.334</v>
      </c>
      <c r="H1438" t="inlineStr">
        <is>
          <t>GBP</t>
        </is>
      </c>
      <c r="I1438" s="7" t="n">
        <v>10697376.162</v>
      </c>
      <c r="J1438" s="8" t="n">
        <v>46253.37321759259</v>
      </c>
      <c r="K1438" t="inlineStr">
        <is>
          <t>CF260819 01432</t>
        </is>
      </c>
      <c r="L1438" t="inlineStr">
        <is>
          <t>GL.NOSTRO.PLN.BRAA.004</t>
        </is>
      </c>
      <c r="M1438" t="inlineStr">
        <is>
          <t>Zephyr Bank</t>
        </is>
      </c>
      <c r="N1438" t="inlineStr">
        <is>
          <t>BRAACASH</t>
        </is>
      </c>
      <c r="O1438" t="inlineStr">
        <is>
          <t>NEW</t>
        </is>
      </c>
      <c r="Q1438" t="inlineStr">
        <is>
          <t>GROSS</t>
        </is>
      </c>
    </row>
    <row r="1439">
      <c r="A1439" t="inlineStr">
        <is>
          <t>150316825069</t>
        </is>
      </c>
      <c r="B1439" t="inlineStr">
        <is>
          <t>TCC</t>
        </is>
      </c>
      <c r="C1439" t="inlineStr">
        <is>
          <t>BRGX</t>
        </is>
      </c>
      <c r="D1439" s="6" t="n">
        <v>46253</v>
      </c>
      <c r="E1439" t="inlineStr">
        <is>
          <t>CR</t>
        </is>
      </c>
      <c r="F1439" t="inlineStr">
        <is>
          <t>GBP</t>
        </is>
      </c>
      <c r="G1439" s="7" t="n">
        <v>9625918.198000001</v>
      </c>
      <c r="H1439" t="inlineStr">
        <is>
          <t>GBP</t>
        </is>
      </c>
      <c r="I1439" s="7" t="n">
        <v>9625918.198000001</v>
      </c>
      <c r="J1439" s="8" t="n">
        <v>46253.36792824074</v>
      </c>
      <c r="K1439" t="inlineStr">
        <is>
          <t>CF260819 01433</t>
        </is>
      </c>
      <c r="L1439" t="inlineStr">
        <is>
          <t>GL.NOSTRO.GBP.BRGX.003</t>
        </is>
      </c>
      <c r="M1439" t="inlineStr">
        <is>
          <t>Juniper Bank</t>
        </is>
      </c>
      <c r="N1439" t="inlineStr">
        <is>
          <t>BRGXMM</t>
        </is>
      </c>
      <c r="O1439" t="inlineStr">
        <is>
          <t>NEW</t>
        </is>
      </c>
      <c r="P1439" t="inlineStr">
        <is>
          <t>NT26081900695</t>
        </is>
      </c>
      <c r="Q1439" t="inlineStr">
        <is>
          <t>NETTER</t>
        </is>
      </c>
    </row>
    <row r="1440">
      <c r="A1440" t="inlineStr">
        <is>
          <t>150316825069</t>
        </is>
      </c>
      <c r="B1440" t="inlineStr">
        <is>
          <t>TCG</t>
        </is>
      </c>
      <c r="C1440" t="inlineStr">
        <is>
          <t>BRGX</t>
        </is>
      </c>
      <c r="D1440" s="6" t="n">
        <v>46253</v>
      </c>
      <c r="E1440" t="inlineStr">
        <is>
          <t>DR</t>
        </is>
      </c>
      <c r="F1440" t="inlineStr">
        <is>
          <t>GBP</t>
        </is>
      </c>
      <c r="G1440" s="7" t="n">
        <v>-4775901.658</v>
      </c>
      <c r="H1440" t="inlineStr">
        <is>
          <t>GBP</t>
        </is>
      </c>
      <c r="I1440" s="7" t="n">
        <v>-4775901.658</v>
      </c>
      <c r="J1440" s="8" t="n">
        <v>46253.54322916667</v>
      </c>
      <c r="K1440" t="inlineStr">
        <is>
          <t>CF260819 01434</t>
        </is>
      </c>
      <c r="L1440" t="inlineStr">
        <is>
          <t>GL.NOSTRO.GBP.BRGX.004</t>
        </is>
      </c>
      <c r="M1440" t="inlineStr">
        <is>
          <t>Elmwood Bank</t>
        </is>
      </c>
      <c r="N1440" t="inlineStr">
        <is>
          <t>BRGXMM</t>
        </is>
      </c>
      <c r="O1440" t="inlineStr">
        <is>
          <t>NEW</t>
        </is>
      </c>
      <c r="P1440" t="inlineStr">
        <is>
          <t>NT26081900660</t>
        </is>
      </c>
      <c r="Q1440" t="inlineStr">
        <is>
          <t>NETTER</t>
        </is>
      </c>
    </row>
    <row r="1441">
      <c r="A1441" t="inlineStr">
        <is>
          <t>898317028833</t>
        </is>
      </c>
      <c r="B1441" t="inlineStr">
        <is>
          <t>TCG</t>
        </is>
      </c>
      <c r="C1441" t="inlineStr">
        <is>
          <t>BRAA</t>
        </is>
      </c>
      <c r="D1441" s="6" t="n">
        <v>46253</v>
      </c>
      <c r="E1441" t="inlineStr">
        <is>
          <t>DR</t>
        </is>
      </c>
      <c r="F1441" t="inlineStr">
        <is>
          <t>GBP</t>
        </is>
      </c>
      <c r="G1441" s="7" t="n">
        <v>-1299.856</v>
      </c>
      <c r="H1441" t="inlineStr">
        <is>
          <t>GBP</t>
        </is>
      </c>
      <c r="I1441" s="7" t="n">
        <v>-1299.856</v>
      </c>
      <c r="J1441" s="8" t="n">
        <v>46253.45631944444</v>
      </c>
      <c r="K1441" t="inlineStr">
        <is>
          <t>CF260819 01435</t>
        </is>
      </c>
      <c r="L1441" t="inlineStr">
        <is>
          <t>GL.NOSTRO.GBP.BRAA.002</t>
        </is>
      </c>
      <c r="M1441" t="inlineStr">
        <is>
          <t>Yarrow Bank</t>
        </is>
      </c>
      <c r="N1441" t="inlineStr">
        <is>
          <t>BRAATRSY</t>
        </is>
      </c>
      <c r="O1441" t="inlineStr">
        <is>
          <t>NEW</t>
        </is>
      </c>
      <c r="Q1441" t="inlineStr">
        <is>
          <t>NETTER</t>
        </is>
      </c>
    </row>
    <row r="1442">
      <c r="A1442" t="inlineStr">
        <is>
          <t>284925023085</t>
        </is>
      </c>
      <c r="B1442" t="inlineStr">
        <is>
          <t>TCP</t>
        </is>
      </c>
      <c r="C1442" t="inlineStr">
        <is>
          <t>BRMD</t>
        </is>
      </c>
      <c r="D1442" s="6" t="n">
        <v>46253</v>
      </c>
      <c r="E1442" t="inlineStr">
        <is>
          <t>CR</t>
        </is>
      </c>
      <c r="F1442" t="inlineStr">
        <is>
          <t>MXN</t>
        </is>
      </c>
      <c r="G1442" s="7" t="n">
        <v>8522934.473999999</v>
      </c>
      <c r="H1442" t="inlineStr">
        <is>
          <t>GBP</t>
        </is>
      </c>
      <c r="I1442" s="7" t="n">
        <v>364781.595</v>
      </c>
      <c r="J1442" s="8" t="n">
        <v>46253.30638888889</v>
      </c>
      <c r="K1442" t="inlineStr">
        <is>
          <t>CF260819 01436</t>
        </is>
      </c>
      <c r="L1442" t="inlineStr">
        <is>
          <t>GL.NOSTRO.MXN.BRMD.006</t>
        </is>
      </c>
      <c r="M1442" t="inlineStr">
        <is>
          <t>Larkspur Clearing</t>
        </is>
      </c>
      <c r="N1442" t="inlineStr">
        <is>
          <t>BRMDTRSY</t>
        </is>
      </c>
      <c r="O1442" t="inlineStr">
        <is>
          <t>NEW</t>
        </is>
      </c>
      <c r="Q1442" t="inlineStr">
        <is>
          <t>NETTER</t>
        </is>
      </c>
    </row>
    <row r="1443">
      <c r="A1443" t="inlineStr">
        <is>
          <t>953625291146</t>
        </is>
      </c>
      <c r="B1443" t="inlineStr">
        <is>
          <t>TCP</t>
        </is>
      </c>
      <c r="C1443" t="inlineStr">
        <is>
          <t>BRGL</t>
        </is>
      </c>
      <c r="D1443" s="6" t="n">
        <v>46253</v>
      </c>
      <c r="E1443" t="inlineStr">
        <is>
          <t>DR</t>
        </is>
      </c>
      <c r="F1443" t="inlineStr">
        <is>
          <t>USD</t>
        </is>
      </c>
      <c r="G1443" s="7" t="n">
        <v>-490231360.616</v>
      </c>
      <c r="H1443" t="inlineStr">
        <is>
          <t>GBP</t>
        </is>
      </c>
      <c r="I1443" s="7" t="n">
        <v>-384341386.723</v>
      </c>
      <c r="J1443" s="8" t="n">
        <v>46253.4649074074</v>
      </c>
      <c r="K1443" t="inlineStr">
        <is>
          <t>CF260819 01437</t>
        </is>
      </c>
      <c r="L1443" t="inlineStr">
        <is>
          <t>GL.NOSTRO.USD.BRGL.007</t>
        </is>
      </c>
      <c r="M1443" t="inlineStr">
        <is>
          <t>Nightjar Bank</t>
        </is>
      </c>
      <c r="N1443" t="inlineStr">
        <is>
          <t>BRGLCASH</t>
        </is>
      </c>
      <c r="O1443" t="inlineStr">
        <is>
          <t>NEW</t>
        </is>
      </c>
      <c r="P1443" t="inlineStr">
        <is>
          <t>NT26081900671</t>
        </is>
      </c>
      <c r="Q1443" t="inlineStr">
        <is>
          <t>GROSS</t>
        </is>
      </c>
    </row>
    <row r="1444">
      <c r="A1444" t="inlineStr">
        <is>
          <t>150316825069</t>
        </is>
      </c>
      <c r="B1444" t="inlineStr">
        <is>
          <t>TCC</t>
        </is>
      </c>
      <c r="C1444" t="inlineStr">
        <is>
          <t>BRGX</t>
        </is>
      </c>
      <c r="D1444" s="6" t="n">
        <v>46253</v>
      </c>
      <c r="E1444" t="inlineStr">
        <is>
          <t>DR</t>
        </is>
      </c>
      <c r="F1444" t="inlineStr">
        <is>
          <t>GBP</t>
        </is>
      </c>
      <c r="G1444" s="7" t="n">
        <v>-168094967.165</v>
      </c>
      <c r="H1444" t="inlineStr">
        <is>
          <t>GBP</t>
        </is>
      </c>
      <c r="I1444" s="7" t="n">
        <v>-168094967.165</v>
      </c>
      <c r="J1444" s="8" t="n">
        <v>46253.64258101852</v>
      </c>
      <c r="K1444" t="inlineStr">
        <is>
          <t>CF260819 01438</t>
        </is>
      </c>
      <c r="L1444" t="inlineStr">
        <is>
          <t>GL.NOSTRO.GBP.BRGX.002</t>
        </is>
      </c>
      <c r="M1444" t="inlineStr">
        <is>
          <t>Pinehurst Bank</t>
        </is>
      </c>
      <c r="N1444" t="inlineStr">
        <is>
          <t>BRGXTRSY</t>
        </is>
      </c>
      <c r="O1444" t="inlineStr">
        <is>
          <t>NEW</t>
        </is>
      </c>
      <c r="P1444" t="inlineStr">
        <is>
          <t>NT26081900685</t>
        </is>
      </c>
      <c r="Q1444" t="inlineStr">
        <is>
          <t>NETTER</t>
        </is>
      </c>
    </row>
    <row r="1445">
      <c r="A1445" t="inlineStr">
        <is>
          <t>499062838623</t>
        </is>
      </c>
      <c r="B1445" t="inlineStr">
        <is>
          <t>TCP</t>
        </is>
      </c>
      <c r="C1445" t="inlineStr">
        <is>
          <t>BRBX</t>
        </is>
      </c>
      <c r="D1445" s="6" t="n">
        <v>46253</v>
      </c>
      <c r="E1445" t="inlineStr">
        <is>
          <t>DR</t>
        </is>
      </c>
      <c r="F1445" t="inlineStr">
        <is>
          <t>USD</t>
        </is>
      </c>
      <c r="G1445" s="7" t="n">
        <v>-74318334.873</v>
      </c>
      <c r="H1445" t="inlineStr">
        <is>
          <t>GBP</t>
        </is>
      </c>
      <c r="I1445" s="7" t="n">
        <v>-58265574.54</v>
      </c>
      <c r="J1445" s="8" t="n">
        <v>46253.41130787037</v>
      </c>
      <c r="K1445" t="inlineStr">
        <is>
          <t>CF260819 01439</t>
        </is>
      </c>
      <c r="L1445" t="inlineStr">
        <is>
          <t>GL.NOSTRO.USD.BRBX.009</t>
        </is>
      </c>
      <c r="M1445" t="inlineStr">
        <is>
          <t>Mallow Commercial Bank</t>
        </is>
      </c>
      <c r="N1445" t="inlineStr">
        <is>
          <t>BRBXTRSY</t>
        </is>
      </c>
      <c r="O1445" t="inlineStr">
        <is>
          <t>NEW</t>
        </is>
      </c>
      <c r="Q1445" t="inlineStr">
        <is>
          <t>NETTER</t>
        </is>
      </c>
    </row>
    <row r="1446">
      <c r="A1446" t="inlineStr">
        <is>
          <t>968942362772</t>
        </is>
      </c>
      <c r="B1446" t="inlineStr">
        <is>
          <t>TCP</t>
        </is>
      </c>
      <c r="C1446" t="inlineStr">
        <is>
          <t>BRYG</t>
        </is>
      </c>
      <c r="D1446" s="6" t="n">
        <v>46253</v>
      </c>
      <c r="E1446" t="inlineStr">
        <is>
          <t>DR</t>
        </is>
      </c>
      <c r="F1446" t="inlineStr">
        <is>
          <t>EUR</t>
        </is>
      </c>
      <c r="G1446" s="7" t="n">
        <v>-751372743.998</v>
      </c>
      <c r="H1446" t="inlineStr">
        <is>
          <t>GBP</t>
        </is>
      </c>
      <c r="I1446" s="7" t="n">
        <v>-644677814.35</v>
      </c>
      <c r="J1446" s="8" t="n">
        <v>46253.46523148148</v>
      </c>
      <c r="K1446" t="inlineStr">
        <is>
          <t>CF260819 01440</t>
        </is>
      </c>
      <c r="L1446" t="inlineStr">
        <is>
          <t>GL.NOSTRO.EUR.BRYG.002</t>
        </is>
      </c>
      <c r="M1446" t="inlineStr">
        <is>
          <t>Mallow Clearing</t>
        </is>
      </c>
      <c r="N1446" t="inlineStr">
        <is>
          <t>BRYGCASH</t>
        </is>
      </c>
      <c r="O1446" t="inlineStr">
        <is>
          <t>NEW</t>
        </is>
      </c>
      <c r="Q1446" t="inlineStr">
        <is>
          <t>NETTER</t>
        </is>
      </c>
    </row>
    <row r="1447">
      <c r="A1447" t="inlineStr">
        <is>
          <t>499062838623</t>
        </is>
      </c>
      <c r="B1447" t="inlineStr">
        <is>
          <t>TCC</t>
        </is>
      </c>
      <c r="C1447" t="inlineStr">
        <is>
          <t>BRBX</t>
        </is>
      </c>
      <c r="D1447" s="6" t="n">
        <v>46253</v>
      </c>
      <c r="E1447" t="inlineStr">
        <is>
          <t>DR</t>
        </is>
      </c>
      <c r="F1447" t="inlineStr">
        <is>
          <t>USD</t>
        </is>
      </c>
      <c r="G1447" s="7" t="n">
        <v>-192239136.909</v>
      </c>
      <c r="H1447" t="inlineStr">
        <is>
          <t>GBP</t>
        </is>
      </c>
      <c r="I1447" s="7" t="n">
        <v>-150715483.337</v>
      </c>
      <c r="J1447" s="8" t="n">
        <v>46253.57467592593</v>
      </c>
      <c r="K1447" t="inlineStr">
        <is>
          <t>CF260819 01441</t>
        </is>
      </c>
      <c r="L1447" t="inlineStr">
        <is>
          <t>GL.NOSTRO.USD.BRBX.005</t>
        </is>
      </c>
      <c r="M1447" t="inlineStr">
        <is>
          <t>Sablewood Bank</t>
        </is>
      </c>
      <c r="N1447" t="inlineStr">
        <is>
          <t>BRBXTRSY</t>
        </is>
      </c>
      <c r="O1447" t="inlineStr">
        <is>
          <t>AMEND</t>
        </is>
      </c>
      <c r="Q1447" t="inlineStr">
        <is>
          <t>NETTER</t>
        </is>
      </c>
    </row>
    <row r="1448">
      <c r="A1448" t="inlineStr">
        <is>
          <t>132544340094</t>
        </is>
      </c>
      <c r="B1448" t="inlineStr">
        <is>
          <t>TCG</t>
        </is>
      </c>
      <c r="C1448" t="inlineStr">
        <is>
          <t>BRYG</t>
        </is>
      </c>
      <c r="D1448" s="6" t="n">
        <v>46253</v>
      </c>
      <c r="E1448" t="inlineStr">
        <is>
          <t>CR</t>
        </is>
      </c>
      <c r="F1448" t="inlineStr">
        <is>
          <t>CZK</t>
        </is>
      </c>
      <c r="G1448" s="7" t="n">
        <v>3162077.002</v>
      </c>
      <c r="H1448" t="inlineStr">
        <is>
          <t>GBP</t>
        </is>
      </c>
      <c r="I1448" s="7" t="n">
        <v>107194.41</v>
      </c>
      <c r="J1448" s="8" t="n">
        <v>46253.60090277778</v>
      </c>
      <c r="K1448" t="inlineStr">
        <is>
          <t>CF260819 01442</t>
        </is>
      </c>
      <c r="L1448" t="inlineStr">
        <is>
          <t>GL.NOSTRO.CZK.BRYG.007</t>
        </is>
      </c>
      <c r="M1448" t="inlineStr">
        <is>
          <t>Elmwood Settlement Bank</t>
        </is>
      </c>
      <c r="N1448" t="inlineStr">
        <is>
          <t>BRYGMM</t>
        </is>
      </c>
      <c r="O1448" t="inlineStr">
        <is>
          <t>NEW</t>
        </is>
      </c>
      <c r="Q1448" t="inlineStr">
        <is>
          <t>GROSS</t>
        </is>
      </c>
    </row>
    <row r="1449">
      <c r="A1449" t="inlineStr">
        <is>
          <t>968942362772</t>
        </is>
      </c>
      <c r="B1449" t="inlineStr">
        <is>
          <t>TCP</t>
        </is>
      </c>
      <c r="C1449" t="inlineStr">
        <is>
          <t>BRYG</t>
        </is>
      </c>
      <c r="D1449" s="6" t="n">
        <v>46253</v>
      </c>
      <c r="E1449" t="inlineStr">
        <is>
          <t>DR</t>
        </is>
      </c>
      <c r="F1449" t="inlineStr">
        <is>
          <t>EUR</t>
        </is>
      </c>
      <c r="G1449" s="7" t="n">
        <v>-3058469.032</v>
      </c>
      <c r="H1449" t="inlineStr">
        <is>
          <t>GBP</t>
        </is>
      </c>
      <c r="I1449" s="7" t="n">
        <v>-2624166.429</v>
      </c>
      <c r="J1449" s="8" t="n">
        <v>46253.34543981482</v>
      </c>
      <c r="K1449" t="inlineStr">
        <is>
          <t>CF260819 01443</t>
        </is>
      </c>
      <c r="L1449" t="inlineStr">
        <is>
          <t>GL.NOSTRO.EUR.BRYG.006</t>
        </is>
      </c>
      <c r="M1449" t="inlineStr">
        <is>
          <t>Zephyr Commercial Bank</t>
        </is>
      </c>
      <c r="N1449" t="inlineStr">
        <is>
          <t>BRYGTRSY</t>
        </is>
      </c>
      <c r="O1449" t="inlineStr">
        <is>
          <t>NEW</t>
        </is>
      </c>
      <c r="P1449" t="inlineStr">
        <is>
          <t>NT26081900656</t>
        </is>
      </c>
      <c r="Q1449" t="inlineStr">
        <is>
          <t>NETTER</t>
        </is>
      </c>
    </row>
    <row r="1450">
      <c r="A1450" t="inlineStr">
        <is>
          <t>968942362772</t>
        </is>
      </c>
      <c r="B1450" t="inlineStr">
        <is>
          <t>TCX</t>
        </is>
      </c>
      <c r="C1450" t="inlineStr">
        <is>
          <t>BRYG</t>
        </is>
      </c>
      <c r="D1450" s="6" t="n">
        <v>46253</v>
      </c>
      <c r="E1450" t="inlineStr">
        <is>
          <t>CR</t>
        </is>
      </c>
      <c r="F1450" t="inlineStr">
        <is>
          <t>EUR</t>
        </is>
      </c>
      <c r="G1450" s="7" t="n">
        <v>38073593.246</v>
      </c>
      <c r="H1450" t="inlineStr">
        <is>
          <t>GBP</t>
        </is>
      </c>
      <c r="I1450" s="7" t="n">
        <v>32667143.005</v>
      </c>
      <c r="J1450" s="8" t="n">
        <v>46253.41847222222</v>
      </c>
      <c r="K1450" t="inlineStr">
        <is>
          <t>CF260819 01444</t>
        </is>
      </c>
      <c r="L1450" t="inlineStr">
        <is>
          <t>GL.NOSTRO.EUR.BRYG.004</t>
        </is>
      </c>
      <c r="M1450" t="inlineStr">
        <is>
          <t>Fernway Settlement Bank</t>
        </is>
      </c>
      <c r="N1450" t="inlineStr">
        <is>
          <t>BRYGTRSY</t>
        </is>
      </c>
      <c r="O1450" t="inlineStr">
        <is>
          <t>AMEND</t>
        </is>
      </c>
      <c r="P1450" t="inlineStr">
        <is>
          <t>NT26081900676</t>
        </is>
      </c>
      <c r="Q1450" t="inlineStr">
        <is>
          <t>INTERNAL</t>
        </is>
      </c>
    </row>
    <row r="1451">
      <c r="A1451" t="inlineStr">
        <is>
          <t>968942362772</t>
        </is>
      </c>
      <c r="B1451" t="inlineStr">
        <is>
          <t>TCG</t>
        </is>
      </c>
      <c r="C1451" t="inlineStr">
        <is>
          <t>BRYG</t>
        </is>
      </c>
      <c r="D1451" s="6" t="n">
        <v>46253</v>
      </c>
      <c r="E1451" t="inlineStr">
        <is>
          <t>DR</t>
        </is>
      </c>
      <c r="F1451" t="inlineStr">
        <is>
          <t>EUR</t>
        </is>
      </c>
      <c r="G1451" s="7" t="n">
        <v>-2753999.967</v>
      </c>
      <c r="H1451" t="inlineStr">
        <is>
          <t>GBP</t>
        </is>
      </c>
      <c r="I1451" s="7" t="n">
        <v>-2362931.972</v>
      </c>
      <c r="J1451" s="8" t="n">
        <v>46253.64196759259</v>
      </c>
      <c r="K1451" t="inlineStr">
        <is>
          <t>CF260819 01445</t>
        </is>
      </c>
      <c r="L1451" t="inlineStr">
        <is>
          <t>GL.NOSTRO.EUR.BRYG.003</t>
        </is>
      </c>
      <c r="M1451" t="inlineStr">
        <is>
          <t>Elmwood Clearing</t>
        </is>
      </c>
      <c r="N1451" t="inlineStr">
        <is>
          <t>BRYGCASH</t>
        </is>
      </c>
      <c r="O1451" t="inlineStr">
        <is>
          <t>NEW</t>
        </is>
      </c>
      <c r="P1451" t="inlineStr">
        <is>
          <t>NT26081900690</t>
        </is>
      </c>
      <c r="Q1451" t="inlineStr">
        <is>
          <t>NETTER</t>
        </is>
      </c>
    </row>
    <row r="1452">
      <c r="A1452" t="inlineStr">
        <is>
          <t>700726936098</t>
        </is>
      </c>
      <c r="B1452" t="inlineStr">
        <is>
          <t>TCX</t>
        </is>
      </c>
      <c r="C1452" t="inlineStr">
        <is>
          <t>BRMD</t>
        </is>
      </c>
      <c r="D1452" s="6" t="n">
        <v>46253</v>
      </c>
      <c r="E1452" t="inlineStr">
        <is>
          <t>DR</t>
        </is>
      </c>
      <c r="F1452" t="inlineStr">
        <is>
          <t>SAR</t>
        </is>
      </c>
      <c r="G1452" s="7" t="n">
        <v>-12933.428</v>
      </c>
      <c r="H1452" t="inlineStr">
        <is>
          <t>GBP</t>
        </is>
      </c>
      <c r="I1452" s="7" t="n">
        <v>-2703.086</v>
      </c>
      <c r="J1452" s="8" t="n">
        <v>46253.62060185185</v>
      </c>
      <c r="K1452" t="inlineStr">
        <is>
          <t>CF260819 01446</t>
        </is>
      </c>
      <c r="L1452" t="inlineStr">
        <is>
          <t>GL.NOSTRO.SAR.BRMD.008</t>
        </is>
      </c>
      <c r="M1452" t="inlineStr">
        <is>
          <t>Granite Bank</t>
        </is>
      </c>
      <c r="N1452" t="inlineStr">
        <is>
          <t>BRMDTRSY</t>
        </is>
      </c>
      <c r="O1452" t="inlineStr">
        <is>
          <t>NEW</t>
        </is>
      </c>
      <c r="Q1452" t="inlineStr">
        <is>
          <t>NETTER</t>
        </is>
      </c>
    </row>
    <row r="1453">
      <c r="A1453" t="inlineStr">
        <is>
          <t>150316825069</t>
        </is>
      </c>
      <c r="B1453" t="inlineStr">
        <is>
          <t>TCG</t>
        </is>
      </c>
      <c r="C1453" t="inlineStr">
        <is>
          <t>BRGX</t>
        </is>
      </c>
      <c r="D1453" s="6" t="n">
        <v>46253</v>
      </c>
      <c r="E1453" t="inlineStr">
        <is>
          <t>DR</t>
        </is>
      </c>
      <c r="F1453" t="inlineStr">
        <is>
          <t>GBP</t>
        </is>
      </c>
      <c r="G1453" s="7" t="n">
        <v>-870554760.733</v>
      </c>
      <c r="H1453" t="inlineStr">
        <is>
          <t>GBP</t>
        </is>
      </c>
      <c r="I1453" s="7" t="n">
        <v>-870554760.733</v>
      </c>
      <c r="J1453" s="8" t="n">
        <v>46253.6922337963</v>
      </c>
      <c r="K1453" t="inlineStr">
        <is>
          <t>CF260819 01447</t>
        </is>
      </c>
      <c r="L1453" t="inlineStr">
        <is>
          <t>GL.NOSTRO.GBP.BRGX.005</t>
        </is>
      </c>
      <c r="M1453" t="inlineStr">
        <is>
          <t>Ironbark Trust</t>
        </is>
      </c>
      <c r="N1453" t="inlineStr">
        <is>
          <t>BRGXCASH</t>
        </is>
      </c>
      <c r="O1453" t="inlineStr">
        <is>
          <t>NEW</t>
        </is>
      </c>
      <c r="P1453" t="inlineStr">
        <is>
          <t>NT26081900688</t>
        </is>
      </c>
      <c r="Q1453" t="inlineStr">
        <is>
          <t>GROSS</t>
        </is>
      </c>
    </row>
    <row r="1454">
      <c r="A1454" t="inlineStr">
        <is>
          <t>794226063698</t>
        </is>
      </c>
      <c r="B1454" t="inlineStr">
        <is>
          <t>TCC</t>
        </is>
      </c>
      <c r="C1454" t="inlineStr">
        <is>
          <t>BRMD</t>
        </is>
      </c>
      <c r="D1454" s="6" t="n">
        <v>46253</v>
      </c>
      <c r="E1454" t="inlineStr">
        <is>
          <t>CR</t>
        </is>
      </c>
      <c r="F1454" t="inlineStr">
        <is>
          <t>AED</t>
        </is>
      </c>
      <c r="G1454" s="7" t="n">
        <v>15012405.253</v>
      </c>
      <c r="H1454" t="inlineStr">
        <is>
          <t>GBP</t>
        </is>
      </c>
      <c r="I1454" s="7" t="n">
        <v>3197642.319</v>
      </c>
      <c r="J1454" s="8" t="n">
        <v>46253.33045138889</v>
      </c>
      <c r="K1454" t="inlineStr">
        <is>
          <t>CF260819 01448</t>
        </is>
      </c>
      <c r="L1454" t="inlineStr">
        <is>
          <t>GL.NOSTRO.AED.BRMD.001</t>
        </is>
      </c>
      <c r="M1454" t="inlineStr">
        <is>
          <t>Pinehurst Bank</t>
        </is>
      </c>
      <c r="N1454" t="inlineStr">
        <is>
          <t>BRMD</t>
        </is>
      </c>
      <c r="O1454" t="inlineStr">
        <is>
          <t>NEW</t>
        </is>
      </c>
      <c r="Q1454" t="inlineStr">
        <is>
          <t>GROSS</t>
        </is>
      </c>
    </row>
    <row r="1455">
      <c r="A1455" t="inlineStr">
        <is>
          <t>150316825069</t>
        </is>
      </c>
      <c r="B1455" t="inlineStr">
        <is>
          <t>TCG</t>
        </is>
      </c>
      <c r="C1455" t="inlineStr">
        <is>
          <t>BRGX</t>
        </is>
      </c>
      <c r="D1455" s="6" t="n">
        <v>46253</v>
      </c>
      <c r="E1455" t="inlineStr">
        <is>
          <t>CR</t>
        </is>
      </c>
      <c r="F1455" t="inlineStr">
        <is>
          <t>GBP</t>
        </is>
      </c>
      <c r="G1455" s="7" t="n">
        <v>124245.245</v>
      </c>
      <c r="H1455" t="inlineStr">
        <is>
          <t>GBP</t>
        </is>
      </c>
      <c r="I1455" s="7" t="n">
        <v>124245.245</v>
      </c>
      <c r="J1455" s="8" t="n">
        <v>46253.69626157408</v>
      </c>
      <c r="K1455" t="inlineStr">
        <is>
          <t>CF260819 01449</t>
        </is>
      </c>
      <c r="L1455" t="inlineStr">
        <is>
          <t>GL.NOSTRO.GBP.BRGX.001</t>
        </is>
      </c>
      <c r="M1455" t="inlineStr">
        <is>
          <t>Ironbark Commercial Bank</t>
        </is>
      </c>
      <c r="N1455" t="inlineStr">
        <is>
          <t>BRGX</t>
        </is>
      </c>
      <c r="O1455" t="inlineStr">
        <is>
          <t>NEW</t>
        </is>
      </c>
      <c r="P1455" t="inlineStr">
        <is>
          <t>NT26081900685</t>
        </is>
      </c>
      <c r="Q1455" t="inlineStr">
        <is>
          <t>INTERNAL</t>
        </is>
      </c>
    </row>
    <row r="1456">
      <c r="A1456" t="inlineStr">
        <is>
          <t>150316825069</t>
        </is>
      </c>
      <c r="B1456" t="inlineStr">
        <is>
          <t>TCQ</t>
        </is>
      </c>
      <c r="C1456" t="inlineStr">
        <is>
          <t>BRGX</t>
        </is>
      </c>
      <c r="D1456" s="6" t="n">
        <v>46253</v>
      </c>
      <c r="E1456" t="inlineStr">
        <is>
          <t>DR</t>
        </is>
      </c>
      <c r="F1456" t="inlineStr">
        <is>
          <t>GBP</t>
        </is>
      </c>
      <c r="G1456" s="7" t="n">
        <v>-11708952.527</v>
      </c>
      <c r="H1456" t="inlineStr">
        <is>
          <t>GBP</t>
        </is>
      </c>
      <c r="I1456" s="7" t="n">
        <v>-11708952.527</v>
      </c>
      <c r="J1456" s="8" t="n">
        <v>46253.56959490741</v>
      </c>
      <c r="K1456" t="inlineStr">
        <is>
          <t>CF260819 01450</t>
        </is>
      </c>
      <c r="L1456" t="inlineStr">
        <is>
          <t>GL.NOSTRO.GBP.BRGX.006</t>
        </is>
      </c>
      <c r="M1456" t="inlineStr">
        <is>
          <t>Ironbark Trust</t>
        </is>
      </c>
      <c r="N1456" t="inlineStr">
        <is>
          <t>BRGXTRSY</t>
        </is>
      </c>
      <c r="O1456" t="inlineStr">
        <is>
          <t>NEW</t>
        </is>
      </c>
      <c r="P1456" t="inlineStr">
        <is>
          <t>NT26081900660</t>
        </is>
      </c>
      <c r="Q1456" t="inlineStr">
        <is>
          <t>GROSS</t>
        </is>
      </c>
    </row>
    <row r="1457">
      <c r="A1457" t="inlineStr">
        <is>
          <t>499062838623</t>
        </is>
      </c>
      <c r="B1457" t="inlineStr">
        <is>
          <t>TCQ</t>
        </is>
      </c>
      <c r="C1457" t="inlineStr">
        <is>
          <t>BRBX</t>
        </is>
      </c>
      <c r="D1457" s="6" t="n">
        <v>46253</v>
      </c>
      <c r="E1457" t="inlineStr">
        <is>
          <t>DR</t>
        </is>
      </c>
      <c r="F1457" t="inlineStr">
        <is>
          <t>USD</t>
        </is>
      </c>
      <c r="G1457" s="7" t="n">
        <v>-4523310.364</v>
      </c>
      <c r="H1457" t="inlineStr">
        <is>
          <t>GBP</t>
        </is>
      </c>
      <c r="I1457" s="7" t="n">
        <v>-3546275.325</v>
      </c>
      <c r="J1457" s="8" t="n">
        <v>46253.41306712963</v>
      </c>
      <c r="K1457" t="inlineStr">
        <is>
          <t>CF260819 01451</t>
        </is>
      </c>
      <c r="L1457" t="inlineStr">
        <is>
          <t>GL.NOSTRO.USD.BRBX.003</t>
        </is>
      </c>
      <c r="M1457" t="inlineStr">
        <is>
          <t>Alder Trust</t>
        </is>
      </c>
      <c r="N1457" t="inlineStr">
        <is>
          <t>BRBX</t>
        </is>
      </c>
      <c r="O1457" t="inlineStr">
        <is>
          <t>NEW</t>
        </is>
      </c>
      <c r="P1457" t="inlineStr">
        <is>
          <t>NT26081900683</t>
        </is>
      </c>
      <c r="Q1457" t="inlineStr">
        <is>
          <t>NETTER</t>
        </is>
      </c>
    </row>
    <row r="1458">
      <c r="A1458" t="inlineStr">
        <is>
          <t>927538182434</t>
        </is>
      </c>
      <c r="B1458" t="inlineStr">
        <is>
          <t>TCC</t>
        </is>
      </c>
      <c r="C1458" t="inlineStr">
        <is>
          <t>BRNK</t>
        </is>
      </c>
      <c r="D1458" s="6" t="n">
        <v>46253</v>
      </c>
      <c r="E1458" t="inlineStr">
        <is>
          <t>CR</t>
        </is>
      </c>
      <c r="F1458" t="inlineStr">
        <is>
          <t>CNY</t>
        </is>
      </c>
      <c r="G1458" s="7" t="n">
        <v>43102256263.932</v>
      </c>
      <c r="H1458" t="inlineStr">
        <is>
          <t>GBP</t>
        </is>
      </c>
      <c r="I1458" s="7" t="n">
        <v>4698145932.769</v>
      </c>
      <c r="J1458" s="8" t="n">
        <v>46253.30660879629</v>
      </c>
      <c r="K1458" t="inlineStr">
        <is>
          <t>CF260819 01452</t>
        </is>
      </c>
      <c r="L1458" t="inlineStr">
        <is>
          <t>GL.NOSTRO.CNY.BRNK.005</t>
        </is>
      </c>
      <c r="M1458" t="inlineStr">
        <is>
          <t>Dunlin Clearing</t>
        </is>
      </c>
      <c r="N1458" t="inlineStr">
        <is>
          <t>BRNKMM</t>
        </is>
      </c>
      <c r="O1458" t="inlineStr">
        <is>
          <t>NEW</t>
        </is>
      </c>
      <c r="P1458" t="inlineStr">
        <is>
          <t>NT26081900660</t>
        </is>
      </c>
      <c r="Q1458" t="inlineStr">
        <is>
          <t>NETTER</t>
        </is>
      </c>
    </row>
    <row r="1459">
      <c r="A1459" t="inlineStr">
        <is>
          <t>120047354818</t>
        </is>
      </c>
      <c r="B1459" t="inlineStr">
        <is>
          <t>TCP</t>
        </is>
      </c>
      <c r="C1459" t="inlineStr">
        <is>
          <t>BRNK</t>
        </is>
      </c>
      <c r="D1459" s="6" t="n">
        <v>46253</v>
      </c>
      <c r="E1459" t="inlineStr">
        <is>
          <t>CR</t>
        </is>
      </c>
      <c r="F1459" t="inlineStr">
        <is>
          <t>USD</t>
        </is>
      </c>
      <c r="G1459" s="7" t="n">
        <v>18110005.638</v>
      </c>
      <c r="H1459" t="inlineStr">
        <is>
          <t>GBP</t>
        </is>
      </c>
      <c r="I1459" s="7" t="n">
        <v>14198244.42</v>
      </c>
      <c r="J1459" s="8" t="n">
        <v>46253.75049768519</v>
      </c>
      <c r="K1459" t="inlineStr">
        <is>
          <t>CF260819 01453</t>
        </is>
      </c>
      <c r="L1459" t="inlineStr">
        <is>
          <t>GL.NOSTRO.USD.BRNK.008</t>
        </is>
      </c>
      <c r="M1459" t="inlineStr">
        <is>
          <t>Redstart Commercial Bank</t>
        </is>
      </c>
      <c r="N1459" t="inlineStr">
        <is>
          <t>BRNKCASH</t>
        </is>
      </c>
      <c r="O1459" t="inlineStr">
        <is>
          <t>NEW</t>
        </is>
      </c>
      <c r="P1459" t="inlineStr">
        <is>
          <t>NT26081900676</t>
        </is>
      </c>
      <c r="Q1459" t="inlineStr">
        <is>
          <t>GROSS</t>
        </is>
      </c>
    </row>
    <row r="1460">
      <c r="A1460" t="inlineStr">
        <is>
          <t>726928343448</t>
        </is>
      </c>
      <c r="B1460" t="inlineStr">
        <is>
          <t>TCP</t>
        </is>
      </c>
      <c r="C1460" t="inlineStr">
        <is>
          <t>BRGX</t>
        </is>
      </c>
      <c r="D1460" s="6" t="n">
        <v>46253</v>
      </c>
      <c r="E1460" t="inlineStr">
        <is>
          <t>DR</t>
        </is>
      </c>
      <c r="F1460" t="inlineStr">
        <is>
          <t>EUR</t>
        </is>
      </c>
      <c r="G1460" s="7" t="n">
        <v>-14818097.704</v>
      </c>
      <c r="H1460" t="inlineStr">
        <is>
          <t>GBP</t>
        </is>
      </c>
      <c r="I1460" s="7" t="n">
        <v>-12713927.83</v>
      </c>
      <c r="J1460" s="8" t="n">
        <v>46253.72584490741</v>
      </c>
      <c r="K1460" t="inlineStr">
        <is>
          <t>CF260819 01454</t>
        </is>
      </c>
      <c r="L1460" t="inlineStr">
        <is>
          <t>GL.NOSTRO.EUR.BRGX.004</t>
        </is>
      </c>
      <c r="M1460" t="inlineStr">
        <is>
          <t>Mallow Commercial Bank</t>
        </is>
      </c>
      <c r="N1460" t="inlineStr">
        <is>
          <t>BRGXCASH</t>
        </is>
      </c>
      <c r="O1460" t="inlineStr">
        <is>
          <t>NEW</t>
        </is>
      </c>
      <c r="P1460" t="inlineStr">
        <is>
          <t>NT26081900662</t>
        </is>
      </c>
      <c r="Q1460" t="inlineStr">
        <is>
          <t>NETTER</t>
        </is>
      </c>
    </row>
    <row r="1461">
      <c r="A1461" t="inlineStr">
        <is>
          <t>927538182434</t>
        </is>
      </c>
      <c r="B1461" t="inlineStr">
        <is>
          <t>TCC</t>
        </is>
      </c>
      <c r="C1461" t="inlineStr">
        <is>
          <t>BRNK</t>
        </is>
      </c>
      <c r="D1461" s="6" t="n">
        <v>46253</v>
      </c>
      <c r="E1461" t="inlineStr">
        <is>
          <t>CR</t>
        </is>
      </c>
      <c r="F1461" t="inlineStr">
        <is>
          <t>CNY</t>
        </is>
      </c>
      <c r="G1461" s="7" t="n">
        <v>226147.317</v>
      </c>
      <c r="H1461" t="inlineStr">
        <is>
          <t>GBP</t>
        </is>
      </c>
      <c r="I1461" s="7" t="n">
        <v>24650.058</v>
      </c>
      <c r="J1461" s="8" t="n">
        <v>46253.43385416667</v>
      </c>
      <c r="K1461" t="inlineStr">
        <is>
          <t>CF260819 01455</t>
        </is>
      </c>
      <c r="L1461" t="inlineStr">
        <is>
          <t>GL.NOSTRO.CNY.BRNK.004</t>
        </is>
      </c>
      <c r="M1461" t="inlineStr">
        <is>
          <t>Pinehurst Clearing</t>
        </is>
      </c>
      <c r="N1461" t="inlineStr">
        <is>
          <t>BRNKMM</t>
        </is>
      </c>
      <c r="O1461" t="inlineStr">
        <is>
          <t>NEW</t>
        </is>
      </c>
      <c r="Q1461" t="inlineStr">
        <is>
          <t>GROSS</t>
        </is>
      </c>
    </row>
    <row r="1462">
      <c r="A1462" t="inlineStr">
        <is>
          <t>700726936098</t>
        </is>
      </c>
      <c r="B1462" t="inlineStr">
        <is>
          <t>TCC</t>
        </is>
      </c>
      <c r="C1462" t="inlineStr">
        <is>
          <t>BRMD</t>
        </is>
      </c>
      <c r="D1462" s="6" t="n">
        <v>46253</v>
      </c>
      <c r="E1462" t="inlineStr">
        <is>
          <t>CR</t>
        </is>
      </c>
      <c r="F1462" t="inlineStr">
        <is>
          <t>SAR</t>
        </is>
      </c>
      <c r="G1462" s="7" t="n">
        <v>2832629845.052</v>
      </c>
      <c r="H1462" t="inlineStr">
        <is>
          <t>GBP</t>
        </is>
      </c>
      <c r="I1462" s="7" t="n">
        <v>592019637.6160001</v>
      </c>
      <c r="J1462" s="8" t="n">
        <v>46253.178125</v>
      </c>
      <c r="K1462" t="inlineStr">
        <is>
          <t>CF260819 01456</t>
        </is>
      </c>
      <c r="L1462" t="inlineStr">
        <is>
          <t>GL.NOSTRO.SAR.BRMD.009</t>
        </is>
      </c>
      <c r="M1462" t="inlineStr">
        <is>
          <t>Dunlin Trust</t>
        </is>
      </c>
      <c r="N1462" t="inlineStr">
        <is>
          <t>BRMDTRSY</t>
        </is>
      </c>
      <c r="O1462" t="inlineStr">
        <is>
          <t>NEW</t>
        </is>
      </c>
      <c r="P1462" t="inlineStr">
        <is>
          <t>NT26081900691</t>
        </is>
      </c>
      <c r="Q1462" t="inlineStr">
        <is>
          <t>NETTER</t>
        </is>
      </c>
    </row>
    <row r="1463">
      <c r="A1463" t="inlineStr">
        <is>
          <t>824840705580</t>
        </is>
      </c>
      <c r="B1463" t="inlineStr">
        <is>
          <t>TCP</t>
        </is>
      </c>
      <c r="C1463" t="inlineStr">
        <is>
          <t>BRGL</t>
        </is>
      </c>
      <c r="D1463" s="6" t="n">
        <v>46253</v>
      </c>
      <c r="E1463" t="inlineStr">
        <is>
          <t>CR</t>
        </is>
      </c>
      <c r="F1463" t="inlineStr">
        <is>
          <t>EUR</t>
        </is>
      </c>
      <c r="G1463" s="7" t="n">
        <v>85573838.06</v>
      </c>
      <c r="H1463" t="inlineStr">
        <is>
          <t>GBP</t>
        </is>
      </c>
      <c r="I1463" s="7" t="n">
        <v>73422353.05500001</v>
      </c>
      <c r="J1463" s="8" t="n">
        <v>46253.52548611111</v>
      </c>
      <c r="K1463" t="inlineStr">
        <is>
          <t>CF260819 01457</t>
        </is>
      </c>
      <c r="L1463" t="inlineStr">
        <is>
          <t>GL.NOSTRO.EUR.BRGL.004</t>
        </is>
      </c>
      <c r="M1463" t="inlineStr">
        <is>
          <t>Granite Bank</t>
        </is>
      </c>
      <c r="N1463" t="inlineStr">
        <is>
          <t>BRGLTRSY</t>
        </is>
      </c>
      <c r="O1463" t="inlineStr">
        <is>
          <t>NEW</t>
        </is>
      </c>
      <c r="Q1463" t="inlineStr">
        <is>
          <t>NETTER</t>
        </is>
      </c>
    </row>
    <row r="1464">
      <c r="A1464" t="inlineStr">
        <is>
          <t>794226063698</t>
        </is>
      </c>
      <c r="B1464" t="inlineStr">
        <is>
          <t>TCG</t>
        </is>
      </c>
      <c r="C1464" t="inlineStr">
        <is>
          <t>BRMD</t>
        </is>
      </c>
      <c r="D1464" s="6" t="n">
        <v>46253</v>
      </c>
      <c r="E1464" t="inlineStr">
        <is>
          <t>CR</t>
        </is>
      </c>
      <c r="F1464" t="inlineStr">
        <is>
          <t>AED</t>
        </is>
      </c>
      <c r="G1464" s="7" t="n">
        <v>407671584.068</v>
      </c>
      <c r="H1464" t="inlineStr">
        <is>
          <t>GBP</t>
        </is>
      </c>
      <c r="I1464" s="7" t="n">
        <v>86834047.406</v>
      </c>
      <c r="J1464" s="8" t="n">
        <v>46253.73482638889</v>
      </c>
      <c r="K1464" t="inlineStr">
        <is>
          <t>CF260819 01458</t>
        </is>
      </c>
      <c r="L1464" t="inlineStr">
        <is>
          <t>GL.NOSTRO.AED.BRMD.008</t>
        </is>
      </c>
      <c r="M1464" t="inlineStr">
        <is>
          <t>Thornbury Bank</t>
        </is>
      </c>
      <c r="N1464" t="inlineStr">
        <is>
          <t>BRMDCASH</t>
        </is>
      </c>
      <c r="O1464" t="inlineStr">
        <is>
          <t>NEW</t>
        </is>
      </c>
      <c r="P1464" t="inlineStr">
        <is>
          <t>NT26081900681</t>
        </is>
      </c>
      <c r="Q1464" t="inlineStr">
        <is>
          <t>GROSS</t>
        </is>
      </c>
    </row>
    <row r="1465">
      <c r="A1465" t="inlineStr">
        <is>
          <t>898317028833</t>
        </is>
      </c>
      <c r="B1465" t="inlineStr">
        <is>
          <t>TCC</t>
        </is>
      </c>
      <c r="C1465" t="inlineStr">
        <is>
          <t>BRAA</t>
        </is>
      </c>
      <c r="D1465" s="6" t="n">
        <v>46253</v>
      </c>
      <c r="E1465" t="inlineStr">
        <is>
          <t>CR</t>
        </is>
      </c>
      <c r="F1465" t="inlineStr">
        <is>
          <t>GBP</t>
        </is>
      </c>
      <c r="G1465" s="7" t="n">
        <v>32077348.89</v>
      </c>
      <c r="H1465" t="inlineStr">
        <is>
          <t>GBP</t>
        </is>
      </c>
      <c r="I1465" s="7" t="n">
        <v>32077348.89</v>
      </c>
      <c r="J1465" s="8" t="n">
        <v>46253.64927083333</v>
      </c>
      <c r="K1465" t="inlineStr">
        <is>
          <t>CF260819 01459</t>
        </is>
      </c>
      <c r="L1465" t="inlineStr">
        <is>
          <t>GL.NOSTRO.GBP.BRAA.003</t>
        </is>
      </c>
      <c r="M1465" t="inlineStr">
        <is>
          <t>Vetchling Bank</t>
        </is>
      </c>
      <c r="N1465" t="inlineStr">
        <is>
          <t>BRAAMM</t>
        </is>
      </c>
      <c r="O1465" t="inlineStr">
        <is>
          <t>NEW</t>
        </is>
      </c>
      <c r="Q1465" t="inlineStr">
        <is>
          <t>NETTER</t>
        </is>
      </c>
    </row>
    <row r="1466">
      <c r="A1466" t="inlineStr">
        <is>
          <t>898317028833</t>
        </is>
      </c>
      <c r="B1466" t="inlineStr">
        <is>
          <t>TCP</t>
        </is>
      </c>
      <c r="C1466" t="inlineStr">
        <is>
          <t>BRAA</t>
        </is>
      </c>
      <c r="D1466" s="6" t="n">
        <v>46253</v>
      </c>
      <c r="E1466" t="inlineStr">
        <is>
          <t>DR</t>
        </is>
      </c>
      <c r="F1466" t="inlineStr">
        <is>
          <t>GBP</t>
        </is>
      </c>
      <c r="G1466" s="7" t="n">
        <v>-4167105.496</v>
      </c>
      <c r="H1466" t="inlineStr">
        <is>
          <t>GBP</t>
        </is>
      </c>
      <c r="I1466" s="7" t="n">
        <v>-4167105.496</v>
      </c>
      <c r="J1466" s="8" t="n">
        <v>46253.55567129629</v>
      </c>
      <c r="K1466" t="inlineStr">
        <is>
          <t>CF260819 01460</t>
        </is>
      </c>
      <c r="L1466" t="inlineStr">
        <is>
          <t>GL.NOSTRO.GBP.BRAA.006</t>
        </is>
      </c>
      <c r="M1466" t="inlineStr">
        <is>
          <t>Yarrow Commercial Bank</t>
        </is>
      </c>
      <c r="N1466" t="inlineStr">
        <is>
          <t>BRAAMM</t>
        </is>
      </c>
      <c r="O1466" t="inlineStr">
        <is>
          <t>NEW</t>
        </is>
      </c>
      <c r="Q1466" t="inlineStr">
        <is>
          <t>NETTER</t>
        </is>
      </c>
    </row>
    <row r="1467">
      <c r="A1467" t="inlineStr">
        <is>
          <t>150316825069</t>
        </is>
      </c>
      <c r="B1467" t="inlineStr">
        <is>
          <t>TCG</t>
        </is>
      </c>
      <c r="C1467" t="inlineStr">
        <is>
          <t>BRGX</t>
        </is>
      </c>
      <c r="D1467" s="6" t="n">
        <v>46253</v>
      </c>
      <c r="E1467" t="inlineStr">
        <is>
          <t>CR</t>
        </is>
      </c>
      <c r="F1467" t="inlineStr">
        <is>
          <t>GBP</t>
        </is>
      </c>
      <c r="G1467" s="7" t="n">
        <v>740577079.7410001</v>
      </c>
      <c r="H1467" t="inlineStr">
        <is>
          <t>GBP</t>
        </is>
      </c>
      <c r="I1467" s="7" t="n">
        <v>740577079.7410001</v>
      </c>
      <c r="J1467" s="8" t="n">
        <v>46253.74659722222</v>
      </c>
      <c r="K1467" t="inlineStr">
        <is>
          <t>CF260819 01461</t>
        </is>
      </c>
      <c r="L1467" t="inlineStr">
        <is>
          <t>GL.NOSTRO.GBP.BRGX.008</t>
        </is>
      </c>
      <c r="M1467" t="inlineStr">
        <is>
          <t>Harrow Clearing</t>
        </is>
      </c>
      <c r="N1467" t="inlineStr">
        <is>
          <t>BRGXTRSY</t>
        </is>
      </c>
      <c r="O1467" t="inlineStr">
        <is>
          <t>NEW</t>
        </is>
      </c>
      <c r="Q1467" t="inlineStr">
        <is>
          <t>NETTER</t>
        </is>
      </c>
    </row>
    <row r="1468">
      <c r="A1468" t="inlineStr">
        <is>
          <t>794226063698</t>
        </is>
      </c>
      <c r="B1468" t="inlineStr">
        <is>
          <t>TCX</t>
        </is>
      </c>
      <c r="C1468" t="inlineStr">
        <is>
          <t>BRMD</t>
        </is>
      </c>
      <c r="D1468" s="6" t="n">
        <v>46253</v>
      </c>
      <c r="E1468" t="inlineStr">
        <is>
          <t>DR</t>
        </is>
      </c>
      <c r="F1468" t="inlineStr">
        <is>
          <t>AED</t>
        </is>
      </c>
      <c r="G1468" s="7" t="n">
        <v>-102067240.554</v>
      </c>
      <c r="H1468" t="inlineStr">
        <is>
          <t>GBP</t>
        </is>
      </c>
      <c r="I1468" s="7" t="n">
        <v>-21740322.238</v>
      </c>
      <c r="J1468" s="8" t="n">
        <v>46253.35793981481</v>
      </c>
      <c r="K1468" t="inlineStr">
        <is>
          <t>CF260819 01462</t>
        </is>
      </c>
      <c r="L1468" t="inlineStr">
        <is>
          <t>GL.NOSTRO.AED.BRMD.003</t>
        </is>
      </c>
      <c r="M1468" t="inlineStr">
        <is>
          <t>Harrow Clearing</t>
        </is>
      </c>
      <c r="N1468" t="inlineStr">
        <is>
          <t>BRMDTRSY</t>
        </is>
      </c>
      <c r="O1468" t="inlineStr">
        <is>
          <t>NEW</t>
        </is>
      </c>
      <c r="Q1468" t="inlineStr">
        <is>
          <t>NETTER</t>
        </is>
      </c>
    </row>
    <row r="1469">
      <c r="A1469" t="inlineStr">
        <is>
          <t>910703979141</t>
        </is>
      </c>
      <c r="B1469" t="inlineStr">
        <is>
          <t>TCG</t>
        </is>
      </c>
      <c r="C1469" t="inlineStr">
        <is>
          <t>BRCC</t>
        </is>
      </c>
      <c r="D1469" s="6" t="n">
        <v>46253</v>
      </c>
      <c r="E1469" t="inlineStr">
        <is>
          <t>CR</t>
        </is>
      </c>
      <c r="F1469" t="inlineStr">
        <is>
          <t>CHF</t>
        </is>
      </c>
      <c r="G1469" s="7" t="n">
        <v>2114263.806</v>
      </c>
      <c r="H1469" t="inlineStr">
        <is>
          <t>GBP</t>
        </is>
      </c>
      <c r="I1469" s="7" t="n">
        <v>1896494.634</v>
      </c>
      <c r="J1469" s="8" t="n">
        <v>46253.32314814815</v>
      </c>
      <c r="K1469" t="inlineStr">
        <is>
          <t>CF260819 01463</t>
        </is>
      </c>
      <c r="L1469" t="inlineStr">
        <is>
          <t>GL.NOSTRO.CHF.BRCC.006</t>
        </is>
      </c>
      <c r="M1469" t="inlineStr">
        <is>
          <t>Sablewood Clearing</t>
        </is>
      </c>
      <c r="N1469" t="inlineStr">
        <is>
          <t>BRCCMM</t>
        </is>
      </c>
      <c r="O1469" t="inlineStr">
        <is>
          <t>NEW</t>
        </is>
      </c>
      <c r="P1469" t="inlineStr">
        <is>
          <t>NT26081900684</t>
        </is>
      </c>
      <c r="Q1469" t="inlineStr">
        <is>
          <t>NETTER</t>
        </is>
      </c>
    </row>
    <row r="1470">
      <c r="A1470" t="inlineStr">
        <is>
          <t>898317028833</t>
        </is>
      </c>
      <c r="B1470" t="inlineStr">
        <is>
          <t>TCC</t>
        </is>
      </c>
      <c r="C1470" t="inlineStr">
        <is>
          <t>BRAA</t>
        </is>
      </c>
      <c r="D1470" s="6" t="n">
        <v>46253</v>
      </c>
      <c r="E1470" t="inlineStr">
        <is>
          <t>DR</t>
        </is>
      </c>
      <c r="F1470" t="inlineStr">
        <is>
          <t>GBP</t>
        </is>
      </c>
      <c r="G1470" s="7" t="n">
        <v>-46546580.913</v>
      </c>
      <c r="H1470" t="inlineStr">
        <is>
          <t>GBP</t>
        </is>
      </c>
      <c r="I1470" s="7" t="n">
        <v>-46546580.913</v>
      </c>
      <c r="J1470" s="8" t="n">
        <v>46253.05241898148</v>
      </c>
      <c r="K1470" t="inlineStr">
        <is>
          <t>CF260819 01464</t>
        </is>
      </c>
      <c r="L1470" t="inlineStr">
        <is>
          <t>GL.NOSTRO.GBP.BRAA.008</t>
        </is>
      </c>
      <c r="M1470" t="inlineStr">
        <is>
          <t>Wrenfield Settlement Bank</t>
        </is>
      </c>
      <c r="N1470" t="inlineStr">
        <is>
          <t>BRAA</t>
        </is>
      </c>
      <c r="O1470" t="inlineStr">
        <is>
          <t>NEW</t>
        </is>
      </c>
      <c r="P1470" t="inlineStr">
        <is>
          <t>NT26081900675</t>
        </is>
      </c>
      <c r="Q1470" t="inlineStr">
        <is>
          <t>NETTER</t>
        </is>
      </c>
    </row>
    <row r="1471">
      <c r="A1471" t="inlineStr">
        <is>
          <t>794226063698</t>
        </is>
      </c>
      <c r="B1471" t="inlineStr">
        <is>
          <t>TCQ</t>
        </is>
      </c>
      <c r="C1471" t="inlineStr">
        <is>
          <t>BRMD</t>
        </is>
      </c>
      <c r="D1471" s="6" t="n">
        <v>46253</v>
      </c>
      <c r="E1471" t="inlineStr">
        <is>
          <t>CR</t>
        </is>
      </c>
      <c r="F1471" t="inlineStr">
        <is>
          <t>AED</t>
        </is>
      </c>
      <c r="G1471" s="7" t="n">
        <v>139911.493</v>
      </c>
      <c r="H1471" t="inlineStr">
        <is>
          <t>GBP</t>
        </is>
      </c>
      <c r="I1471" s="7" t="n">
        <v>29801.148</v>
      </c>
      <c r="J1471" s="8" t="n">
        <v>46253.35644675926</v>
      </c>
      <c r="K1471" t="inlineStr">
        <is>
          <t>CF260819 01465</t>
        </is>
      </c>
      <c r="L1471" t="inlineStr">
        <is>
          <t>GL.NOSTRO.AED.BRMD.007</t>
        </is>
      </c>
      <c r="M1471" t="inlineStr">
        <is>
          <t>Redstart Commercial Bank</t>
        </is>
      </c>
      <c r="N1471" t="inlineStr">
        <is>
          <t>BRMD</t>
        </is>
      </c>
      <c r="O1471" t="inlineStr">
        <is>
          <t>NEW</t>
        </is>
      </c>
      <c r="P1471" t="inlineStr">
        <is>
          <t>NT26081900687</t>
        </is>
      </c>
      <c r="Q1471" t="inlineStr">
        <is>
          <t>INTERNAL</t>
        </is>
      </c>
    </row>
    <row r="1472">
      <c r="A1472" t="inlineStr">
        <is>
          <t>621381112674</t>
        </is>
      </c>
      <c r="B1472" t="inlineStr">
        <is>
          <t>TCX</t>
        </is>
      </c>
      <c r="C1472" t="inlineStr">
        <is>
          <t>BRAA</t>
        </is>
      </c>
      <c r="D1472" s="6" t="n">
        <v>46253</v>
      </c>
      <c r="E1472" t="inlineStr">
        <is>
          <t>DR</t>
        </is>
      </c>
      <c r="F1472" t="inlineStr">
        <is>
          <t>PLN</t>
        </is>
      </c>
      <c r="G1472" s="7" t="n">
        <v>-4362439.236</v>
      </c>
      <c r="H1472" t="inlineStr">
        <is>
          <t>GBP</t>
        </is>
      </c>
      <c r="I1472" s="7" t="n">
        <v>-863762.969</v>
      </c>
      <c r="J1472" s="8" t="n">
        <v>46253.4571412037</v>
      </c>
      <c r="K1472" t="inlineStr">
        <is>
          <t>CF260819 01466</t>
        </is>
      </c>
      <c r="L1472" t="inlineStr">
        <is>
          <t>GL.NOSTRO.PLN.BRAA.007</t>
        </is>
      </c>
      <c r="M1472" t="inlineStr">
        <is>
          <t>Cedar Commercial Bank</t>
        </is>
      </c>
      <c r="N1472" t="inlineStr">
        <is>
          <t>BRAAMM</t>
        </is>
      </c>
      <c r="O1472" t="inlineStr">
        <is>
          <t>NEW</t>
        </is>
      </c>
      <c r="P1472" t="inlineStr">
        <is>
          <t>NT26081900694</t>
        </is>
      </c>
      <c r="Q1472" t="inlineStr">
        <is>
          <t>GROSS</t>
        </is>
      </c>
    </row>
    <row r="1473">
      <c r="A1473" t="inlineStr">
        <is>
          <t>150316825069</t>
        </is>
      </c>
      <c r="B1473" t="inlineStr">
        <is>
          <t>TCG</t>
        </is>
      </c>
      <c r="C1473" t="inlineStr">
        <is>
          <t>BRGX</t>
        </is>
      </c>
      <c r="D1473" s="6" t="n">
        <v>46253</v>
      </c>
      <c r="E1473" t="inlineStr">
        <is>
          <t>CR</t>
        </is>
      </c>
      <c r="F1473" t="inlineStr">
        <is>
          <t>GBP</t>
        </is>
      </c>
      <c r="G1473" s="7" t="n">
        <v>7996669.878</v>
      </c>
      <c r="H1473" t="inlineStr">
        <is>
          <t>GBP</t>
        </is>
      </c>
      <c r="I1473" s="7" t="n">
        <v>7996669.878</v>
      </c>
      <c r="J1473" s="8" t="n">
        <v>46253.54165509259</v>
      </c>
      <c r="K1473" t="inlineStr">
        <is>
          <t>CF260819 01467</t>
        </is>
      </c>
      <c r="L1473" t="inlineStr">
        <is>
          <t>GL.NOSTRO.GBP.BRGX.002</t>
        </is>
      </c>
      <c r="M1473" t="inlineStr">
        <is>
          <t>Mallow Trust</t>
        </is>
      </c>
      <c r="N1473" t="inlineStr">
        <is>
          <t>BRGX</t>
        </is>
      </c>
      <c r="O1473" t="inlineStr">
        <is>
          <t>NEW</t>
        </is>
      </c>
      <c r="Q1473" t="inlineStr">
        <is>
          <t>INTERNAL</t>
        </is>
      </c>
    </row>
    <row r="1474">
      <c r="A1474" t="inlineStr">
        <is>
          <t>284925023085</t>
        </is>
      </c>
      <c r="B1474" t="inlineStr">
        <is>
          <t>TCC</t>
        </is>
      </c>
      <c r="C1474" t="inlineStr">
        <is>
          <t>BRMD</t>
        </is>
      </c>
      <c r="D1474" s="6" t="n">
        <v>46253</v>
      </c>
      <c r="E1474" t="inlineStr">
        <is>
          <t>DR</t>
        </is>
      </c>
      <c r="F1474" t="inlineStr">
        <is>
          <t>MXN</t>
        </is>
      </c>
      <c r="G1474" s="7" t="n">
        <v>-601231946.858</v>
      </c>
      <c r="H1474" t="inlineStr">
        <is>
          <t>GBP</t>
        </is>
      </c>
      <c r="I1474" s="7" t="n">
        <v>-25732727.326</v>
      </c>
      <c r="J1474" s="8" t="n">
        <v>46253.40471064814</v>
      </c>
      <c r="K1474" t="inlineStr">
        <is>
          <t>CF260819 01468</t>
        </is>
      </c>
      <c r="L1474" t="inlineStr">
        <is>
          <t>GL.NOSTRO.MXN.BRMD.003</t>
        </is>
      </c>
      <c r="M1474" t="inlineStr">
        <is>
          <t>Thornbury Bank</t>
        </is>
      </c>
      <c r="N1474" t="inlineStr">
        <is>
          <t>BRMDCASH</t>
        </is>
      </c>
      <c r="O1474" t="inlineStr">
        <is>
          <t>NEW</t>
        </is>
      </c>
      <c r="Q1474" t="inlineStr">
        <is>
          <t>NETTER</t>
        </is>
      </c>
    </row>
    <row r="1475">
      <c r="A1475" t="inlineStr">
        <is>
          <t>621381112674</t>
        </is>
      </c>
      <c r="B1475" t="inlineStr">
        <is>
          <t>TCX</t>
        </is>
      </c>
      <c r="C1475" t="inlineStr">
        <is>
          <t>BRAA</t>
        </is>
      </c>
      <c r="D1475" s="6" t="n">
        <v>46253</v>
      </c>
      <c r="E1475" t="inlineStr">
        <is>
          <t>DR</t>
        </is>
      </c>
      <c r="F1475" t="inlineStr">
        <is>
          <t>PLN</t>
        </is>
      </c>
      <c r="G1475" s="7" t="n">
        <v>-823218935.679</v>
      </c>
      <c r="H1475" t="inlineStr">
        <is>
          <t>GBP</t>
        </is>
      </c>
      <c r="I1475" s="7" t="n">
        <v>-162997349.264</v>
      </c>
      <c r="J1475" s="8" t="n">
        <v>46253.62116898148</v>
      </c>
      <c r="K1475" t="inlineStr">
        <is>
          <t>CF260819 01469</t>
        </is>
      </c>
      <c r="L1475" t="inlineStr">
        <is>
          <t>GL.NOSTRO.PLN.BRAA.002</t>
        </is>
      </c>
      <c r="M1475" t="inlineStr">
        <is>
          <t>Elmwood Settlement Bank</t>
        </is>
      </c>
      <c r="N1475" t="inlineStr">
        <is>
          <t>BRAA</t>
        </is>
      </c>
      <c r="O1475" t="inlineStr">
        <is>
          <t>CANCEL</t>
        </is>
      </c>
      <c r="Q1475" t="inlineStr">
        <is>
          <t>NETTER</t>
        </is>
      </c>
    </row>
    <row r="1476">
      <c r="A1476" t="inlineStr">
        <is>
          <t>150316825069</t>
        </is>
      </c>
      <c r="B1476" t="inlineStr">
        <is>
          <t>TCX</t>
        </is>
      </c>
      <c r="C1476" t="inlineStr">
        <is>
          <t>BRGX</t>
        </is>
      </c>
      <c r="D1476" s="6" t="n">
        <v>46253</v>
      </c>
      <c r="E1476" t="inlineStr">
        <is>
          <t>CR</t>
        </is>
      </c>
      <c r="F1476" t="inlineStr">
        <is>
          <t>GBP</t>
        </is>
      </c>
      <c r="G1476" s="7" t="n">
        <v>75067028.873</v>
      </c>
      <c r="H1476" t="inlineStr">
        <is>
          <t>GBP</t>
        </is>
      </c>
      <c r="I1476" s="7" t="n">
        <v>75067028.873</v>
      </c>
      <c r="J1476" s="8" t="n">
        <v>46253.53293981482</v>
      </c>
      <c r="K1476" t="inlineStr">
        <is>
          <t>CF260819 01470</t>
        </is>
      </c>
      <c r="L1476" t="inlineStr">
        <is>
          <t>GL.NOSTRO.GBP.BRGX.006</t>
        </is>
      </c>
      <c r="M1476" t="inlineStr">
        <is>
          <t>Dunlin Bank</t>
        </is>
      </c>
      <c r="N1476" t="inlineStr">
        <is>
          <t>BRGX</t>
        </is>
      </c>
      <c r="O1476" t="inlineStr">
        <is>
          <t>NEW</t>
        </is>
      </c>
      <c r="P1476" t="inlineStr">
        <is>
          <t>NT26081900689</t>
        </is>
      </c>
      <c r="Q1476" t="inlineStr">
        <is>
          <t>GROSS</t>
        </is>
      </c>
    </row>
    <row r="1477">
      <c r="A1477" t="inlineStr">
        <is>
          <t>910703979141</t>
        </is>
      </c>
      <c r="B1477" t="inlineStr">
        <is>
          <t>TCG</t>
        </is>
      </c>
      <c r="C1477" t="inlineStr">
        <is>
          <t>BRCC</t>
        </is>
      </c>
      <c r="D1477" s="6" t="n">
        <v>46253</v>
      </c>
      <c r="E1477" t="inlineStr">
        <is>
          <t>CR</t>
        </is>
      </c>
      <c r="F1477" t="inlineStr">
        <is>
          <t>CHF</t>
        </is>
      </c>
      <c r="G1477" s="7" t="n">
        <v>27742428.289</v>
      </c>
      <c r="H1477" t="inlineStr">
        <is>
          <t>GBP</t>
        </is>
      </c>
      <c r="I1477" s="7" t="n">
        <v>24884958.175</v>
      </c>
      <c r="J1477" s="8" t="n">
        <v>46253.52681712963</v>
      </c>
      <c r="K1477" t="inlineStr">
        <is>
          <t>CF260819 01471</t>
        </is>
      </c>
      <c r="L1477" t="inlineStr">
        <is>
          <t>GL.NOSTRO.CHF.BRCC.009</t>
        </is>
      </c>
      <c r="M1477" t="inlineStr">
        <is>
          <t>Wrenfield Commercial Bank</t>
        </is>
      </c>
      <c r="N1477" t="inlineStr">
        <is>
          <t>BRCCCASH</t>
        </is>
      </c>
      <c r="O1477" t="inlineStr">
        <is>
          <t>NEW</t>
        </is>
      </c>
      <c r="Q1477" t="inlineStr">
        <is>
          <t>INTERNAL</t>
        </is>
      </c>
    </row>
    <row r="1478">
      <c r="A1478" t="inlineStr">
        <is>
          <t>794226063698</t>
        </is>
      </c>
      <c r="B1478" t="inlineStr">
        <is>
          <t>TCP</t>
        </is>
      </c>
      <c r="C1478" t="inlineStr">
        <is>
          <t>BRMD</t>
        </is>
      </c>
      <c r="D1478" s="6" t="n">
        <v>46253</v>
      </c>
      <c r="E1478" t="inlineStr">
        <is>
          <t>DR</t>
        </is>
      </c>
      <c r="F1478" t="inlineStr">
        <is>
          <t>AED</t>
        </is>
      </c>
      <c r="G1478" s="7" t="n">
        <v>-144846913.7</v>
      </c>
      <c r="H1478" t="inlineStr">
        <is>
          <t>GBP</t>
        </is>
      </c>
      <c r="I1478" s="7" t="n">
        <v>-30852392.618</v>
      </c>
      <c r="J1478" s="8" t="n">
        <v>46253.58804398148</v>
      </c>
      <c r="K1478" t="inlineStr">
        <is>
          <t>CF260819 01472</t>
        </is>
      </c>
      <c r="L1478" t="inlineStr">
        <is>
          <t>GL.NOSTRO.AED.BRMD.005</t>
        </is>
      </c>
      <c r="M1478" t="inlineStr">
        <is>
          <t>Redstart Trust</t>
        </is>
      </c>
      <c r="N1478" t="inlineStr">
        <is>
          <t>BRMD</t>
        </is>
      </c>
      <c r="O1478" t="inlineStr">
        <is>
          <t>AMEND</t>
        </is>
      </c>
      <c r="Q1478" t="inlineStr">
        <is>
          <t>NETTER</t>
        </is>
      </c>
    </row>
    <row r="1479">
      <c r="A1479" t="inlineStr">
        <is>
          <t>150316825069</t>
        </is>
      </c>
      <c r="B1479" t="inlineStr">
        <is>
          <t>TCP</t>
        </is>
      </c>
      <c r="C1479" t="inlineStr">
        <is>
          <t>BRGX</t>
        </is>
      </c>
      <c r="D1479" s="6" t="n">
        <v>46253</v>
      </c>
      <c r="E1479" t="inlineStr">
        <is>
          <t>DR</t>
        </is>
      </c>
      <c r="F1479" t="inlineStr">
        <is>
          <t>GBP</t>
        </is>
      </c>
      <c r="G1479" s="7" t="n">
        <v>-144660899.038</v>
      </c>
      <c r="H1479" t="inlineStr">
        <is>
          <t>GBP</t>
        </is>
      </c>
      <c r="I1479" s="7" t="n">
        <v>-144660899.038</v>
      </c>
      <c r="J1479" s="8" t="n">
        <v>46253.44313657407</v>
      </c>
      <c r="K1479" t="inlineStr">
        <is>
          <t>CF260819 01473</t>
        </is>
      </c>
      <c r="L1479" t="inlineStr">
        <is>
          <t>GL.NOSTRO.GBP.BRGX.008</t>
        </is>
      </c>
      <c r="M1479" t="inlineStr">
        <is>
          <t>Redstart Trust</t>
        </is>
      </c>
      <c r="N1479" t="inlineStr">
        <is>
          <t>BRGXCASH</t>
        </is>
      </c>
      <c r="O1479" t="inlineStr">
        <is>
          <t>NEW</t>
        </is>
      </c>
      <c r="P1479" t="inlineStr">
        <is>
          <t>NT26081900661</t>
        </is>
      </c>
      <c r="Q1479" t="inlineStr">
        <is>
          <t>NETTER</t>
        </is>
      </c>
    </row>
    <row r="1480">
      <c r="A1480" t="inlineStr">
        <is>
          <t>150316825069</t>
        </is>
      </c>
      <c r="B1480" t="inlineStr">
        <is>
          <t>TCC</t>
        </is>
      </c>
      <c r="C1480" t="inlineStr">
        <is>
          <t>BRGX</t>
        </is>
      </c>
      <c r="D1480" s="6" t="n">
        <v>46253</v>
      </c>
      <c r="E1480" t="inlineStr">
        <is>
          <t>DR</t>
        </is>
      </c>
      <c r="F1480" t="inlineStr">
        <is>
          <t>GBP</t>
        </is>
      </c>
      <c r="G1480" s="7" t="n">
        <v>-88398541.04899999</v>
      </c>
      <c r="H1480" t="inlineStr">
        <is>
          <t>GBP</t>
        </is>
      </c>
      <c r="I1480" s="7" t="n">
        <v>-88398541.04899999</v>
      </c>
      <c r="J1480" s="8" t="n">
        <v>46253.31842592593</v>
      </c>
      <c r="K1480" t="inlineStr">
        <is>
          <t>CF260819 01474</t>
        </is>
      </c>
      <c r="L1480" t="inlineStr">
        <is>
          <t>GL.NOSTRO.GBP.BRGX.005</t>
        </is>
      </c>
      <c r="M1480" t="inlineStr">
        <is>
          <t>Sablewood Bank</t>
        </is>
      </c>
      <c r="N1480" t="inlineStr">
        <is>
          <t>BRGXMM</t>
        </is>
      </c>
      <c r="O1480" t="inlineStr">
        <is>
          <t>NEW</t>
        </is>
      </c>
      <c r="P1480" t="inlineStr">
        <is>
          <t>NT26081900691</t>
        </is>
      </c>
      <c r="Q1480" t="inlineStr">
        <is>
          <t>GROSS</t>
        </is>
      </c>
    </row>
    <row r="1481">
      <c r="A1481" t="inlineStr">
        <is>
          <t>898317028833</t>
        </is>
      </c>
      <c r="B1481" t="inlineStr">
        <is>
          <t>TCX</t>
        </is>
      </c>
      <c r="C1481" t="inlineStr">
        <is>
          <t>BRAA</t>
        </is>
      </c>
      <c r="D1481" s="6" t="n">
        <v>46253</v>
      </c>
      <c r="E1481" t="inlineStr">
        <is>
          <t>DR</t>
        </is>
      </c>
      <c r="F1481" t="inlineStr">
        <is>
          <t>GBP</t>
        </is>
      </c>
      <c r="G1481" s="7" t="n">
        <v>-1394150.096</v>
      </c>
      <c r="H1481" t="inlineStr">
        <is>
          <t>GBP</t>
        </is>
      </c>
      <c r="I1481" s="7" t="n">
        <v>-1394150.096</v>
      </c>
      <c r="J1481" s="8" t="n">
        <v>46253.50943287037</v>
      </c>
      <c r="K1481" t="inlineStr">
        <is>
          <t>CF260819 01475</t>
        </is>
      </c>
      <c r="L1481" t="inlineStr">
        <is>
          <t>GL.NOSTRO.GBP.BRAA.008</t>
        </is>
      </c>
      <c r="M1481" t="inlineStr">
        <is>
          <t>Vetchling Commercial Bank</t>
        </is>
      </c>
      <c r="N1481" t="inlineStr">
        <is>
          <t>BRAAMM</t>
        </is>
      </c>
      <c r="O1481" t="inlineStr">
        <is>
          <t>NEW</t>
        </is>
      </c>
      <c r="P1481" t="inlineStr">
        <is>
          <t>NT26081900660</t>
        </is>
      </c>
      <c r="Q1481" t="inlineStr">
        <is>
          <t>GROSS</t>
        </is>
      </c>
    </row>
    <row r="1482">
      <c r="A1482" t="inlineStr">
        <is>
          <t>150316825069</t>
        </is>
      </c>
      <c r="B1482" t="inlineStr">
        <is>
          <t>TCG</t>
        </is>
      </c>
      <c r="C1482" t="inlineStr">
        <is>
          <t>BRGX</t>
        </is>
      </c>
      <c r="D1482" s="6" t="n">
        <v>46253</v>
      </c>
      <c r="E1482" t="inlineStr">
        <is>
          <t>DR</t>
        </is>
      </c>
      <c r="F1482" t="inlineStr">
        <is>
          <t>GBP</t>
        </is>
      </c>
      <c r="G1482" s="7" t="n">
        <v>-27468621.26</v>
      </c>
      <c r="H1482" t="inlineStr">
        <is>
          <t>GBP</t>
        </is>
      </c>
      <c r="I1482" s="7" t="n">
        <v>-27468621.26</v>
      </c>
      <c r="J1482" s="8" t="n">
        <v>46253.39842592592</v>
      </c>
      <c r="K1482" t="inlineStr">
        <is>
          <t>CF260819 01476</t>
        </is>
      </c>
      <c r="L1482" t="inlineStr">
        <is>
          <t>GL.NOSTRO.GBP.BRGX.006</t>
        </is>
      </c>
      <c r="M1482" t="inlineStr">
        <is>
          <t>Elmwood Settlement Bank</t>
        </is>
      </c>
      <c r="N1482" t="inlineStr">
        <is>
          <t>BRGXMM</t>
        </is>
      </c>
      <c r="O1482" t="inlineStr">
        <is>
          <t>NEW</t>
        </is>
      </c>
      <c r="P1482" t="inlineStr">
        <is>
          <t>NT26081900670</t>
        </is>
      </c>
      <c r="Q1482" t="inlineStr">
        <is>
          <t>NETTER</t>
        </is>
      </c>
    </row>
    <row r="1483">
      <c r="A1483" t="inlineStr">
        <is>
          <t>150316825069</t>
        </is>
      </c>
      <c r="B1483" t="inlineStr">
        <is>
          <t>TCG</t>
        </is>
      </c>
      <c r="C1483" t="inlineStr">
        <is>
          <t>BRGX</t>
        </is>
      </c>
      <c r="D1483" s="6" t="n">
        <v>46253</v>
      </c>
      <c r="E1483" t="inlineStr">
        <is>
          <t>CR</t>
        </is>
      </c>
      <c r="F1483" t="inlineStr">
        <is>
          <t>GBP</t>
        </is>
      </c>
      <c r="G1483" s="7" t="n">
        <v>14701914.811</v>
      </c>
      <c r="H1483" t="inlineStr">
        <is>
          <t>GBP</t>
        </is>
      </c>
      <c r="I1483" s="7" t="n">
        <v>14701914.811</v>
      </c>
      <c r="J1483" s="8" t="n">
        <v>46253.44690972222</v>
      </c>
      <c r="K1483" t="inlineStr">
        <is>
          <t>CF260819 01477</t>
        </is>
      </c>
      <c r="L1483" t="inlineStr">
        <is>
          <t>GL.NOSTRO.GBP.BRGX.009</t>
        </is>
      </c>
      <c r="M1483" t="inlineStr">
        <is>
          <t>Mallow Commercial Bank</t>
        </is>
      </c>
      <c r="N1483" t="inlineStr">
        <is>
          <t>BRGX</t>
        </is>
      </c>
      <c r="O1483" t="inlineStr">
        <is>
          <t>NEW</t>
        </is>
      </c>
      <c r="P1483" t="inlineStr">
        <is>
          <t>NT26081900658</t>
        </is>
      </c>
      <c r="Q1483" t="inlineStr">
        <is>
          <t>NETTER</t>
        </is>
      </c>
    </row>
    <row r="1484">
      <c r="A1484" t="inlineStr">
        <is>
          <t>359365220160</t>
        </is>
      </c>
      <c r="B1484" t="inlineStr">
        <is>
          <t>TCC</t>
        </is>
      </c>
      <c r="C1484" t="inlineStr">
        <is>
          <t>BRGX</t>
        </is>
      </c>
      <c r="D1484" s="6" t="n">
        <v>46253</v>
      </c>
      <c r="E1484" t="inlineStr">
        <is>
          <t>CR</t>
        </is>
      </c>
      <c r="F1484" t="inlineStr">
        <is>
          <t>EUR</t>
        </is>
      </c>
      <c r="G1484" s="7" t="n">
        <v>7663831.663</v>
      </c>
      <c r="H1484" t="inlineStr">
        <is>
          <t>GBP</t>
        </is>
      </c>
      <c r="I1484" s="7" t="n">
        <v>6575567.567</v>
      </c>
      <c r="J1484" s="8" t="n">
        <v>46253.39092592592</v>
      </c>
      <c r="K1484" t="inlineStr">
        <is>
          <t>CF260819 01478</t>
        </is>
      </c>
      <c r="L1484" t="inlineStr">
        <is>
          <t>GL.NOSTRO.EUR.BRGX.007</t>
        </is>
      </c>
      <c r="M1484" t="inlineStr">
        <is>
          <t>Dunlin Trust</t>
        </is>
      </c>
      <c r="N1484" t="inlineStr">
        <is>
          <t>BRGX</t>
        </is>
      </c>
      <c r="O1484" t="inlineStr">
        <is>
          <t>NEW</t>
        </is>
      </c>
      <c r="P1484" t="inlineStr">
        <is>
          <t>NT26081900692</t>
        </is>
      </c>
      <c r="Q1484" t="inlineStr">
        <is>
          <t>NETTER</t>
        </is>
      </c>
    </row>
    <row r="1485">
      <c r="A1485" t="inlineStr">
        <is>
          <t>700726936098</t>
        </is>
      </c>
      <c r="B1485" t="inlineStr">
        <is>
          <t>TCG</t>
        </is>
      </c>
      <c r="C1485" t="inlineStr">
        <is>
          <t>BRMD</t>
        </is>
      </c>
      <c r="D1485" s="6" t="n">
        <v>46253</v>
      </c>
      <c r="E1485" t="inlineStr">
        <is>
          <t>DR</t>
        </is>
      </c>
      <c r="F1485" t="inlineStr">
        <is>
          <t>SAR</t>
        </is>
      </c>
      <c r="G1485" s="7" t="n">
        <v>-40216715.46</v>
      </c>
      <c r="H1485" t="inlineStr">
        <is>
          <t>GBP</t>
        </is>
      </c>
      <c r="I1485" s="7" t="n">
        <v>-8405293.530999999</v>
      </c>
      <c r="J1485" s="8" t="n">
        <v>46253.43440972222</v>
      </c>
      <c r="K1485" t="inlineStr">
        <is>
          <t>CF260819 01479</t>
        </is>
      </c>
      <c r="L1485" t="inlineStr">
        <is>
          <t>GL.NOSTRO.SAR.BRMD.001</t>
        </is>
      </c>
      <c r="M1485" t="inlineStr">
        <is>
          <t>Nightjar Trust</t>
        </is>
      </c>
      <c r="N1485" t="inlineStr">
        <is>
          <t>BRMDCASH</t>
        </is>
      </c>
      <c r="O1485" t="inlineStr">
        <is>
          <t>AMEND</t>
        </is>
      </c>
      <c r="P1485" t="inlineStr">
        <is>
          <t>NT26081900694</t>
        </is>
      </c>
      <c r="Q1485" t="inlineStr">
        <is>
          <t>GROSS</t>
        </is>
      </c>
    </row>
    <row r="1486">
      <c r="A1486" t="inlineStr">
        <is>
          <t>910703979141</t>
        </is>
      </c>
      <c r="B1486" t="inlineStr">
        <is>
          <t>TCC</t>
        </is>
      </c>
      <c r="C1486" t="inlineStr">
        <is>
          <t>BRCC</t>
        </is>
      </c>
      <c r="D1486" s="6" t="n">
        <v>46253</v>
      </c>
      <c r="E1486" t="inlineStr">
        <is>
          <t>DR</t>
        </is>
      </c>
      <c r="F1486" t="inlineStr">
        <is>
          <t>CHF</t>
        </is>
      </c>
      <c r="G1486" s="7" t="n">
        <v>-25057713.142</v>
      </c>
      <c r="H1486" t="inlineStr">
        <is>
          <t>GBP</t>
        </is>
      </c>
      <c r="I1486" s="7" t="n">
        <v>-22476768.688</v>
      </c>
      <c r="J1486" s="8" t="n">
        <v>46253.41979166667</v>
      </c>
      <c r="K1486" t="inlineStr">
        <is>
          <t>CF260819 01480</t>
        </is>
      </c>
      <c r="L1486" t="inlineStr">
        <is>
          <t>GL.NOSTRO.CHF.BRCC.004</t>
        </is>
      </c>
      <c r="M1486" t="inlineStr">
        <is>
          <t>Juniper Settlement Bank</t>
        </is>
      </c>
      <c r="N1486" t="inlineStr">
        <is>
          <t>BRCC</t>
        </is>
      </c>
      <c r="O1486" t="inlineStr">
        <is>
          <t>NEW</t>
        </is>
      </c>
      <c r="Q1486" t="inlineStr">
        <is>
          <t>NETTER</t>
        </is>
      </c>
    </row>
    <row r="1487">
      <c r="A1487" t="inlineStr">
        <is>
          <t>359365220160</t>
        </is>
      </c>
      <c r="B1487" t="inlineStr">
        <is>
          <t>TCP</t>
        </is>
      </c>
      <c r="C1487" t="inlineStr">
        <is>
          <t>BRGX</t>
        </is>
      </c>
      <c r="D1487" s="6" t="n">
        <v>46253</v>
      </c>
      <c r="E1487" t="inlineStr">
        <is>
          <t>DR</t>
        </is>
      </c>
      <c r="F1487" t="inlineStr">
        <is>
          <t>EUR</t>
        </is>
      </c>
      <c r="G1487" s="7" t="n">
        <v>-1575244.947</v>
      </c>
      <c r="H1487" t="inlineStr">
        <is>
          <t>GBP</t>
        </is>
      </c>
      <c r="I1487" s="7" t="n">
        <v>-1351560.165</v>
      </c>
      <c r="J1487" s="8" t="n">
        <v>46253.33711805556</v>
      </c>
      <c r="K1487" t="inlineStr">
        <is>
          <t>CF260819 01481</t>
        </is>
      </c>
      <c r="L1487" t="inlineStr">
        <is>
          <t>GL.NOSTRO.EUR.BRGX.005</t>
        </is>
      </c>
      <c r="M1487" t="inlineStr">
        <is>
          <t>Alder Trust</t>
        </is>
      </c>
      <c r="N1487" t="inlineStr">
        <is>
          <t>BRGXTRSY</t>
        </is>
      </c>
      <c r="O1487" t="inlineStr">
        <is>
          <t>NEW</t>
        </is>
      </c>
      <c r="Q1487" t="inlineStr">
        <is>
          <t>NETTER</t>
        </is>
      </c>
    </row>
    <row r="1488">
      <c r="A1488" t="inlineStr">
        <is>
          <t>265771593142</t>
        </is>
      </c>
      <c r="B1488" t="inlineStr">
        <is>
          <t>TCP</t>
        </is>
      </c>
      <c r="C1488" t="inlineStr">
        <is>
          <t>BRYG</t>
        </is>
      </c>
      <c r="D1488" s="6" t="n">
        <v>46253</v>
      </c>
      <c r="E1488" t="inlineStr">
        <is>
          <t>DR</t>
        </is>
      </c>
      <c r="F1488" t="inlineStr">
        <is>
          <t>EUR</t>
        </is>
      </c>
      <c r="G1488" s="7" t="n">
        <v>-1234363501.225</v>
      </c>
      <c r="H1488" t="inlineStr">
        <is>
          <t>GBP</t>
        </is>
      </c>
      <c r="I1488" s="7" t="n">
        <v>-1059083884.051</v>
      </c>
      <c r="J1488" s="8" t="n">
        <v>46253.57888888889</v>
      </c>
      <c r="K1488" t="inlineStr">
        <is>
          <t>CF260819 01482</t>
        </is>
      </c>
      <c r="L1488" t="inlineStr">
        <is>
          <t>GL.NOSTRO.EUR.BRYG.006</t>
        </is>
      </c>
      <c r="M1488" t="inlineStr">
        <is>
          <t>Granite Clearing</t>
        </is>
      </c>
      <c r="N1488" t="inlineStr">
        <is>
          <t>BRYGCASH</t>
        </is>
      </c>
      <c r="O1488" t="inlineStr">
        <is>
          <t>NEW</t>
        </is>
      </c>
      <c r="Q1488" t="inlineStr">
        <is>
          <t>NETTER</t>
        </is>
      </c>
    </row>
    <row r="1489">
      <c r="A1489" t="inlineStr">
        <is>
          <t>898317028833</t>
        </is>
      </c>
      <c r="B1489" t="inlineStr">
        <is>
          <t>TCC</t>
        </is>
      </c>
      <c r="C1489" t="inlineStr">
        <is>
          <t>BRAA</t>
        </is>
      </c>
      <c r="D1489" s="6" t="n">
        <v>46253</v>
      </c>
      <c r="E1489" t="inlineStr">
        <is>
          <t>DR</t>
        </is>
      </c>
      <c r="F1489" t="inlineStr">
        <is>
          <t>GBP</t>
        </is>
      </c>
      <c r="G1489" s="7" t="n">
        <v>-81188.325</v>
      </c>
      <c r="H1489" t="inlineStr">
        <is>
          <t>GBP</t>
        </is>
      </c>
      <c r="I1489" s="7" t="n">
        <v>-81188.325</v>
      </c>
      <c r="J1489" s="8" t="n">
        <v>46253.59744212963</v>
      </c>
      <c r="K1489" t="inlineStr">
        <is>
          <t>CF260819 01483</t>
        </is>
      </c>
      <c r="L1489" t="inlineStr">
        <is>
          <t>GL.NOSTRO.GBP.BRAA.007</t>
        </is>
      </c>
      <c r="M1489" t="inlineStr">
        <is>
          <t>Umberton Commercial Bank</t>
        </is>
      </c>
      <c r="N1489" t="inlineStr">
        <is>
          <t>BRAACASH</t>
        </is>
      </c>
      <c r="O1489" t="inlineStr">
        <is>
          <t>NEW</t>
        </is>
      </c>
      <c r="P1489" t="inlineStr">
        <is>
          <t>NT26081900659</t>
        </is>
      </c>
      <c r="Q1489" t="inlineStr">
        <is>
          <t>NETTER</t>
        </is>
      </c>
    </row>
    <row r="1490">
      <c r="A1490" t="inlineStr">
        <is>
          <t>968942362772</t>
        </is>
      </c>
      <c r="B1490" t="inlineStr">
        <is>
          <t>TCC</t>
        </is>
      </c>
      <c r="C1490" t="inlineStr">
        <is>
          <t>BRYG</t>
        </is>
      </c>
      <c r="D1490" s="6" t="n">
        <v>46253</v>
      </c>
      <c r="E1490" t="inlineStr">
        <is>
          <t>DR</t>
        </is>
      </c>
      <c r="F1490" t="inlineStr">
        <is>
          <t>EUR</t>
        </is>
      </c>
      <c r="G1490" s="7" t="n">
        <v>-12738431.615</v>
      </c>
      <c r="H1490" t="inlineStr">
        <is>
          <t>GBP</t>
        </is>
      </c>
      <c r="I1490" s="7" t="n">
        <v>-10929574.326</v>
      </c>
      <c r="J1490" s="8" t="n">
        <v>46253.69388888889</v>
      </c>
      <c r="K1490" t="inlineStr">
        <is>
          <t>CF260819 01484</t>
        </is>
      </c>
      <c r="L1490" t="inlineStr">
        <is>
          <t>GL.NOSTRO.EUR.BRYG.004</t>
        </is>
      </c>
      <c r="M1490" t="inlineStr">
        <is>
          <t>Wrenfield Commercial Bank</t>
        </is>
      </c>
      <c r="N1490" t="inlineStr">
        <is>
          <t>BRYG</t>
        </is>
      </c>
      <c r="O1490" t="inlineStr">
        <is>
          <t>NEW</t>
        </is>
      </c>
      <c r="Q1490" t="inlineStr">
        <is>
          <t>GROSS</t>
        </is>
      </c>
    </row>
    <row r="1491">
      <c r="A1491" t="inlineStr">
        <is>
          <t>794226063698</t>
        </is>
      </c>
      <c r="B1491" t="inlineStr">
        <is>
          <t>TCX</t>
        </is>
      </c>
      <c r="C1491" t="inlineStr">
        <is>
          <t>BRMD</t>
        </is>
      </c>
      <c r="D1491" s="6" t="n">
        <v>46253</v>
      </c>
      <c r="E1491" t="inlineStr">
        <is>
          <t>DR</t>
        </is>
      </c>
      <c r="F1491" t="inlineStr">
        <is>
          <t>AED</t>
        </is>
      </c>
      <c r="G1491" s="7" t="n">
        <v>-1178998.308</v>
      </c>
      <c r="H1491" t="inlineStr">
        <is>
          <t>GBP</t>
        </is>
      </c>
      <c r="I1491" s="7" t="n">
        <v>-251126.64</v>
      </c>
      <c r="J1491" s="8" t="n">
        <v>46253.48972222222</v>
      </c>
      <c r="K1491" t="inlineStr">
        <is>
          <t>CF260819 01485</t>
        </is>
      </c>
      <c r="L1491" t="inlineStr">
        <is>
          <t>GL.NOSTRO.AED.BRMD.006</t>
        </is>
      </c>
      <c r="M1491" t="inlineStr">
        <is>
          <t>Mallow Clearing</t>
        </is>
      </c>
      <c r="N1491" t="inlineStr">
        <is>
          <t>BRMD</t>
        </is>
      </c>
      <c r="O1491" t="inlineStr">
        <is>
          <t>NEW</t>
        </is>
      </c>
      <c r="P1491" t="inlineStr">
        <is>
          <t>NT26081900690</t>
        </is>
      </c>
      <c r="Q1491" t="inlineStr">
        <is>
          <t>GROSS</t>
        </is>
      </c>
    </row>
    <row r="1492">
      <c r="A1492" t="inlineStr">
        <is>
          <t>910703979141</t>
        </is>
      </c>
      <c r="B1492" t="inlineStr">
        <is>
          <t>TCP</t>
        </is>
      </c>
      <c r="C1492" t="inlineStr">
        <is>
          <t>BRCC</t>
        </is>
      </c>
      <c r="D1492" s="6" t="n">
        <v>46253</v>
      </c>
      <c r="E1492" t="inlineStr">
        <is>
          <t>CR</t>
        </is>
      </c>
      <c r="F1492" t="inlineStr">
        <is>
          <t>CHF</t>
        </is>
      </c>
      <c r="G1492" s="7" t="n">
        <v>15436168.851</v>
      </c>
      <c r="H1492" t="inlineStr">
        <is>
          <t>GBP</t>
        </is>
      </c>
      <c r="I1492" s="7" t="n">
        <v>13846243.459</v>
      </c>
      <c r="J1492" s="8" t="n">
        <v>46253.62128472222</v>
      </c>
      <c r="K1492" t="inlineStr">
        <is>
          <t>CF260819 01486</t>
        </is>
      </c>
      <c r="L1492" t="inlineStr">
        <is>
          <t>GL.NOSTRO.CHF.BRCC.003</t>
        </is>
      </c>
      <c r="M1492" t="inlineStr">
        <is>
          <t>Redstart Commercial Bank</t>
        </is>
      </c>
      <c r="N1492" t="inlineStr">
        <is>
          <t>BRCCCASH</t>
        </is>
      </c>
      <c r="O1492" t="inlineStr">
        <is>
          <t>NEW</t>
        </is>
      </c>
      <c r="P1492" t="inlineStr">
        <is>
          <t>NT26081900686</t>
        </is>
      </c>
      <c r="Q1492" t="inlineStr">
        <is>
          <t>GROSS</t>
        </is>
      </c>
    </row>
    <row r="1493">
      <c r="A1493" t="inlineStr">
        <is>
          <t>499062838623</t>
        </is>
      </c>
      <c r="B1493" t="inlineStr">
        <is>
          <t>TCX</t>
        </is>
      </c>
      <c r="C1493" t="inlineStr">
        <is>
          <t>BRBX</t>
        </is>
      </c>
      <c r="D1493" s="6" t="n">
        <v>46253</v>
      </c>
      <c r="E1493" t="inlineStr">
        <is>
          <t>DR</t>
        </is>
      </c>
      <c r="F1493" t="inlineStr">
        <is>
          <t>USD</t>
        </is>
      </c>
      <c r="G1493" s="7" t="n">
        <v>-2341347.401</v>
      </c>
      <c r="H1493" t="inlineStr">
        <is>
          <t>GBP</t>
        </is>
      </c>
      <c r="I1493" s="7" t="n">
        <v>-1835616.362</v>
      </c>
      <c r="J1493" s="8" t="n">
        <v>46253.35780092593</v>
      </c>
      <c r="K1493" t="inlineStr">
        <is>
          <t>CF260819 01487</t>
        </is>
      </c>
      <c r="L1493" t="inlineStr">
        <is>
          <t>GL.NOSTRO.USD.BRBX.007</t>
        </is>
      </c>
      <c r="M1493" t="inlineStr">
        <is>
          <t>Redstart Commercial Bank</t>
        </is>
      </c>
      <c r="N1493" t="inlineStr">
        <is>
          <t>BRBXMM</t>
        </is>
      </c>
      <c r="O1493" t="inlineStr">
        <is>
          <t>NEW</t>
        </is>
      </c>
      <c r="Q1493" t="inlineStr">
        <is>
          <t>GROSS</t>
        </is>
      </c>
    </row>
    <row r="1494">
      <c r="A1494" t="inlineStr">
        <is>
          <t>794226063698</t>
        </is>
      </c>
      <c r="B1494" t="inlineStr">
        <is>
          <t>TCQ</t>
        </is>
      </c>
      <c r="C1494" t="inlineStr">
        <is>
          <t>BRMD</t>
        </is>
      </c>
      <c r="D1494" s="6" t="n">
        <v>46253</v>
      </c>
      <c r="E1494" t="inlineStr">
        <is>
          <t>CR</t>
        </is>
      </c>
      <c r="F1494" t="inlineStr">
        <is>
          <t>AED</t>
        </is>
      </c>
      <c r="G1494" s="7" t="n">
        <v>19282579.875</v>
      </c>
      <c r="H1494" t="inlineStr">
        <is>
          <t>GBP</t>
        </is>
      </c>
      <c r="I1494" s="7" t="n">
        <v>4107189.513</v>
      </c>
      <c r="J1494" s="8" t="n">
        <v>46253.58337962963</v>
      </c>
      <c r="K1494" t="inlineStr">
        <is>
          <t>CF260819 01488</t>
        </is>
      </c>
      <c r="L1494" t="inlineStr">
        <is>
          <t>GL.NOSTRO.AED.BRMD.007</t>
        </is>
      </c>
      <c r="M1494" t="inlineStr">
        <is>
          <t>Pinehurst Clearing</t>
        </is>
      </c>
      <c r="N1494" t="inlineStr">
        <is>
          <t>BRMDCASH</t>
        </is>
      </c>
      <c r="O1494" t="inlineStr">
        <is>
          <t>AMEND</t>
        </is>
      </c>
      <c r="P1494" t="inlineStr">
        <is>
          <t>NT26081900673</t>
        </is>
      </c>
      <c r="Q1494" t="inlineStr">
        <is>
          <t>GROSS</t>
        </is>
      </c>
    </row>
    <row r="1495">
      <c r="A1495" t="inlineStr">
        <is>
          <t>150316825069</t>
        </is>
      </c>
      <c r="B1495" t="inlineStr">
        <is>
          <t>TCG</t>
        </is>
      </c>
      <c r="C1495" t="inlineStr">
        <is>
          <t>BRGX</t>
        </is>
      </c>
      <c r="D1495" s="6" t="n">
        <v>46253</v>
      </c>
      <c r="E1495" t="inlineStr">
        <is>
          <t>CR</t>
        </is>
      </c>
      <c r="F1495" t="inlineStr">
        <is>
          <t>GBP</t>
        </is>
      </c>
      <c r="G1495" s="7" t="n">
        <v>15343020.94</v>
      </c>
      <c r="H1495" t="inlineStr">
        <is>
          <t>GBP</t>
        </is>
      </c>
      <c r="I1495" s="7" t="n">
        <v>15343020.94</v>
      </c>
      <c r="J1495" s="8" t="n">
        <v>46253.69616898148</v>
      </c>
      <c r="K1495" t="inlineStr">
        <is>
          <t>CF260819 01489</t>
        </is>
      </c>
      <c r="L1495" t="inlineStr">
        <is>
          <t>GL.NOSTRO.GBP.BRGX.002</t>
        </is>
      </c>
      <c r="M1495" t="inlineStr">
        <is>
          <t>Nightjar Bank</t>
        </is>
      </c>
      <c r="N1495" t="inlineStr">
        <is>
          <t>BRGX</t>
        </is>
      </c>
      <c r="O1495" t="inlineStr">
        <is>
          <t>NEW</t>
        </is>
      </c>
      <c r="P1495" t="inlineStr">
        <is>
          <t>NT26081900669</t>
        </is>
      </c>
      <c r="Q1495" t="inlineStr">
        <is>
          <t>NETTER</t>
        </is>
      </c>
    </row>
    <row r="1496">
      <c r="A1496" t="inlineStr">
        <is>
          <t>150316825069</t>
        </is>
      </c>
      <c r="B1496" t="inlineStr">
        <is>
          <t>TCP</t>
        </is>
      </c>
      <c r="C1496" t="inlineStr">
        <is>
          <t>BRGX</t>
        </is>
      </c>
      <c r="D1496" s="6" t="n">
        <v>46253</v>
      </c>
      <c r="E1496" t="inlineStr">
        <is>
          <t>DR</t>
        </is>
      </c>
      <c r="F1496" t="inlineStr">
        <is>
          <t>GBP</t>
        </is>
      </c>
      <c r="G1496" s="7" t="n">
        <v>-1299651.491</v>
      </c>
      <c r="H1496" t="inlineStr">
        <is>
          <t>GBP</t>
        </is>
      </c>
      <c r="I1496" s="7" t="n">
        <v>-1299651.491</v>
      </c>
      <c r="J1496" s="8" t="n">
        <v>46253.28409722223</v>
      </c>
      <c r="K1496" t="inlineStr">
        <is>
          <t>CF260819 01490</t>
        </is>
      </c>
      <c r="L1496" t="inlineStr">
        <is>
          <t>GL.NOSTRO.GBP.BRGX.004</t>
        </is>
      </c>
      <c r="M1496" t="inlineStr">
        <is>
          <t>Redstart Commercial Bank</t>
        </is>
      </c>
      <c r="N1496" t="inlineStr">
        <is>
          <t>BRGXTRSY</t>
        </is>
      </c>
      <c r="O1496" t="inlineStr">
        <is>
          <t>NEW</t>
        </is>
      </c>
      <c r="Q1496" t="inlineStr">
        <is>
          <t>NETTER</t>
        </is>
      </c>
    </row>
    <row r="1497">
      <c r="A1497" t="inlineStr">
        <is>
          <t>794226063698</t>
        </is>
      </c>
      <c r="B1497" t="inlineStr">
        <is>
          <t>TCQ</t>
        </is>
      </c>
      <c r="C1497" t="inlineStr">
        <is>
          <t>BRMD</t>
        </is>
      </c>
      <c r="D1497" s="6" t="n">
        <v>46253</v>
      </c>
      <c r="E1497" t="inlineStr">
        <is>
          <t>CR</t>
        </is>
      </c>
      <c r="F1497" t="inlineStr">
        <is>
          <t>AED</t>
        </is>
      </c>
      <c r="G1497" s="7" t="n">
        <v>63350502.234</v>
      </c>
      <c r="H1497" t="inlineStr">
        <is>
          <t>GBP</t>
        </is>
      </c>
      <c r="I1497" s="7" t="n">
        <v>13493656.976</v>
      </c>
      <c r="J1497" s="8" t="n">
        <v>46253.40653935185</v>
      </c>
      <c r="K1497" t="inlineStr">
        <is>
          <t>CF260819 01491</t>
        </is>
      </c>
      <c r="L1497" t="inlineStr">
        <is>
          <t>GL.NOSTRO.AED.BRMD.005</t>
        </is>
      </c>
      <c r="M1497" t="inlineStr">
        <is>
          <t>Elmwood Trust</t>
        </is>
      </c>
      <c r="N1497" t="inlineStr">
        <is>
          <t>BRMD</t>
        </is>
      </c>
      <c r="O1497" t="inlineStr">
        <is>
          <t>NEW</t>
        </is>
      </c>
      <c r="P1497" t="inlineStr">
        <is>
          <t>NT26081900666</t>
        </is>
      </c>
      <c r="Q1497" t="inlineStr">
        <is>
          <t>NETTER</t>
        </is>
      </c>
    </row>
    <row r="1498">
      <c r="A1498" t="inlineStr">
        <is>
          <t>499062838623</t>
        </is>
      </c>
      <c r="B1498" t="inlineStr">
        <is>
          <t>TCQ</t>
        </is>
      </c>
      <c r="C1498" t="inlineStr">
        <is>
          <t>BRBX</t>
        </is>
      </c>
      <c r="D1498" s="6" t="n">
        <v>46253</v>
      </c>
      <c r="E1498" t="inlineStr">
        <is>
          <t>CR</t>
        </is>
      </c>
      <c r="F1498" t="inlineStr">
        <is>
          <t>USD</t>
        </is>
      </c>
      <c r="G1498" s="7" t="n">
        <v>312303450.344</v>
      </c>
      <c r="H1498" t="inlineStr">
        <is>
          <t>GBP</t>
        </is>
      </c>
      <c r="I1498" s="7" t="n">
        <v>244845905.07</v>
      </c>
      <c r="J1498" s="8" t="n">
        <v>46253.46979166667</v>
      </c>
      <c r="K1498" t="inlineStr">
        <is>
          <t>CF260819 01492</t>
        </is>
      </c>
      <c r="L1498" t="inlineStr">
        <is>
          <t>GL.NOSTRO.USD.BRBX.001</t>
        </is>
      </c>
      <c r="M1498" t="inlineStr">
        <is>
          <t>Juniper Bank</t>
        </is>
      </c>
      <c r="N1498" t="inlineStr">
        <is>
          <t>BRBXCASH</t>
        </is>
      </c>
      <c r="O1498" t="inlineStr">
        <is>
          <t>NEW</t>
        </is>
      </c>
      <c r="Q1498" t="inlineStr">
        <is>
          <t>NETTER</t>
        </is>
      </c>
    </row>
    <row r="1499">
      <c r="A1499" t="inlineStr">
        <is>
          <t>910703979141</t>
        </is>
      </c>
      <c r="B1499" t="inlineStr">
        <is>
          <t>TCQ</t>
        </is>
      </c>
      <c r="C1499" t="inlineStr">
        <is>
          <t>BRCC</t>
        </is>
      </c>
      <c r="D1499" s="6" t="n">
        <v>46253</v>
      </c>
      <c r="E1499" t="inlineStr">
        <is>
          <t>CR</t>
        </is>
      </c>
      <c r="F1499" t="inlineStr">
        <is>
          <t>CHF</t>
        </is>
      </c>
      <c r="G1499" s="7" t="n">
        <v>4001.749</v>
      </c>
      <c r="H1499" t="inlineStr">
        <is>
          <t>GBP</t>
        </is>
      </c>
      <c r="I1499" s="7" t="n">
        <v>3589.569</v>
      </c>
      <c r="J1499" s="8" t="n">
        <v>46253.58997685185</v>
      </c>
      <c r="K1499" t="inlineStr">
        <is>
          <t>CF260819 01493</t>
        </is>
      </c>
      <c r="L1499" t="inlineStr">
        <is>
          <t>GL.NOSTRO.CHF.BRCC.004</t>
        </is>
      </c>
      <c r="M1499" t="inlineStr">
        <is>
          <t>Mallow Clearing</t>
        </is>
      </c>
      <c r="N1499" t="inlineStr">
        <is>
          <t>BRCCCASH</t>
        </is>
      </c>
      <c r="O1499" t="inlineStr">
        <is>
          <t>NEW</t>
        </is>
      </c>
      <c r="Q1499" t="inlineStr">
        <is>
          <t>GROSS</t>
        </is>
      </c>
    </row>
    <row r="1500">
      <c r="A1500" t="inlineStr">
        <is>
          <t>468341071172</t>
        </is>
      </c>
      <c r="B1500" t="inlineStr">
        <is>
          <t>TCX</t>
        </is>
      </c>
      <c r="C1500" t="inlineStr">
        <is>
          <t>BRCC</t>
        </is>
      </c>
      <c r="D1500" s="6" t="n">
        <v>46253</v>
      </c>
      <c r="E1500" t="inlineStr">
        <is>
          <t>CR</t>
        </is>
      </c>
      <c r="F1500" t="inlineStr">
        <is>
          <t>EUR</t>
        </is>
      </c>
      <c r="G1500" s="7" t="n">
        <v>49266327.707</v>
      </c>
      <c r="H1500" t="inlineStr">
        <is>
          <t>GBP</t>
        </is>
      </c>
      <c r="I1500" s="7" t="n">
        <v>42270509.173</v>
      </c>
      <c r="J1500" s="8" t="n">
        <v>46253.37726851852</v>
      </c>
      <c r="K1500" t="inlineStr">
        <is>
          <t>CF260819 01494</t>
        </is>
      </c>
      <c r="L1500" t="inlineStr">
        <is>
          <t>GL.NOSTRO.EUR.BRCC.009</t>
        </is>
      </c>
      <c r="M1500" t="inlineStr">
        <is>
          <t>Granite Bank</t>
        </is>
      </c>
      <c r="N1500" t="inlineStr">
        <is>
          <t>BRCCTRSY</t>
        </is>
      </c>
      <c r="O1500" t="inlineStr">
        <is>
          <t>NEW</t>
        </is>
      </c>
      <c r="Q1500" t="inlineStr">
        <is>
          <t>GROSS</t>
        </is>
      </c>
    </row>
    <row r="1501">
      <c r="A1501" t="inlineStr">
        <is>
          <t>968942362772</t>
        </is>
      </c>
      <c r="B1501" t="inlineStr">
        <is>
          <t>TCP</t>
        </is>
      </c>
      <c r="C1501" t="inlineStr">
        <is>
          <t>BRYG</t>
        </is>
      </c>
      <c r="D1501" s="6" t="n">
        <v>46253</v>
      </c>
      <c r="E1501" t="inlineStr">
        <is>
          <t>CR</t>
        </is>
      </c>
      <c r="F1501" t="inlineStr">
        <is>
          <t>EUR</t>
        </is>
      </c>
      <c r="G1501" s="7" t="n">
        <v>3078494.957</v>
      </c>
      <c r="H1501" t="inlineStr">
        <is>
          <t>GBP</t>
        </is>
      </c>
      <c r="I1501" s="7" t="n">
        <v>2641348.673</v>
      </c>
      <c r="J1501" s="8" t="n">
        <v>46253.46592592593</v>
      </c>
      <c r="K1501" t="inlineStr">
        <is>
          <t>CF260819 01495</t>
        </is>
      </c>
      <c r="L1501" t="inlineStr">
        <is>
          <t>GL.NOSTRO.EUR.BRYG.007</t>
        </is>
      </c>
      <c r="M1501" t="inlineStr">
        <is>
          <t>Sablewood Clearing</t>
        </is>
      </c>
      <c r="N1501" t="inlineStr">
        <is>
          <t>BRYG</t>
        </is>
      </c>
      <c r="O1501" t="inlineStr">
        <is>
          <t>NEW</t>
        </is>
      </c>
      <c r="P1501" t="inlineStr">
        <is>
          <t>NT26081900668</t>
        </is>
      </c>
      <c r="Q1501" t="inlineStr">
        <is>
          <t>NETTER</t>
        </is>
      </c>
    </row>
    <row r="1502">
      <c r="A1502" t="inlineStr">
        <is>
          <t>726928343448</t>
        </is>
      </c>
      <c r="B1502" t="inlineStr">
        <is>
          <t>TCX</t>
        </is>
      </c>
      <c r="C1502" t="inlineStr">
        <is>
          <t>BRGX</t>
        </is>
      </c>
      <c r="D1502" s="6" t="n">
        <v>46253</v>
      </c>
      <c r="E1502" t="inlineStr">
        <is>
          <t>DR</t>
        </is>
      </c>
      <c r="F1502" t="inlineStr">
        <is>
          <t>EUR</t>
        </is>
      </c>
      <c r="G1502" s="7" t="n">
        <v>-27544408.28</v>
      </c>
      <c r="H1502" t="inlineStr">
        <is>
          <t>GBP</t>
        </is>
      </c>
      <c r="I1502" s="7" t="n">
        <v>-23633102.304</v>
      </c>
      <c r="J1502" s="8" t="n">
        <v>46253.42225694445</v>
      </c>
      <c r="K1502" t="inlineStr">
        <is>
          <t>CF260819 01496</t>
        </is>
      </c>
      <c r="L1502" t="inlineStr">
        <is>
          <t>GL.NOSTRO.EUR.BRGX.003</t>
        </is>
      </c>
      <c r="M1502" t="inlineStr">
        <is>
          <t>Mallow Clearing</t>
        </is>
      </c>
      <c r="N1502" t="inlineStr">
        <is>
          <t>BRGXTRSY</t>
        </is>
      </c>
      <c r="O1502" t="inlineStr">
        <is>
          <t>NEW</t>
        </is>
      </c>
      <c r="Q1502" t="inlineStr">
        <is>
          <t>NETTER</t>
        </is>
      </c>
    </row>
    <row r="1503">
      <c r="A1503" t="inlineStr">
        <is>
          <t>910703979141</t>
        </is>
      </c>
      <c r="B1503" t="inlineStr">
        <is>
          <t>TCQ</t>
        </is>
      </c>
      <c r="C1503" t="inlineStr">
        <is>
          <t>BRCC</t>
        </is>
      </c>
      <c r="D1503" s="6" t="n">
        <v>46253</v>
      </c>
      <c r="E1503" t="inlineStr">
        <is>
          <t>CR</t>
        </is>
      </c>
      <c r="F1503" t="inlineStr">
        <is>
          <t>CHF</t>
        </is>
      </c>
      <c r="G1503" s="7" t="n">
        <v>55766.972</v>
      </c>
      <c r="H1503" t="inlineStr">
        <is>
          <t>GBP</t>
        </is>
      </c>
      <c r="I1503" s="7" t="n">
        <v>50022.974</v>
      </c>
      <c r="J1503" s="8" t="n">
        <v>46253.6869212963</v>
      </c>
      <c r="K1503" t="inlineStr">
        <is>
          <t>CF260819 01497</t>
        </is>
      </c>
      <c r="L1503" t="inlineStr">
        <is>
          <t>GL.NOSTRO.CHF.BRCC.004</t>
        </is>
      </c>
      <c r="M1503" t="inlineStr">
        <is>
          <t>Nightjar Bank</t>
        </is>
      </c>
      <c r="N1503" t="inlineStr">
        <is>
          <t>BRCCCASH</t>
        </is>
      </c>
      <c r="O1503" t="inlineStr">
        <is>
          <t>NEW</t>
        </is>
      </c>
      <c r="Q1503" t="inlineStr">
        <is>
          <t>NETTER</t>
        </is>
      </c>
    </row>
    <row r="1504">
      <c r="A1504" t="inlineStr">
        <is>
          <t>499062838623</t>
        </is>
      </c>
      <c r="B1504" t="inlineStr">
        <is>
          <t>TCQ</t>
        </is>
      </c>
      <c r="C1504" t="inlineStr">
        <is>
          <t>BRBX</t>
        </is>
      </c>
      <c r="D1504" s="6" t="n">
        <v>46253</v>
      </c>
      <c r="E1504" t="inlineStr">
        <is>
          <t>CR</t>
        </is>
      </c>
      <c r="F1504" t="inlineStr">
        <is>
          <t>USD</t>
        </is>
      </c>
      <c r="G1504" s="7" t="n">
        <v>21173845.58</v>
      </c>
      <c r="H1504" t="inlineStr">
        <is>
          <t>GBP</t>
        </is>
      </c>
      <c r="I1504" s="7" t="n">
        <v>16600294.935</v>
      </c>
      <c r="J1504" s="8" t="n">
        <v>46253.70244212963</v>
      </c>
      <c r="K1504" t="inlineStr">
        <is>
          <t>CF260819 01498</t>
        </is>
      </c>
      <c r="L1504" t="inlineStr">
        <is>
          <t>GL.NOSTRO.USD.BRBX.003</t>
        </is>
      </c>
      <c r="M1504" t="inlineStr">
        <is>
          <t>Mallow Commercial Bank</t>
        </is>
      </c>
      <c r="N1504" t="inlineStr">
        <is>
          <t>BRBX</t>
        </is>
      </c>
      <c r="O1504" t="inlineStr">
        <is>
          <t>NEW</t>
        </is>
      </c>
      <c r="P1504" t="inlineStr">
        <is>
          <t>NT26081900679</t>
        </is>
      </c>
      <c r="Q1504" t="inlineStr">
        <is>
          <t>GROSS</t>
        </is>
      </c>
    </row>
    <row r="1505">
      <c r="A1505" t="inlineStr">
        <is>
          <t>150316825069</t>
        </is>
      </c>
      <c r="B1505" t="inlineStr">
        <is>
          <t>TCP</t>
        </is>
      </c>
      <c r="C1505" t="inlineStr">
        <is>
          <t>BRGX</t>
        </is>
      </c>
      <c r="D1505" s="6" t="n">
        <v>46253</v>
      </c>
      <c r="E1505" t="inlineStr">
        <is>
          <t>DR</t>
        </is>
      </c>
      <c r="F1505" t="inlineStr">
        <is>
          <t>GBP</t>
        </is>
      </c>
      <c r="G1505" s="7" t="n">
        <v>-9636119.173</v>
      </c>
      <c r="H1505" t="inlineStr">
        <is>
          <t>GBP</t>
        </is>
      </c>
      <c r="I1505" s="7" t="n">
        <v>-9636119.173</v>
      </c>
      <c r="J1505" s="8" t="n">
        <v>46253.50043981482</v>
      </c>
      <c r="K1505" t="inlineStr">
        <is>
          <t>CF260819 01499</t>
        </is>
      </c>
      <c r="L1505" t="inlineStr">
        <is>
          <t>GL.NOSTRO.GBP.BRGX.001</t>
        </is>
      </c>
      <c r="M1505" t="inlineStr">
        <is>
          <t>Granite Clearing</t>
        </is>
      </c>
      <c r="N1505" t="inlineStr">
        <is>
          <t>BRGXCASH</t>
        </is>
      </c>
      <c r="O1505" t="inlineStr">
        <is>
          <t>NEW</t>
        </is>
      </c>
      <c r="P1505" t="inlineStr">
        <is>
          <t>NT26081900687</t>
        </is>
      </c>
      <c r="Q1505" t="inlineStr">
        <is>
          <t>GROSS</t>
        </is>
      </c>
    </row>
    <row r="1506">
      <c r="A1506" t="inlineStr">
        <is>
          <t>150316825069</t>
        </is>
      </c>
      <c r="B1506" t="inlineStr">
        <is>
          <t>TCC</t>
        </is>
      </c>
      <c r="C1506" t="inlineStr">
        <is>
          <t>BRGX</t>
        </is>
      </c>
      <c r="D1506" s="6" t="n">
        <v>46253</v>
      </c>
      <c r="E1506" t="inlineStr">
        <is>
          <t>CR</t>
        </is>
      </c>
      <c r="F1506" t="inlineStr">
        <is>
          <t>GBP</t>
        </is>
      </c>
      <c r="G1506" s="7" t="n">
        <v>110856364.72</v>
      </c>
      <c r="H1506" t="inlineStr">
        <is>
          <t>GBP</t>
        </is>
      </c>
      <c r="I1506" s="7" t="n">
        <v>110856364.72</v>
      </c>
      <c r="J1506" s="8" t="n">
        <v>46253.64371527778</v>
      </c>
      <c r="K1506" t="inlineStr">
        <is>
          <t>CF260819 01500</t>
        </is>
      </c>
      <c r="L1506" t="inlineStr">
        <is>
          <t>GL.NOSTRO.GBP.BRGX.004</t>
        </is>
      </c>
      <c r="M1506" t="inlineStr">
        <is>
          <t>Fernway Settlement Bank</t>
        </is>
      </c>
      <c r="N1506" t="inlineStr">
        <is>
          <t>BRGXCASH</t>
        </is>
      </c>
      <c r="O1506" t="inlineStr">
        <is>
          <t>NEW</t>
        </is>
      </c>
      <c r="Q1506" t="inlineStr">
        <is>
          <t>GROSS</t>
        </is>
      </c>
    </row>
    <row r="1507">
      <c r="A1507" t="inlineStr">
        <is>
          <t>700726936098</t>
        </is>
      </c>
      <c r="B1507" t="inlineStr">
        <is>
          <t>TCC</t>
        </is>
      </c>
      <c r="C1507" t="inlineStr">
        <is>
          <t>BRMD</t>
        </is>
      </c>
      <c r="D1507" s="6" t="n">
        <v>46253</v>
      </c>
      <c r="E1507" t="inlineStr">
        <is>
          <t>CR</t>
        </is>
      </c>
      <c r="F1507" t="inlineStr">
        <is>
          <t>SAR</t>
        </is>
      </c>
      <c r="G1507" s="7" t="n">
        <v>11481799.454</v>
      </c>
      <c r="H1507" t="inlineStr">
        <is>
          <t>GBP</t>
        </is>
      </c>
      <c r="I1507" s="7" t="n">
        <v>2399696.086</v>
      </c>
      <c r="J1507" s="8" t="n">
        <v>46253.31395833333</v>
      </c>
      <c r="K1507" t="inlineStr">
        <is>
          <t>CF260819 01501</t>
        </is>
      </c>
      <c r="L1507" t="inlineStr">
        <is>
          <t>GL.NOSTRO.SAR.BRMD.005</t>
        </is>
      </c>
      <c r="M1507" t="inlineStr">
        <is>
          <t>Alder Clearing</t>
        </is>
      </c>
      <c r="N1507" t="inlineStr">
        <is>
          <t>BRMDMM</t>
        </is>
      </c>
      <c r="O1507" t="inlineStr">
        <is>
          <t>AMEND</t>
        </is>
      </c>
      <c r="Q1507" t="inlineStr">
        <is>
          <t>NETTER</t>
        </is>
      </c>
    </row>
    <row r="1508">
      <c r="A1508" t="inlineStr">
        <is>
          <t>284925023085</t>
        </is>
      </c>
      <c r="B1508" t="inlineStr">
        <is>
          <t>TCP</t>
        </is>
      </c>
      <c r="C1508" t="inlineStr">
        <is>
          <t>BRMD</t>
        </is>
      </c>
      <c r="D1508" s="6" t="n">
        <v>46253</v>
      </c>
      <c r="E1508" t="inlineStr">
        <is>
          <t>CR</t>
        </is>
      </c>
      <c r="F1508" t="inlineStr">
        <is>
          <t>MXN</t>
        </is>
      </c>
      <c r="G1508" s="7" t="n">
        <v>382597.551</v>
      </c>
      <c r="H1508" t="inlineStr">
        <is>
          <t>GBP</t>
        </is>
      </c>
      <c r="I1508" s="7" t="n">
        <v>16375.175</v>
      </c>
      <c r="J1508" s="8" t="n">
        <v>46253.38085648148</v>
      </c>
      <c r="K1508" t="inlineStr">
        <is>
          <t>CF260819 01502</t>
        </is>
      </c>
      <c r="L1508" t="inlineStr">
        <is>
          <t>GL.NOSTRO.MXN.BRMD.002</t>
        </is>
      </c>
      <c r="M1508" t="inlineStr">
        <is>
          <t>Redstart Commercial Bank</t>
        </is>
      </c>
      <c r="N1508" t="inlineStr">
        <is>
          <t>BRMD</t>
        </is>
      </c>
      <c r="O1508" t="inlineStr">
        <is>
          <t>NEW</t>
        </is>
      </c>
      <c r="Q1508" t="inlineStr">
        <is>
          <t>NETTER</t>
        </is>
      </c>
    </row>
    <row r="1509">
      <c r="A1509" t="inlineStr">
        <is>
          <t>171857983160</t>
        </is>
      </c>
      <c r="B1509" t="inlineStr">
        <is>
          <t>TCX</t>
        </is>
      </c>
      <c r="C1509" t="inlineStr">
        <is>
          <t>BRBX</t>
        </is>
      </c>
      <c r="D1509" s="6" t="n">
        <v>46253</v>
      </c>
      <c r="E1509" t="inlineStr">
        <is>
          <t>CR</t>
        </is>
      </c>
      <c r="F1509" t="inlineStr">
        <is>
          <t>AUD</t>
        </is>
      </c>
      <c r="G1509" s="7" t="n">
        <v>3257884.574</v>
      </c>
      <c r="H1509" t="inlineStr">
        <is>
          <t>GBP</t>
        </is>
      </c>
      <c r="I1509" s="7" t="n">
        <v>1671294.786</v>
      </c>
      <c r="J1509" s="8" t="n">
        <v>46253.6147337963</v>
      </c>
      <c r="K1509" t="inlineStr">
        <is>
          <t>CF260819 01503</t>
        </is>
      </c>
      <c r="L1509" t="inlineStr">
        <is>
          <t>GL.NOSTRO.AUD.BRBX.006</t>
        </is>
      </c>
      <c r="M1509" t="inlineStr">
        <is>
          <t>Zephyr Bank</t>
        </is>
      </c>
      <c r="N1509" t="inlineStr">
        <is>
          <t>BRBXCASH</t>
        </is>
      </c>
      <c r="O1509" t="inlineStr">
        <is>
          <t>NEW</t>
        </is>
      </c>
      <c r="P1509" t="inlineStr">
        <is>
          <t>NT26081900666</t>
        </is>
      </c>
      <c r="Q1509" t="inlineStr">
        <is>
          <t>GROSS</t>
        </is>
      </c>
    </row>
    <row r="1510">
      <c r="A1510" t="inlineStr">
        <is>
          <t>968942362772</t>
        </is>
      </c>
      <c r="B1510" t="inlineStr">
        <is>
          <t>TCC</t>
        </is>
      </c>
      <c r="C1510" t="inlineStr">
        <is>
          <t>BRYG</t>
        </is>
      </c>
      <c r="D1510" s="6" t="n">
        <v>46253</v>
      </c>
      <c r="E1510" t="inlineStr">
        <is>
          <t>CR</t>
        </is>
      </c>
      <c r="F1510" t="inlineStr">
        <is>
          <t>EUR</t>
        </is>
      </c>
      <c r="G1510" s="7" t="n">
        <v>518801016.991</v>
      </c>
      <c r="H1510" t="inlineStr">
        <is>
          <t>GBP</t>
        </is>
      </c>
      <c r="I1510" s="7" t="n">
        <v>445131272.578</v>
      </c>
      <c r="J1510" s="8" t="n">
        <v>46253.4334837963</v>
      </c>
      <c r="K1510" t="inlineStr">
        <is>
          <t>CF260819 01504</t>
        </is>
      </c>
      <c r="L1510" t="inlineStr">
        <is>
          <t>GL.NOSTRO.EUR.BRYG.004</t>
        </is>
      </c>
      <c r="M1510" t="inlineStr">
        <is>
          <t>Alder Clearing</t>
        </is>
      </c>
      <c r="N1510" t="inlineStr">
        <is>
          <t>BRYGTRSY</t>
        </is>
      </c>
      <c r="O1510" t="inlineStr">
        <is>
          <t>NEW</t>
        </is>
      </c>
      <c r="P1510" t="inlineStr">
        <is>
          <t>NT26081900657</t>
        </is>
      </c>
      <c r="Q1510" t="inlineStr">
        <is>
          <t>NETTER</t>
        </is>
      </c>
    </row>
    <row r="1511">
      <c r="A1511" t="inlineStr">
        <is>
          <t>150316825069</t>
        </is>
      </c>
      <c r="B1511" t="inlineStr">
        <is>
          <t>TCP</t>
        </is>
      </c>
      <c r="C1511" t="inlineStr">
        <is>
          <t>BRGX</t>
        </is>
      </c>
      <c r="D1511" s="6" t="n">
        <v>46253</v>
      </c>
      <c r="E1511" t="inlineStr">
        <is>
          <t>DR</t>
        </is>
      </c>
      <c r="F1511" t="inlineStr">
        <is>
          <t>GBP</t>
        </is>
      </c>
      <c r="G1511" s="7" t="n">
        <v>-629485516.322</v>
      </c>
      <c r="H1511" t="inlineStr">
        <is>
          <t>GBP</t>
        </is>
      </c>
      <c r="I1511" s="7" t="n">
        <v>-629485516.322</v>
      </c>
      <c r="J1511" s="8" t="n">
        <v>46253.42049768518</v>
      </c>
      <c r="K1511" t="inlineStr">
        <is>
          <t>CF260819 01505</t>
        </is>
      </c>
      <c r="L1511" t="inlineStr">
        <is>
          <t>GL.NOSTRO.GBP.BRGX.006</t>
        </is>
      </c>
      <c r="M1511" t="inlineStr">
        <is>
          <t>Elmwood Trust</t>
        </is>
      </c>
      <c r="N1511" t="inlineStr">
        <is>
          <t>BRGX</t>
        </is>
      </c>
      <c r="O1511" t="inlineStr">
        <is>
          <t>NEW</t>
        </is>
      </c>
      <c r="Q1511" t="inlineStr">
        <is>
          <t>GROSS</t>
        </is>
      </c>
    </row>
    <row r="1512">
      <c r="A1512" t="inlineStr">
        <is>
          <t>726928343448</t>
        </is>
      </c>
      <c r="B1512" t="inlineStr">
        <is>
          <t>TCC</t>
        </is>
      </c>
      <c r="C1512" t="inlineStr">
        <is>
          <t>BRGX</t>
        </is>
      </c>
      <c r="D1512" s="6" t="n">
        <v>46253</v>
      </c>
      <c r="E1512" t="inlineStr">
        <is>
          <t>CR</t>
        </is>
      </c>
      <c r="F1512" t="inlineStr">
        <is>
          <t>EUR</t>
        </is>
      </c>
      <c r="G1512" s="7" t="n">
        <v>1870210.215</v>
      </c>
      <c r="H1512" t="inlineStr">
        <is>
          <t>GBP</t>
        </is>
      </c>
      <c r="I1512" s="7" t="n">
        <v>1604640.364</v>
      </c>
      <c r="J1512" s="8" t="n">
        <v>46253.40797453704</v>
      </c>
      <c r="K1512" t="inlineStr">
        <is>
          <t>CF260819 01506</t>
        </is>
      </c>
      <c r="L1512" t="inlineStr">
        <is>
          <t>GL.NOSTRO.EUR.BRGX.008</t>
        </is>
      </c>
      <c r="M1512" t="inlineStr">
        <is>
          <t>Pinehurst Clearing</t>
        </is>
      </c>
      <c r="N1512" t="inlineStr">
        <is>
          <t>BRGXTRSY</t>
        </is>
      </c>
      <c r="O1512" t="inlineStr">
        <is>
          <t>NEW</t>
        </is>
      </c>
      <c r="Q1512" t="inlineStr">
        <is>
          <t>GROSS</t>
        </is>
      </c>
    </row>
    <row r="1513">
      <c r="A1513" t="inlineStr">
        <is>
          <t>265771593142</t>
        </is>
      </c>
      <c r="B1513" t="inlineStr">
        <is>
          <t>TCG</t>
        </is>
      </c>
      <c r="C1513" t="inlineStr">
        <is>
          <t>BRYG</t>
        </is>
      </c>
      <c r="D1513" s="6" t="n">
        <v>46253</v>
      </c>
      <c r="E1513" t="inlineStr">
        <is>
          <t>CR</t>
        </is>
      </c>
      <c r="F1513" t="inlineStr">
        <is>
          <t>EUR</t>
        </is>
      </c>
      <c r="G1513" s="7" t="n">
        <v>4047658999.051</v>
      </c>
      <c r="H1513" t="inlineStr">
        <is>
          <t>GBP</t>
        </is>
      </c>
      <c r="I1513" s="7" t="n">
        <v>3472891421.186</v>
      </c>
      <c r="J1513" s="8" t="n">
        <v>46253.56483796296</v>
      </c>
      <c r="K1513" t="inlineStr">
        <is>
          <t>CF260819 01507</t>
        </is>
      </c>
      <c r="L1513" t="inlineStr">
        <is>
          <t>GL.NOSTRO.EUR.BRYG.003</t>
        </is>
      </c>
      <c r="M1513" t="inlineStr">
        <is>
          <t>Juniper Bank</t>
        </is>
      </c>
      <c r="N1513" t="inlineStr">
        <is>
          <t>BRYGMM</t>
        </is>
      </c>
      <c r="O1513" t="inlineStr">
        <is>
          <t>NEW</t>
        </is>
      </c>
      <c r="P1513" t="inlineStr">
        <is>
          <t>NT26081900689</t>
        </is>
      </c>
      <c r="Q1513" t="inlineStr">
        <is>
          <t>NETTER</t>
        </is>
      </c>
    </row>
    <row r="1514">
      <c r="A1514" t="inlineStr">
        <is>
          <t>359365220160</t>
        </is>
      </c>
      <c r="B1514" t="inlineStr">
        <is>
          <t>TCG</t>
        </is>
      </c>
      <c r="C1514" t="inlineStr">
        <is>
          <t>BRGX</t>
        </is>
      </c>
      <c r="D1514" s="6" t="n">
        <v>46253</v>
      </c>
      <c r="E1514" t="inlineStr">
        <is>
          <t>DR</t>
        </is>
      </c>
      <c r="F1514" t="inlineStr">
        <is>
          <t>EUR</t>
        </is>
      </c>
      <c r="G1514" s="7" t="n">
        <v>-9684656.211999999</v>
      </c>
      <c r="H1514" t="inlineStr">
        <is>
          <t>GBP</t>
        </is>
      </c>
      <c r="I1514" s="7" t="n">
        <v>-8309435.03</v>
      </c>
      <c r="J1514" s="8" t="n">
        <v>46253.42530092593</v>
      </c>
      <c r="K1514" t="inlineStr">
        <is>
          <t>CF260819 01508</t>
        </is>
      </c>
      <c r="L1514" t="inlineStr">
        <is>
          <t>GL.NOSTRO.EUR.BRGX.004</t>
        </is>
      </c>
      <c r="M1514" t="inlineStr">
        <is>
          <t>Wrenfield Commercial Bank</t>
        </is>
      </c>
      <c r="N1514" t="inlineStr">
        <is>
          <t>BRGXMM</t>
        </is>
      </c>
      <c r="O1514" t="inlineStr">
        <is>
          <t>NEW</t>
        </is>
      </c>
      <c r="Q1514" t="inlineStr">
        <is>
          <t>NETTER</t>
        </is>
      </c>
    </row>
    <row r="1515">
      <c r="A1515" t="inlineStr">
        <is>
          <t>359365220160</t>
        </is>
      </c>
      <c r="B1515" t="inlineStr">
        <is>
          <t>TCQ</t>
        </is>
      </c>
      <c r="C1515" t="inlineStr">
        <is>
          <t>BRGX</t>
        </is>
      </c>
      <c r="D1515" s="6" t="n">
        <v>46253</v>
      </c>
      <c r="E1515" t="inlineStr">
        <is>
          <t>DR</t>
        </is>
      </c>
      <c r="F1515" t="inlineStr">
        <is>
          <t>EUR</t>
        </is>
      </c>
      <c r="G1515" s="7" t="n">
        <v>-22993897.345</v>
      </c>
      <c r="H1515" t="inlineStr">
        <is>
          <t>GBP</t>
        </is>
      </c>
      <c r="I1515" s="7" t="n">
        <v>-19728763.922</v>
      </c>
      <c r="J1515" s="8" t="n">
        <v>46253.33582175926</v>
      </c>
      <c r="K1515" t="inlineStr">
        <is>
          <t>CF260819 01509</t>
        </is>
      </c>
      <c r="L1515" t="inlineStr">
        <is>
          <t>GL.NOSTRO.EUR.BRGX.007</t>
        </is>
      </c>
      <c r="M1515" t="inlineStr">
        <is>
          <t>Larkspur Clearing</t>
        </is>
      </c>
      <c r="N1515" t="inlineStr">
        <is>
          <t>BRGX</t>
        </is>
      </c>
      <c r="O1515" t="inlineStr">
        <is>
          <t>NEW</t>
        </is>
      </c>
      <c r="P1515" t="inlineStr">
        <is>
          <t>NT26081900677</t>
        </is>
      </c>
      <c r="Q1515" t="inlineStr">
        <is>
          <t>NETTER</t>
        </is>
      </c>
    </row>
    <row r="1516">
      <c r="A1516" t="inlineStr">
        <is>
          <t>132544340094</t>
        </is>
      </c>
      <c r="B1516" t="inlineStr">
        <is>
          <t>TCQ</t>
        </is>
      </c>
      <c r="C1516" t="inlineStr">
        <is>
          <t>BRYG</t>
        </is>
      </c>
      <c r="D1516" s="6" t="n">
        <v>46253</v>
      </c>
      <c r="E1516" t="inlineStr">
        <is>
          <t>CR</t>
        </is>
      </c>
      <c r="F1516" t="inlineStr">
        <is>
          <t>CZK</t>
        </is>
      </c>
      <c r="G1516" s="7" t="n">
        <v>17881.499</v>
      </c>
      <c r="H1516" t="inlineStr">
        <is>
          <t>GBP</t>
        </is>
      </c>
      <c r="I1516" s="7" t="n">
        <v>606.183</v>
      </c>
      <c r="J1516" s="8" t="n">
        <v>46253.68600694444</v>
      </c>
      <c r="K1516" t="inlineStr">
        <is>
          <t>CF260819 01510</t>
        </is>
      </c>
      <c r="L1516" t="inlineStr">
        <is>
          <t>GL.NOSTRO.CZK.BRYG.002</t>
        </is>
      </c>
      <c r="M1516" t="inlineStr">
        <is>
          <t>Elmwood Trust</t>
        </is>
      </c>
      <c r="N1516" t="inlineStr">
        <is>
          <t>BRYGTRSY</t>
        </is>
      </c>
      <c r="O1516" t="inlineStr">
        <is>
          <t>NEW</t>
        </is>
      </c>
      <c r="Q1516" t="inlineStr">
        <is>
          <t>GROSS</t>
        </is>
      </c>
    </row>
    <row r="1517">
      <c r="A1517" t="inlineStr">
        <is>
          <t>968942362772</t>
        </is>
      </c>
      <c r="B1517" t="inlineStr">
        <is>
          <t>TCC</t>
        </is>
      </c>
      <c r="C1517" t="inlineStr">
        <is>
          <t>BRYG</t>
        </is>
      </c>
      <c r="D1517" s="6" t="n">
        <v>46253</v>
      </c>
      <c r="E1517" t="inlineStr">
        <is>
          <t>CR</t>
        </is>
      </c>
      <c r="F1517" t="inlineStr">
        <is>
          <t>EUR</t>
        </is>
      </c>
      <c r="G1517" s="7" t="n">
        <v>12977852.169</v>
      </c>
      <c r="H1517" t="inlineStr">
        <is>
          <t>GBP</t>
        </is>
      </c>
      <c r="I1517" s="7" t="n">
        <v>11134997.161</v>
      </c>
      <c r="J1517" s="8" t="n">
        <v>46253.54810185185</v>
      </c>
      <c r="K1517" t="inlineStr">
        <is>
          <t>CF260819 01511</t>
        </is>
      </c>
      <c r="L1517" t="inlineStr">
        <is>
          <t>GL.NOSTRO.EUR.BRYG.008</t>
        </is>
      </c>
      <c r="M1517" t="inlineStr">
        <is>
          <t>Bramble Bank</t>
        </is>
      </c>
      <c r="N1517" t="inlineStr">
        <is>
          <t>BRYG</t>
        </is>
      </c>
      <c r="O1517" t="inlineStr">
        <is>
          <t>NEW</t>
        </is>
      </c>
      <c r="Q1517" t="inlineStr">
        <is>
          <t>NETTER</t>
        </is>
      </c>
    </row>
    <row r="1518">
      <c r="A1518" t="inlineStr">
        <is>
          <t>968942362772</t>
        </is>
      </c>
      <c r="B1518" t="inlineStr">
        <is>
          <t>TCX</t>
        </is>
      </c>
      <c r="C1518" t="inlineStr">
        <is>
          <t>BRYG</t>
        </is>
      </c>
      <c r="D1518" s="6" t="n">
        <v>46253</v>
      </c>
      <c r="E1518" t="inlineStr">
        <is>
          <t>DR</t>
        </is>
      </c>
      <c r="F1518" t="inlineStr">
        <is>
          <t>EUR</t>
        </is>
      </c>
      <c r="G1518" s="7" t="n">
        <v>-10647809.114</v>
      </c>
      <c r="H1518" t="inlineStr">
        <is>
          <t>GBP</t>
        </is>
      </c>
      <c r="I1518" s="7" t="n">
        <v>-9135820.220000001</v>
      </c>
      <c r="J1518" s="8" t="n">
        <v>46253.80444444445</v>
      </c>
      <c r="K1518" t="inlineStr">
        <is>
          <t>CF260819 01512</t>
        </is>
      </c>
      <c r="L1518" t="inlineStr">
        <is>
          <t>GL.NOSTRO.EUR.BRYG.005</t>
        </is>
      </c>
      <c r="M1518" t="inlineStr">
        <is>
          <t>Larkspur Clearing</t>
        </is>
      </c>
      <c r="N1518" t="inlineStr">
        <is>
          <t>BRYGCASH</t>
        </is>
      </c>
      <c r="O1518" t="inlineStr">
        <is>
          <t>NEW</t>
        </is>
      </c>
      <c r="P1518" t="inlineStr">
        <is>
          <t>NT26081900668</t>
        </is>
      </c>
      <c r="Q1518" t="inlineStr">
        <is>
          <t>NETTER</t>
        </is>
      </c>
    </row>
    <row r="1519">
      <c r="A1519" t="inlineStr">
        <is>
          <t>794226063698</t>
        </is>
      </c>
      <c r="B1519" t="inlineStr">
        <is>
          <t>TCX</t>
        </is>
      </c>
      <c r="C1519" t="inlineStr">
        <is>
          <t>BRMD</t>
        </is>
      </c>
      <c r="D1519" s="6" t="n">
        <v>46253</v>
      </c>
      <c r="E1519" t="inlineStr">
        <is>
          <t>DR</t>
        </is>
      </c>
      <c r="F1519" t="inlineStr">
        <is>
          <t>AED</t>
        </is>
      </c>
      <c r="G1519" s="7" t="n">
        <v>-231054396.225</v>
      </c>
      <c r="H1519" t="inlineStr">
        <is>
          <t>GBP</t>
        </is>
      </c>
      <c r="I1519" s="7" t="n">
        <v>-49214586.396</v>
      </c>
      <c r="J1519" s="8" t="n">
        <v>46253.45751157407</v>
      </c>
      <c r="K1519" t="inlineStr">
        <is>
          <t>CF260819 01513</t>
        </is>
      </c>
      <c r="L1519" t="inlineStr">
        <is>
          <t>GL.NOSTRO.AED.BRMD.009</t>
        </is>
      </c>
      <c r="M1519" t="inlineStr">
        <is>
          <t>Yarrow Commercial Bank</t>
        </is>
      </c>
      <c r="N1519" t="inlineStr">
        <is>
          <t>BRMDMM</t>
        </is>
      </c>
      <c r="O1519" t="inlineStr">
        <is>
          <t>NEW</t>
        </is>
      </c>
      <c r="P1519" t="inlineStr">
        <is>
          <t>NT26081900690</t>
        </is>
      </c>
      <c r="Q1519" t="inlineStr">
        <is>
          <t>GROSS</t>
        </is>
      </c>
    </row>
    <row r="1520">
      <c r="A1520" t="inlineStr">
        <is>
          <t>284925023085</t>
        </is>
      </c>
      <c r="B1520" t="inlineStr">
        <is>
          <t>TCP</t>
        </is>
      </c>
      <c r="C1520" t="inlineStr">
        <is>
          <t>BRMD</t>
        </is>
      </c>
      <c r="D1520" s="6" t="n">
        <v>46253</v>
      </c>
      <c r="E1520" t="inlineStr">
        <is>
          <t>DR</t>
        </is>
      </c>
      <c r="F1520" t="inlineStr">
        <is>
          <t>MXN</t>
        </is>
      </c>
      <c r="G1520" s="7" t="n">
        <v>-1.055</v>
      </c>
      <c r="H1520" t="inlineStr">
        <is>
          <t>GBP</t>
        </is>
      </c>
      <c r="I1520" s="7" t="n">
        <v>-0.045</v>
      </c>
      <c r="J1520" s="8" t="n">
        <v>46253.43181712963</v>
      </c>
      <c r="K1520" t="inlineStr">
        <is>
          <t>CF260819 01514</t>
        </is>
      </c>
      <c r="L1520" t="inlineStr">
        <is>
          <t>GL.NOSTRO.MXN.BRMD.007</t>
        </is>
      </c>
      <c r="M1520" t="inlineStr">
        <is>
          <t>Alder Trust</t>
        </is>
      </c>
      <c r="N1520" t="inlineStr">
        <is>
          <t>BRMDMM</t>
        </is>
      </c>
      <c r="O1520" t="inlineStr">
        <is>
          <t>NEW</t>
        </is>
      </c>
      <c r="P1520" t="inlineStr">
        <is>
          <t>NT26081900663</t>
        </is>
      </c>
      <c r="Q1520" t="inlineStr">
        <is>
          <t>NETTER</t>
        </is>
      </c>
    </row>
    <row r="1521">
      <c r="A1521" t="inlineStr">
        <is>
          <t>794226063698</t>
        </is>
      </c>
      <c r="B1521" t="inlineStr">
        <is>
          <t>TCP</t>
        </is>
      </c>
      <c r="C1521" t="inlineStr">
        <is>
          <t>BRMD</t>
        </is>
      </c>
      <c r="D1521" s="6" t="n">
        <v>46253</v>
      </c>
      <c r="E1521" t="inlineStr">
        <is>
          <t>CR</t>
        </is>
      </c>
      <c r="F1521" t="inlineStr">
        <is>
          <t>AED</t>
        </is>
      </c>
      <c r="G1521" s="7" t="n">
        <v>724063610.179</v>
      </c>
      <c r="H1521" t="inlineStr">
        <is>
          <t>GBP</t>
        </is>
      </c>
      <c r="I1521" s="7" t="n">
        <v>154225548.968</v>
      </c>
      <c r="J1521" s="8" t="n">
        <v>46253.36577546296</v>
      </c>
      <c r="K1521" t="inlineStr">
        <is>
          <t>CF260819 01515</t>
        </is>
      </c>
      <c r="L1521" t="inlineStr">
        <is>
          <t>GL.NOSTRO.AED.BRMD.005</t>
        </is>
      </c>
      <c r="M1521" t="inlineStr">
        <is>
          <t>Mallow Commercial Bank</t>
        </is>
      </c>
      <c r="N1521" t="inlineStr">
        <is>
          <t>BRMDCASH</t>
        </is>
      </c>
      <c r="O1521" t="inlineStr">
        <is>
          <t>NEW</t>
        </is>
      </c>
      <c r="Q1521" t="inlineStr">
        <is>
          <t>NETTER</t>
        </is>
      </c>
    </row>
    <row r="1522">
      <c r="A1522" t="inlineStr">
        <is>
          <t>824840705580</t>
        </is>
      </c>
      <c r="B1522" t="inlineStr">
        <is>
          <t>TCP</t>
        </is>
      </c>
      <c r="C1522" t="inlineStr">
        <is>
          <t>BRGL</t>
        </is>
      </c>
      <c r="D1522" s="6" t="n">
        <v>46253</v>
      </c>
      <c r="E1522" t="inlineStr">
        <is>
          <t>CR</t>
        </is>
      </c>
      <c r="F1522" t="inlineStr">
        <is>
          <t>EUR</t>
        </is>
      </c>
      <c r="G1522" s="7" t="n">
        <v>465197852.88</v>
      </c>
      <c r="H1522" t="inlineStr">
        <is>
          <t>GBP</t>
        </is>
      </c>
      <c r="I1522" s="7" t="n">
        <v>399139757.771</v>
      </c>
      <c r="J1522" s="8" t="n">
        <v>46253.61293981481</v>
      </c>
      <c r="K1522" t="inlineStr">
        <is>
          <t>CF260819 01516</t>
        </is>
      </c>
      <c r="L1522" t="inlineStr">
        <is>
          <t>GL.NOSTRO.EUR.BRGL.001</t>
        </is>
      </c>
      <c r="M1522" t="inlineStr">
        <is>
          <t>Nightjar Trust</t>
        </is>
      </c>
      <c r="N1522" t="inlineStr">
        <is>
          <t>BRGLCASH</t>
        </is>
      </c>
      <c r="O1522" t="inlineStr">
        <is>
          <t>NEW</t>
        </is>
      </c>
      <c r="P1522" t="inlineStr">
        <is>
          <t>NT26081900686</t>
        </is>
      </c>
      <c r="Q1522" t="inlineStr">
        <is>
          <t>NETTER</t>
        </is>
      </c>
    </row>
    <row r="1523">
      <c r="A1523" t="inlineStr">
        <is>
          <t>150316825069</t>
        </is>
      </c>
      <c r="B1523" t="inlineStr">
        <is>
          <t>TCG</t>
        </is>
      </c>
      <c r="C1523" t="inlineStr">
        <is>
          <t>BRGX</t>
        </is>
      </c>
      <c r="D1523" s="6" t="n">
        <v>46253</v>
      </c>
      <c r="E1523" t="inlineStr">
        <is>
          <t>DR</t>
        </is>
      </c>
      <c r="F1523" t="inlineStr">
        <is>
          <t>GBP</t>
        </is>
      </c>
      <c r="G1523" s="7" t="n">
        <v>-6228504.769</v>
      </c>
      <c r="H1523" t="inlineStr">
        <is>
          <t>GBP</t>
        </is>
      </c>
      <c r="I1523" s="7" t="n">
        <v>-6228504.769</v>
      </c>
      <c r="J1523" s="8" t="n">
        <v>46253.73127314815</v>
      </c>
      <c r="K1523" t="inlineStr">
        <is>
          <t>CF260819 01517</t>
        </is>
      </c>
      <c r="L1523" t="inlineStr">
        <is>
          <t>GL.NOSTRO.GBP.BRGX.003</t>
        </is>
      </c>
      <c r="M1523" t="inlineStr">
        <is>
          <t>Nightjar Bank</t>
        </is>
      </c>
      <c r="N1523" t="inlineStr">
        <is>
          <t>BRGXTRSY</t>
        </is>
      </c>
      <c r="O1523" t="inlineStr">
        <is>
          <t>AMEND</t>
        </is>
      </c>
      <c r="Q1523" t="inlineStr">
        <is>
          <t>NETTER</t>
        </is>
      </c>
    </row>
    <row r="1524">
      <c r="A1524" t="inlineStr">
        <is>
          <t>726928343448</t>
        </is>
      </c>
      <c r="B1524" t="inlineStr">
        <is>
          <t>TCQ</t>
        </is>
      </c>
      <c r="C1524" t="inlineStr">
        <is>
          <t>BRGX</t>
        </is>
      </c>
      <c r="D1524" s="6" t="n">
        <v>46253</v>
      </c>
      <c r="E1524" t="inlineStr">
        <is>
          <t>CR</t>
        </is>
      </c>
      <c r="F1524" t="inlineStr">
        <is>
          <t>EUR</t>
        </is>
      </c>
      <c r="G1524" s="7" t="n">
        <v>926324371.654</v>
      </c>
      <c r="H1524" t="inlineStr">
        <is>
          <t>GBP</t>
        </is>
      </c>
      <c r="I1524" s="7" t="n">
        <v>794786310.8789999</v>
      </c>
      <c r="J1524" s="8" t="n">
        <v>46253.34467592592</v>
      </c>
      <c r="K1524" t="inlineStr">
        <is>
          <t>CF260819 01518</t>
        </is>
      </c>
      <c r="L1524" t="inlineStr">
        <is>
          <t>GL.NOSTRO.EUR.BRGX.005</t>
        </is>
      </c>
      <c r="M1524" t="inlineStr">
        <is>
          <t>Elmwood Bank</t>
        </is>
      </c>
      <c r="N1524" t="inlineStr">
        <is>
          <t>BRGXTRSY</t>
        </is>
      </c>
      <c r="O1524" t="inlineStr">
        <is>
          <t>NEW</t>
        </is>
      </c>
      <c r="P1524" t="inlineStr">
        <is>
          <t>NT26081900688</t>
        </is>
      </c>
      <c r="Q1524" t="inlineStr">
        <is>
          <t>NETTER</t>
        </is>
      </c>
    </row>
    <row r="1525">
      <c r="A1525" t="inlineStr">
        <is>
          <t>700726936098</t>
        </is>
      </c>
      <c r="B1525" t="inlineStr">
        <is>
          <t>TCC</t>
        </is>
      </c>
      <c r="C1525" t="inlineStr">
        <is>
          <t>BRMD</t>
        </is>
      </c>
      <c r="D1525" s="6" t="n">
        <v>46253</v>
      </c>
      <c r="E1525" t="inlineStr">
        <is>
          <t>DR</t>
        </is>
      </c>
      <c r="F1525" t="inlineStr">
        <is>
          <t>SAR</t>
        </is>
      </c>
      <c r="G1525" s="7" t="n">
        <v>-38851139.389</v>
      </c>
      <c r="H1525" t="inlineStr">
        <is>
          <t>GBP</t>
        </is>
      </c>
      <c r="I1525" s="7" t="n">
        <v>-8119888.132</v>
      </c>
      <c r="J1525" s="8" t="n">
        <v>46253.33831018519</v>
      </c>
      <c r="K1525" t="inlineStr">
        <is>
          <t>CF260819 01519</t>
        </is>
      </c>
      <c r="L1525" t="inlineStr">
        <is>
          <t>GL.NOSTRO.SAR.BRMD.007</t>
        </is>
      </c>
      <c r="M1525" t="inlineStr">
        <is>
          <t>Umberton Clearing</t>
        </is>
      </c>
      <c r="N1525" t="inlineStr">
        <is>
          <t>BRMD</t>
        </is>
      </c>
      <c r="O1525" t="inlineStr">
        <is>
          <t>NEW</t>
        </is>
      </c>
      <c r="P1525" t="inlineStr">
        <is>
          <t>NT26081900673</t>
        </is>
      </c>
      <c r="Q1525" t="inlineStr">
        <is>
          <t>GROSS</t>
        </is>
      </c>
    </row>
    <row r="1526">
      <c r="A1526" t="inlineStr">
        <is>
          <t>898317028833</t>
        </is>
      </c>
      <c r="B1526" t="inlineStr">
        <is>
          <t>TCQ</t>
        </is>
      </c>
      <c r="C1526" t="inlineStr">
        <is>
          <t>BRAA</t>
        </is>
      </c>
      <c r="D1526" s="6" t="n">
        <v>46253</v>
      </c>
      <c r="E1526" t="inlineStr">
        <is>
          <t>CR</t>
        </is>
      </c>
      <c r="F1526" t="inlineStr">
        <is>
          <t>GBP</t>
        </is>
      </c>
      <c r="G1526" s="7" t="n">
        <v>19535295.037</v>
      </c>
      <c r="H1526" t="inlineStr">
        <is>
          <t>GBP</t>
        </is>
      </c>
      <c r="I1526" s="7" t="n">
        <v>19535295.037</v>
      </c>
      <c r="J1526" s="8" t="n">
        <v>46253.38269675926</v>
      </c>
      <c r="K1526" t="inlineStr">
        <is>
          <t>CF260819 01520</t>
        </is>
      </c>
      <c r="L1526" t="inlineStr">
        <is>
          <t>GL.NOSTRO.GBP.BRAA.001</t>
        </is>
      </c>
      <c r="M1526" t="inlineStr">
        <is>
          <t>Vetchling Bank</t>
        </is>
      </c>
      <c r="N1526" t="inlineStr">
        <is>
          <t>BRAATRSY</t>
        </is>
      </c>
      <c r="O1526" t="inlineStr">
        <is>
          <t>AMEND</t>
        </is>
      </c>
      <c r="P1526" t="inlineStr">
        <is>
          <t>NT26081900695</t>
        </is>
      </c>
      <c r="Q1526" t="inlineStr">
        <is>
          <t>NETTER</t>
        </is>
      </c>
    </row>
    <row r="1527">
      <c r="A1527" t="inlineStr">
        <is>
          <t>910703979141</t>
        </is>
      </c>
      <c r="B1527" t="inlineStr">
        <is>
          <t>TCX</t>
        </is>
      </c>
      <c r="C1527" t="inlineStr">
        <is>
          <t>BRCC</t>
        </is>
      </c>
      <c r="D1527" s="6" t="n">
        <v>46253</v>
      </c>
      <c r="E1527" t="inlineStr">
        <is>
          <t>DR</t>
        </is>
      </c>
      <c r="F1527" t="inlineStr">
        <is>
          <t>CHF</t>
        </is>
      </c>
      <c r="G1527" s="7" t="n">
        <v>-26415646.74</v>
      </c>
      <c r="H1527" t="inlineStr">
        <is>
          <t>GBP</t>
        </is>
      </c>
      <c r="I1527" s="7" t="n">
        <v>-23694835.126</v>
      </c>
      <c r="J1527" s="8" t="n">
        <v>46253.41667824074</v>
      </c>
      <c r="K1527" t="inlineStr">
        <is>
          <t>CF260819 01521</t>
        </is>
      </c>
      <c r="L1527" t="inlineStr">
        <is>
          <t>GL.NOSTRO.CHF.BRCC.003</t>
        </is>
      </c>
      <c r="M1527" t="inlineStr">
        <is>
          <t>Pinehurst Clearing</t>
        </is>
      </c>
      <c r="N1527" t="inlineStr">
        <is>
          <t>BRCCMM</t>
        </is>
      </c>
      <c r="O1527" t="inlineStr">
        <is>
          <t>NEW</t>
        </is>
      </c>
      <c r="Q1527" t="inlineStr">
        <is>
          <t>NETTER</t>
        </is>
      </c>
    </row>
    <row r="1528">
      <c r="A1528" t="inlineStr">
        <is>
          <t>171857983160</t>
        </is>
      </c>
      <c r="B1528" t="inlineStr">
        <is>
          <t>TCP</t>
        </is>
      </c>
      <c r="C1528" t="inlineStr">
        <is>
          <t>BRBX</t>
        </is>
      </c>
      <c r="D1528" s="6" t="n">
        <v>46253</v>
      </c>
      <c r="E1528" t="inlineStr">
        <is>
          <t>DR</t>
        </is>
      </c>
      <c r="F1528" t="inlineStr">
        <is>
          <t>AUD</t>
        </is>
      </c>
      <c r="G1528" s="7" t="n">
        <v>-31667.198</v>
      </c>
      <c r="H1528" t="inlineStr">
        <is>
          <t>GBP</t>
        </is>
      </c>
      <c r="I1528" s="7" t="n">
        <v>-16245.273</v>
      </c>
      <c r="J1528" s="8" t="n">
        <v>46253.56172453704</v>
      </c>
      <c r="K1528" t="inlineStr">
        <is>
          <t>CF260819 01522</t>
        </is>
      </c>
      <c r="L1528" t="inlineStr">
        <is>
          <t>GL.NOSTRO.AUD.BRBX.006</t>
        </is>
      </c>
      <c r="M1528" t="inlineStr">
        <is>
          <t>Granite Clearing</t>
        </is>
      </c>
      <c r="N1528" t="inlineStr">
        <is>
          <t>BRBXTRSY</t>
        </is>
      </c>
      <c r="O1528" t="inlineStr">
        <is>
          <t>NEW</t>
        </is>
      </c>
      <c r="Q1528" t="inlineStr">
        <is>
          <t>NETTER</t>
        </is>
      </c>
    </row>
    <row r="1529">
      <c r="A1529" t="inlineStr">
        <is>
          <t>284925023085</t>
        </is>
      </c>
      <c r="B1529" t="inlineStr">
        <is>
          <t>TCG</t>
        </is>
      </c>
      <c r="C1529" t="inlineStr">
        <is>
          <t>BRMD</t>
        </is>
      </c>
      <c r="D1529" s="6" t="n">
        <v>46253</v>
      </c>
      <c r="E1529" t="inlineStr">
        <is>
          <t>CR</t>
        </is>
      </c>
      <c r="F1529" t="inlineStr">
        <is>
          <t>MXN</t>
        </is>
      </c>
      <c r="G1529" s="7" t="n">
        <v>1.875</v>
      </c>
      <c r="H1529" t="inlineStr">
        <is>
          <t>GBP</t>
        </is>
      </c>
      <c r="I1529" s="7" t="n">
        <v>0.08</v>
      </c>
      <c r="J1529" s="8" t="n">
        <v>46253.35599537037</v>
      </c>
      <c r="K1529" t="inlineStr">
        <is>
          <t>CF260819 01523</t>
        </is>
      </c>
      <c r="L1529" t="inlineStr">
        <is>
          <t>GL.NOSTRO.MXN.BRMD.008</t>
        </is>
      </c>
      <c r="M1529" t="inlineStr">
        <is>
          <t>Redstart Trust</t>
        </is>
      </c>
      <c r="N1529" t="inlineStr">
        <is>
          <t>BRMDCASH</t>
        </is>
      </c>
      <c r="O1529" t="inlineStr">
        <is>
          <t>NEW</t>
        </is>
      </c>
      <c r="Q1529" t="inlineStr">
        <is>
          <t>NETTER</t>
        </is>
      </c>
    </row>
    <row r="1530">
      <c r="A1530" t="inlineStr">
        <is>
          <t>824840705580</t>
        </is>
      </c>
      <c r="B1530" t="inlineStr">
        <is>
          <t>TCG</t>
        </is>
      </c>
      <c r="C1530" t="inlineStr">
        <is>
          <t>BRGL</t>
        </is>
      </c>
      <c r="D1530" s="6" t="n">
        <v>46253</v>
      </c>
      <c r="E1530" t="inlineStr">
        <is>
          <t>DR</t>
        </is>
      </c>
      <c r="F1530" t="inlineStr">
        <is>
          <t>EUR</t>
        </is>
      </c>
      <c r="G1530" s="7" t="n">
        <v>-821627.527</v>
      </c>
      <c r="H1530" t="inlineStr">
        <is>
          <t>GBP</t>
        </is>
      </c>
      <c r="I1530" s="7" t="n">
        <v>-704956.4179999999</v>
      </c>
      <c r="J1530" s="8" t="n">
        <v>46253.50958333333</v>
      </c>
      <c r="K1530" t="inlineStr">
        <is>
          <t>CF260819 01524</t>
        </is>
      </c>
      <c r="L1530" t="inlineStr">
        <is>
          <t>GL.NOSTRO.EUR.BRGL.001</t>
        </is>
      </c>
      <c r="M1530" t="inlineStr">
        <is>
          <t>Fernway Settlement Bank</t>
        </is>
      </c>
      <c r="N1530" t="inlineStr">
        <is>
          <t>BRGLCASH</t>
        </is>
      </c>
      <c r="O1530" t="inlineStr">
        <is>
          <t>NEW</t>
        </is>
      </c>
      <c r="Q1530" t="inlineStr">
        <is>
          <t>INTERNAL</t>
        </is>
      </c>
    </row>
    <row r="1531">
      <c r="A1531" t="inlineStr">
        <is>
          <t>968942362772</t>
        </is>
      </c>
      <c r="B1531" t="inlineStr">
        <is>
          <t>TCP</t>
        </is>
      </c>
      <c r="C1531" t="inlineStr">
        <is>
          <t>BRYG</t>
        </is>
      </c>
      <c r="D1531" s="6" t="n">
        <v>46253</v>
      </c>
      <c r="E1531" t="inlineStr">
        <is>
          <t>DR</t>
        </is>
      </c>
      <c r="F1531" t="inlineStr">
        <is>
          <t>EUR</t>
        </is>
      </c>
      <c r="G1531" s="7" t="n">
        <v>-41761997.258</v>
      </c>
      <c r="H1531" t="inlineStr">
        <is>
          <t>GBP</t>
        </is>
      </c>
      <c r="I1531" s="7" t="n">
        <v>-35831793.647</v>
      </c>
      <c r="J1531" s="8" t="n">
        <v>46253.63899305555</v>
      </c>
      <c r="K1531" t="inlineStr">
        <is>
          <t>CF260819 01525</t>
        </is>
      </c>
      <c r="L1531" t="inlineStr">
        <is>
          <t>GL.NOSTRO.EUR.BRYG.003</t>
        </is>
      </c>
      <c r="M1531" t="inlineStr">
        <is>
          <t>Redstart Trust</t>
        </is>
      </c>
      <c r="N1531" t="inlineStr">
        <is>
          <t>BRYG</t>
        </is>
      </c>
      <c r="O1531" t="inlineStr">
        <is>
          <t>NEW</t>
        </is>
      </c>
      <c r="P1531" t="inlineStr">
        <is>
          <t>NT26081900693</t>
        </is>
      </c>
      <c r="Q1531" t="inlineStr">
        <is>
          <t>NETTER</t>
        </is>
      </c>
    </row>
    <row r="1532">
      <c r="A1532" t="inlineStr">
        <is>
          <t>910703979141</t>
        </is>
      </c>
      <c r="B1532" t="inlineStr">
        <is>
          <t>TCC</t>
        </is>
      </c>
      <c r="C1532" t="inlineStr">
        <is>
          <t>BRCC</t>
        </is>
      </c>
      <c r="D1532" s="6" t="n">
        <v>46253</v>
      </c>
      <c r="E1532" t="inlineStr">
        <is>
          <t>DR</t>
        </is>
      </c>
      <c r="F1532" t="inlineStr">
        <is>
          <t>CHF</t>
        </is>
      </c>
      <c r="G1532" s="7" t="n">
        <v>-20049888.162</v>
      </c>
      <c r="H1532" t="inlineStr">
        <is>
          <t>GBP</t>
        </is>
      </c>
      <c r="I1532" s="7" t="n">
        <v>-17984749.681</v>
      </c>
      <c r="J1532" s="8" t="n">
        <v>46253.65185185185</v>
      </c>
      <c r="K1532" t="inlineStr">
        <is>
          <t>CF260819 01526</t>
        </is>
      </c>
      <c r="L1532" t="inlineStr">
        <is>
          <t>GL.NOSTRO.CHF.BRCC.008</t>
        </is>
      </c>
      <c r="M1532" t="inlineStr">
        <is>
          <t>Pinehurst Settlement Bank</t>
        </is>
      </c>
      <c r="N1532" t="inlineStr">
        <is>
          <t>BRCCTRSY</t>
        </is>
      </c>
      <c r="O1532" t="inlineStr">
        <is>
          <t>NEW</t>
        </is>
      </c>
      <c r="P1532" t="inlineStr">
        <is>
          <t>NT26081900674</t>
        </is>
      </c>
      <c r="Q1532" t="inlineStr">
        <is>
          <t>GROSS</t>
        </is>
      </c>
    </row>
    <row r="1533">
      <c r="A1533" t="inlineStr">
        <is>
          <t>150316825069</t>
        </is>
      </c>
      <c r="B1533" t="inlineStr">
        <is>
          <t>TCC</t>
        </is>
      </c>
      <c r="C1533" t="inlineStr">
        <is>
          <t>BRGX</t>
        </is>
      </c>
      <c r="D1533" s="6" t="n">
        <v>46253</v>
      </c>
      <c r="E1533" t="inlineStr">
        <is>
          <t>CR</t>
        </is>
      </c>
      <c r="F1533" t="inlineStr">
        <is>
          <t>GBP</t>
        </is>
      </c>
      <c r="G1533" s="7" t="n">
        <v>218989.539</v>
      </c>
      <c r="H1533" t="inlineStr">
        <is>
          <t>GBP</t>
        </is>
      </c>
      <c r="I1533" s="7" t="n">
        <v>218989.539</v>
      </c>
      <c r="J1533" s="8" t="n">
        <v>46253.34197916667</v>
      </c>
      <c r="K1533" t="inlineStr">
        <is>
          <t>CF260819 01527</t>
        </is>
      </c>
      <c r="L1533" t="inlineStr">
        <is>
          <t>GL.NOSTRO.GBP.BRGX.006</t>
        </is>
      </c>
      <c r="M1533" t="inlineStr">
        <is>
          <t>Zephyr Commercial Bank</t>
        </is>
      </c>
      <c r="N1533" t="inlineStr">
        <is>
          <t>BRGX</t>
        </is>
      </c>
      <c r="O1533" t="inlineStr">
        <is>
          <t>NEW</t>
        </is>
      </c>
      <c r="P1533" t="inlineStr">
        <is>
          <t>NT26081900656</t>
        </is>
      </c>
      <c r="Q1533" t="inlineStr">
        <is>
          <t>NETTER</t>
        </is>
      </c>
    </row>
    <row r="1534">
      <c r="A1534" t="inlineStr">
        <is>
          <t>284925023085</t>
        </is>
      </c>
      <c r="B1534" t="inlineStr">
        <is>
          <t>TCP</t>
        </is>
      </c>
      <c r="C1534" t="inlineStr">
        <is>
          <t>BRMD</t>
        </is>
      </c>
      <c r="D1534" s="6" t="n">
        <v>46253</v>
      </c>
      <c r="E1534" t="inlineStr">
        <is>
          <t>CR</t>
        </is>
      </c>
      <c r="F1534" t="inlineStr">
        <is>
          <t>MXN</t>
        </is>
      </c>
      <c r="G1534" s="7" t="n">
        <v>199649596.669</v>
      </c>
      <c r="H1534" t="inlineStr">
        <is>
          <t>GBP</t>
        </is>
      </c>
      <c r="I1534" s="7" t="n">
        <v>8545002.737</v>
      </c>
      <c r="J1534" s="8" t="n">
        <v>46253.67862268518</v>
      </c>
      <c r="K1534" t="inlineStr">
        <is>
          <t>CF260819 01528</t>
        </is>
      </c>
      <c r="L1534" t="inlineStr">
        <is>
          <t>GL.NOSTRO.MXN.BRMD.001</t>
        </is>
      </c>
      <c r="M1534" t="inlineStr">
        <is>
          <t>Vetchling Settlement Bank</t>
        </is>
      </c>
      <c r="N1534" t="inlineStr">
        <is>
          <t>BRMDMM</t>
        </is>
      </c>
      <c r="O1534" t="inlineStr">
        <is>
          <t>NEW</t>
        </is>
      </c>
      <c r="Q1534" t="inlineStr">
        <is>
          <t>NETTER</t>
        </is>
      </c>
    </row>
    <row r="1535">
      <c r="A1535" t="inlineStr">
        <is>
          <t>171857983160</t>
        </is>
      </c>
      <c r="B1535" t="inlineStr">
        <is>
          <t>TCC</t>
        </is>
      </c>
      <c r="C1535" t="inlineStr">
        <is>
          <t>BRBX</t>
        </is>
      </c>
      <c r="D1535" s="6" t="n">
        <v>46253</v>
      </c>
      <c r="E1535" t="inlineStr">
        <is>
          <t>DR</t>
        </is>
      </c>
      <c r="F1535" t="inlineStr">
        <is>
          <t>AUD</t>
        </is>
      </c>
      <c r="G1535" s="7" t="n">
        <v>-36789153.67</v>
      </c>
      <c r="H1535" t="inlineStr">
        <is>
          <t>GBP</t>
        </is>
      </c>
      <c r="I1535" s="7" t="n">
        <v>-18872835.833</v>
      </c>
      <c r="J1535" s="8" t="n">
        <v>46253.41030092593</v>
      </c>
      <c r="K1535" t="inlineStr">
        <is>
          <t>CF260819 01529</t>
        </is>
      </c>
      <c r="L1535" t="inlineStr">
        <is>
          <t>GL.NOSTRO.AUD.BRBX.002</t>
        </is>
      </c>
      <c r="M1535" t="inlineStr">
        <is>
          <t>Redstart Trust</t>
        </is>
      </c>
      <c r="N1535" t="inlineStr">
        <is>
          <t>BRBXCASH</t>
        </is>
      </c>
      <c r="O1535" t="inlineStr">
        <is>
          <t>NEW</t>
        </is>
      </c>
      <c r="Q1535" t="inlineStr">
        <is>
          <t>NETTER</t>
        </is>
      </c>
    </row>
    <row r="1536">
      <c r="A1536" t="inlineStr">
        <is>
          <t>794226063698</t>
        </is>
      </c>
      <c r="B1536" t="inlineStr">
        <is>
          <t>TCQ</t>
        </is>
      </c>
      <c r="C1536" t="inlineStr">
        <is>
          <t>BRMD</t>
        </is>
      </c>
      <c r="D1536" s="6" t="n">
        <v>46253</v>
      </c>
      <c r="E1536" t="inlineStr">
        <is>
          <t>DR</t>
        </is>
      </c>
      <c r="F1536" t="inlineStr">
        <is>
          <t>AED</t>
        </is>
      </c>
      <c r="G1536" s="7" t="n">
        <v>-12344498.528</v>
      </c>
      <c r="H1536" t="inlineStr">
        <is>
          <t>GBP</t>
        </is>
      </c>
      <c r="I1536" s="7" t="n">
        <v>-2629378.186</v>
      </c>
      <c r="J1536" s="8" t="n">
        <v>46253.39532407407</v>
      </c>
      <c r="K1536" t="inlineStr">
        <is>
          <t>CF260819 01530</t>
        </is>
      </c>
      <c r="L1536" t="inlineStr">
        <is>
          <t>GL.NOSTRO.AED.BRMD.003</t>
        </is>
      </c>
      <c r="M1536" t="inlineStr">
        <is>
          <t>Bramble Bank</t>
        </is>
      </c>
      <c r="N1536" t="inlineStr">
        <is>
          <t>BRMDTRSY</t>
        </is>
      </c>
      <c r="O1536" t="inlineStr">
        <is>
          <t>NEW</t>
        </is>
      </c>
      <c r="Q1536" t="inlineStr">
        <is>
          <t>NETTER</t>
        </is>
      </c>
    </row>
    <row r="1537">
      <c r="A1537" t="inlineStr">
        <is>
          <t>499062838623</t>
        </is>
      </c>
      <c r="B1537" t="inlineStr">
        <is>
          <t>TCP</t>
        </is>
      </c>
      <c r="C1537" t="inlineStr">
        <is>
          <t>BRBX</t>
        </is>
      </c>
      <c r="D1537" s="6" t="n">
        <v>46253</v>
      </c>
      <c r="E1537" t="inlineStr">
        <is>
          <t>CR</t>
        </is>
      </c>
      <c r="F1537" t="inlineStr">
        <is>
          <t>USD</t>
        </is>
      </c>
      <c r="G1537" s="7" t="n">
        <v>6160581.765</v>
      </c>
      <c r="H1537" t="inlineStr">
        <is>
          <t>GBP</t>
        </is>
      </c>
      <c r="I1537" s="7" t="n">
        <v>4829896.104</v>
      </c>
      <c r="J1537" s="8" t="n">
        <v>46253.66929398148</v>
      </c>
      <c r="K1537" t="inlineStr">
        <is>
          <t>CF260819 01531</t>
        </is>
      </c>
      <c r="L1537" t="inlineStr">
        <is>
          <t>GL.NOSTRO.USD.BRBX.005</t>
        </is>
      </c>
      <c r="M1537" t="inlineStr">
        <is>
          <t>Oriel Trust</t>
        </is>
      </c>
      <c r="N1537" t="inlineStr">
        <is>
          <t>BRBX</t>
        </is>
      </c>
      <c r="O1537" t="inlineStr">
        <is>
          <t>NEW</t>
        </is>
      </c>
      <c r="Q1537" t="inlineStr">
        <is>
          <t>NETTER</t>
        </is>
      </c>
    </row>
    <row r="1538">
      <c r="A1538" t="inlineStr">
        <is>
          <t>968942362772</t>
        </is>
      </c>
      <c r="B1538" t="inlineStr">
        <is>
          <t>TCQ</t>
        </is>
      </c>
      <c r="C1538" t="inlineStr">
        <is>
          <t>BRYG</t>
        </is>
      </c>
      <c r="D1538" s="6" t="n">
        <v>46253</v>
      </c>
      <c r="E1538" t="inlineStr">
        <is>
          <t>DR</t>
        </is>
      </c>
      <c r="F1538" t="inlineStr">
        <is>
          <t>EUR</t>
        </is>
      </c>
      <c r="G1538" s="7" t="n">
        <v>-702833264.288</v>
      </c>
      <c r="H1538" t="inlineStr">
        <is>
          <t>GBP</t>
        </is>
      </c>
      <c r="I1538" s="7" t="n">
        <v>-603030940.7589999</v>
      </c>
      <c r="J1538" s="8" t="n">
        <v>46253.40563657408</v>
      </c>
      <c r="K1538" t="inlineStr">
        <is>
          <t>CF260819 01532</t>
        </is>
      </c>
      <c r="L1538" t="inlineStr">
        <is>
          <t>GL.NOSTRO.EUR.BRYG.007</t>
        </is>
      </c>
      <c r="M1538" t="inlineStr">
        <is>
          <t>Nightjar Bank</t>
        </is>
      </c>
      <c r="N1538" t="inlineStr">
        <is>
          <t>BRYGMM</t>
        </is>
      </c>
      <c r="O1538" t="inlineStr">
        <is>
          <t>NEW</t>
        </is>
      </c>
      <c r="P1538" t="inlineStr">
        <is>
          <t>NT26081900683</t>
        </is>
      </c>
      <c r="Q1538" t="inlineStr">
        <is>
          <t>NETTER</t>
        </is>
      </c>
    </row>
    <row r="1539">
      <c r="A1539" t="inlineStr">
        <is>
          <t>150316825069</t>
        </is>
      </c>
      <c r="B1539" t="inlineStr">
        <is>
          <t>TCC</t>
        </is>
      </c>
      <c r="C1539" t="inlineStr">
        <is>
          <t>BRGX</t>
        </is>
      </c>
      <c r="D1539" s="6" t="n">
        <v>46253</v>
      </c>
      <c r="E1539" t="inlineStr">
        <is>
          <t>DR</t>
        </is>
      </c>
      <c r="F1539" t="inlineStr">
        <is>
          <t>GBP</t>
        </is>
      </c>
      <c r="G1539" s="7" t="n">
        <v>-15368284.69</v>
      </c>
      <c r="H1539" t="inlineStr">
        <is>
          <t>GBP</t>
        </is>
      </c>
      <c r="I1539" s="7" t="n">
        <v>-15368284.69</v>
      </c>
      <c r="J1539" s="8" t="n">
        <v>46253.67703703704</v>
      </c>
      <c r="K1539" t="inlineStr">
        <is>
          <t>CF260819 01533</t>
        </is>
      </c>
      <c r="L1539" t="inlineStr">
        <is>
          <t>GL.NOSTRO.GBP.BRGX.009</t>
        </is>
      </c>
      <c r="M1539" t="inlineStr">
        <is>
          <t>Harrow Clearing</t>
        </is>
      </c>
      <c r="N1539" t="inlineStr">
        <is>
          <t>BRGXMM</t>
        </is>
      </c>
      <c r="O1539" t="inlineStr">
        <is>
          <t>NEW</t>
        </is>
      </c>
      <c r="P1539" t="inlineStr">
        <is>
          <t>NT26081900669</t>
        </is>
      </c>
      <c r="Q1539" t="inlineStr">
        <is>
          <t>NETTER</t>
        </is>
      </c>
    </row>
    <row r="1540">
      <c r="A1540" t="inlineStr">
        <is>
          <t>499062838623</t>
        </is>
      </c>
      <c r="B1540" t="inlineStr">
        <is>
          <t>TCX</t>
        </is>
      </c>
      <c r="C1540" t="inlineStr">
        <is>
          <t>BRBX</t>
        </is>
      </c>
      <c r="D1540" s="6" t="n">
        <v>46253</v>
      </c>
      <c r="E1540" t="inlineStr">
        <is>
          <t>DR</t>
        </is>
      </c>
      <c r="F1540" t="inlineStr">
        <is>
          <t>USD</t>
        </is>
      </c>
      <c r="G1540" s="7" t="n">
        <v>-100860369.88</v>
      </c>
      <c r="H1540" t="inlineStr">
        <is>
          <t>GBP</t>
        </is>
      </c>
      <c r="I1540" s="7" t="n">
        <v>-79074529.986</v>
      </c>
      <c r="J1540" s="8" t="n">
        <v>46253.89646990741</v>
      </c>
      <c r="K1540" t="inlineStr">
        <is>
          <t>CF260819 01534</t>
        </is>
      </c>
      <c r="L1540" t="inlineStr">
        <is>
          <t>GL.NOSTRO.USD.BRBX.004</t>
        </is>
      </c>
      <c r="M1540" t="inlineStr">
        <is>
          <t>Zephyr Bank</t>
        </is>
      </c>
      <c r="N1540" t="inlineStr">
        <is>
          <t>BRBXCASH</t>
        </is>
      </c>
      <c r="O1540" t="inlineStr">
        <is>
          <t>AMEND</t>
        </is>
      </c>
      <c r="P1540" t="inlineStr">
        <is>
          <t>NT26081900682</t>
        </is>
      </c>
      <c r="Q1540" t="inlineStr">
        <is>
          <t>NETTER</t>
        </is>
      </c>
    </row>
    <row r="1541">
      <c r="A1541" t="inlineStr">
        <is>
          <t>794226063698</t>
        </is>
      </c>
      <c r="B1541" t="inlineStr">
        <is>
          <t>TCC</t>
        </is>
      </c>
      <c r="C1541" t="inlineStr">
        <is>
          <t>BRMD</t>
        </is>
      </c>
      <c r="D1541" s="6" t="n">
        <v>46253</v>
      </c>
      <c r="E1541" t="inlineStr">
        <is>
          <t>CR</t>
        </is>
      </c>
      <c r="F1541" t="inlineStr">
        <is>
          <t>AED</t>
        </is>
      </c>
      <c r="G1541" s="7" t="n">
        <v>173225.774</v>
      </c>
      <c r="H1541" t="inlineStr">
        <is>
          <t>GBP</t>
        </is>
      </c>
      <c r="I1541" s="7" t="n">
        <v>36897.09</v>
      </c>
      <c r="J1541" s="8" t="n">
        <v>46253.43076388889</v>
      </c>
      <c r="K1541" t="inlineStr">
        <is>
          <t>CF260819 01535</t>
        </is>
      </c>
      <c r="L1541" t="inlineStr">
        <is>
          <t>GL.NOSTRO.AED.BRMD.008</t>
        </is>
      </c>
      <c r="M1541" t="inlineStr">
        <is>
          <t>Ironbark Commercial Bank</t>
        </is>
      </c>
      <c r="N1541" t="inlineStr">
        <is>
          <t>BRMD</t>
        </is>
      </c>
      <c r="O1541" t="inlineStr">
        <is>
          <t>NEW</t>
        </is>
      </c>
      <c r="Q1541" t="inlineStr">
        <is>
          <t>GROSS</t>
        </is>
      </c>
    </row>
    <row r="1542">
      <c r="A1542" t="inlineStr">
        <is>
          <t>824840705580</t>
        </is>
      </c>
      <c r="B1542" t="inlineStr">
        <is>
          <t>TCG</t>
        </is>
      </c>
      <c r="C1542" t="inlineStr">
        <is>
          <t>BRGL</t>
        </is>
      </c>
      <c r="D1542" s="6" t="n">
        <v>46253</v>
      </c>
      <c r="E1542" t="inlineStr">
        <is>
          <t>CR</t>
        </is>
      </c>
      <c r="F1542" t="inlineStr">
        <is>
          <t>EUR</t>
        </is>
      </c>
      <c r="G1542" s="7" t="n">
        <v>17235934.101</v>
      </c>
      <c r="H1542" t="inlineStr">
        <is>
          <t>GBP</t>
        </is>
      </c>
      <c r="I1542" s="7" t="n">
        <v>14788431.459</v>
      </c>
      <c r="J1542" s="8" t="n">
        <v>46253.47443287037</v>
      </c>
      <c r="K1542" t="inlineStr">
        <is>
          <t>CF260819 01536</t>
        </is>
      </c>
      <c r="L1542" t="inlineStr">
        <is>
          <t>GL.NOSTRO.EUR.BRGL.001</t>
        </is>
      </c>
      <c r="M1542" t="inlineStr">
        <is>
          <t>Yarrow Bank</t>
        </is>
      </c>
      <c r="N1542" t="inlineStr">
        <is>
          <t>BRGLMM</t>
        </is>
      </c>
      <c r="O1542" t="inlineStr">
        <is>
          <t>NEW</t>
        </is>
      </c>
      <c r="Q1542" t="inlineStr">
        <is>
          <t>NETTER</t>
        </is>
      </c>
    </row>
    <row r="1543">
      <c r="A1543" t="inlineStr">
        <is>
          <t>621381112674</t>
        </is>
      </c>
      <c r="B1543" t="inlineStr">
        <is>
          <t>TCX</t>
        </is>
      </c>
      <c r="C1543" t="inlineStr">
        <is>
          <t>BRAA</t>
        </is>
      </c>
      <c r="D1543" s="6" t="n">
        <v>46253</v>
      </c>
      <c r="E1543" t="inlineStr">
        <is>
          <t>DR</t>
        </is>
      </c>
      <c r="F1543" t="inlineStr">
        <is>
          <t>PLN</t>
        </is>
      </c>
      <c r="G1543" s="7" t="n">
        <v>-1856272.906</v>
      </c>
      <c r="H1543" t="inlineStr">
        <is>
          <t>GBP</t>
        </is>
      </c>
      <c r="I1543" s="7" t="n">
        <v>-367542.035</v>
      </c>
      <c r="J1543" s="8" t="n">
        <v>46253.70637731482</v>
      </c>
      <c r="K1543" t="inlineStr">
        <is>
          <t>CF260819 01537</t>
        </is>
      </c>
      <c r="L1543" t="inlineStr">
        <is>
          <t>GL.NOSTRO.PLN.BRAA.009</t>
        </is>
      </c>
      <c r="M1543" t="inlineStr">
        <is>
          <t>Alder Trust</t>
        </is>
      </c>
      <c r="N1543" t="inlineStr">
        <is>
          <t>BRAACASH</t>
        </is>
      </c>
      <c r="O1543" t="inlineStr">
        <is>
          <t>NEW</t>
        </is>
      </c>
      <c r="P1543" t="inlineStr">
        <is>
          <t>NT26081900664</t>
        </is>
      </c>
      <c r="Q1543" t="inlineStr">
        <is>
          <t>NETTER</t>
        </is>
      </c>
    </row>
    <row r="1544">
      <c r="A1544" t="inlineStr">
        <is>
          <t>794226063698</t>
        </is>
      </c>
      <c r="B1544" t="inlineStr">
        <is>
          <t>TCC</t>
        </is>
      </c>
      <c r="C1544" t="inlineStr">
        <is>
          <t>BRMD</t>
        </is>
      </c>
      <c r="D1544" s="6" t="n">
        <v>46253</v>
      </c>
      <c r="E1544" t="inlineStr">
        <is>
          <t>CR</t>
        </is>
      </c>
      <c r="F1544" t="inlineStr">
        <is>
          <t>AED</t>
        </is>
      </c>
      <c r="G1544" s="7" t="n">
        <v>30627.295</v>
      </c>
      <c r="H1544" t="inlineStr">
        <is>
          <t>GBP</t>
        </is>
      </c>
      <c r="I1544" s="7" t="n">
        <v>6523.614</v>
      </c>
      <c r="J1544" s="8" t="n">
        <v>46253.3241550926</v>
      </c>
      <c r="K1544" t="inlineStr">
        <is>
          <t>CF260819 01538</t>
        </is>
      </c>
      <c r="L1544" t="inlineStr">
        <is>
          <t>GL.NOSTRO.AED.BRMD.007</t>
        </is>
      </c>
      <c r="M1544" t="inlineStr">
        <is>
          <t>Zephyr Commercial Bank</t>
        </is>
      </c>
      <c r="N1544" t="inlineStr">
        <is>
          <t>BRMDCASH</t>
        </is>
      </c>
      <c r="O1544" t="inlineStr">
        <is>
          <t>NEW</t>
        </is>
      </c>
      <c r="Q1544" t="inlineStr">
        <is>
          <t>NETTER</t>
        </is>
      </c>
    </row>
    <row r="1545">
      <c r="A1545" t="inlineStr">
        <is>
          <t>150316825069</t>
        </is>
      </c>
      <c r="B1545" t="inlineStr">
        <is>
          <t>TCC</t>
        </is>
      </c>
      <c r="C1545" t="inlineStr">
        <is>
          <t>BRGX</t>
        </is>
      </c>
      <c r="D1545" s="6" t="n">
        <v>46253</v>
      </c>
      <c r="E1545" t="inlineStr">
        <is>
          <t>CR</t>
        </is>
      </c>
      <c r="F1545" t="inlineStr">
        <is>
          <t>GBP</t>
        </is>
      </c>
      <c r="G1545" s="7" t="n">
        <v>11739.886</v>
      </c>
      <c r="H1545" t="inlineStr">
        <is>
          <t>GBP</t>
        </is>
      </c>
      <c r="I1545" s="7" t="n">
        <v>11739.886</v>
      </c>
      <c r="J1545" s="8" t="n">
        <v>46253.49233796296</v>
      </c>
      <c r="K1545" t="inlineStr">
        <is>
          <t>CF260819 01539</t>
        </is>
      </c>
      <c r="L1545" t="inlineStr">
        <is>
          <t>GL.NOSTRO.GBP.BRGX.005</t>
        </is>
      </c>
      <c r="M1545" t="inlineStr">
        <is>
          <t>Sablewood Bank</t>
        </is>
      </c>
      <c r="N1545" t="inlineStr">
        <is>
          <t>BRGXTRSY</t>
        </is>
      </c>
      <c r="O1545" t="inlineStr">
        <is>
          <t>NEW</t>
        </is>
      </c>
      <c r="P1545" t="inlineStr">
        <is>
          <t>NT26081900665</t>
        </is>
      </c>
      <c r="Q1545" t="inlineStr">
        <is>
          <t>NETTER</t>
        </is>
      </c>
    </row>
    <row r="1546">
      <c r="A1546" t="inlineStr">
        <is>
          <t>953625291146</t>
        </is>
      </c>
      <c r="B1546" t="inlineStr">
        <is>
          <t>TCC</t>
        </is>
      </c>
      <c r="C1546" t="inlineStr">
        <is>
          <t>BRGL</t>
        </is>
      </c>
      <c r="D1546" s="6" t="n">
        <v>46253</v>
      </c>
      <c r="E1546" t="inlineStr">
        <is>
          <t>DR</t>
        </is>
      </c>
      <c r="F1546" t="inlineStr">
        <is>
          <t>USD</t>
        </is>
      </c>
      <c r="G1546" s="7" t="n">
        <v>-2541609.067</v>
      </c>
      <c r="H1546" t="inlineStr">
        <is>
          <t>GBP</t>
        </is>
      </c>
      <c r="I1546" s="7" t="n">
        <v>-1992621.509</v>
      </c>
      <c r="J1546" s="8" t="n">
        <v>46253.52912037037</v>
      </c>
      <c r="K1546" t="inlineStr">
        <is>
          <t>CF260819 01540</t>
        </is>
      </c>
      <c r="L1546" t="inlineStr">
        <is>
          <t>GL.NOSTRO.USD.BRGL.007</t>
        </is>
      </c>
      <c r="M1546" t="inlineStr">
        <is>
          <t>Vetchling Bank</t>
        </is>
      </c>
      <c r="N1546" t="inlineStr">
        <is>
          <t>BRGLCASH</t>
        </is>
      </c>
      <c r="O1546" t="inlineStr">
        <is>
          <t>AMEND</t>
        </is>
      </c>
      <c r="Q1546" t="inlineStr">
        <is>
          <t>NETTER</t>
        </is>
      </c>
    </row>
    <row r="1547">
      <c r="A1547" t="inlineStr">
        <is>
          <t>150316825069</t>
        </is>
      </c>
      <c r="B1547" t="inlineStr">
        <is>
          <t>TCX</t>
        </is>
      </c>
      <c r="C1547" t="inlineStr">
        <is>
          <t>BRGX</t>
        </is>
      </c>
      <c r="D1547" s="6" t="n">
        <v>46253</v>
      </c>
      <c r="E1547" t="inlineStr">
        <is>
          <t>DR</t>
        </is>
      </c>
      <c r="F1547" t="inlineStr">
        <is>
          <t>GBP</t>
        </is>
      </c>
      <c r="G1547" s="7" t="n">
        <v>-6210800.239</v>
      </c>
      <c r="H1547" t="inlineStr">
        <is>
          <t>GBP</t>
        </is>
      </c>
      <c r="I1547" s="7" t="n">
        <v>-6210800.239</v>
      </c>
      <c r="J1547" s="8" t="n">
        <v>46253.62215277777</v>
      </c>
      <c r="K1547" t="inlineStr">
        <is>
          <t>CF260819 01541</t>
        </is>
      </c>
      <c r="L1547" t="inlineStr">
        <is>
          <t>GL.NOSTRO.GBP.BRGX.008</t>
        </is>
      </c>
      <c r="M1547" t="inlineStr">
        <is>
          <t>Dunlin Trust</t>
        </is>
      </c>
      <c r="N1547" t="inlineStr">
        <is>
          <t>BRGXMM</t>
        </is>
      </c>
      <c r="O1547" t="inlineStr">
        <is>
          <t>AMEND</t>
        </is>
      </c>
      <c r="P1547" t="inlineStr">
        <is>
          <t>NT26081900688</t>
        </is>
      </c>
      <c r="Q1547" t="inlineStr">
        <is>
          <t>NETTER</t>
        </is>
      </c>
    </row>
    <row r="1548">
      <c r="A1548" t="inlineStr">
        <is>
          <t>927538182434</t>
        </is>
      </c>
      <c r="B1548" t="inlineStr">
        <is>
          <t>TCX</t>
        </is>
      </c>
      <c r="C1548" t="inlineStr">
        <is>
          <t>BRNK</t>
        </is>
      </c>
      <c r="D1548" s="6" t="n">
        <v>46253</v>
      </c>
      <c r="E1548" t="inlineStr">
        <is>
          <t>DR</t>
        </is>
      </c>
      <c r="F1548" t="inlineStr">
        <is>
          <t>CNY</t>
        </is>
      </c>
      <c r="G1548" s="7" t="n">
        <v>-8145054.686</v>
      </c>
      <c r="H1548" t="inlineStr">
        <is>
          <t>GBP</t>
        </is>
      </c>
      <c r="I1548" s="7" t="n">
        <v>-887810.961</v>
      </c>
      <c r="J1548" s="8" t="n">
        <v>46253.54434027777</v>
      </c>
      <c r="K1548" t="inlineStr">
        <is>
          <t>CF260819 01542</t>
        </is>
      </c>
      <c r="L1548" t="inlineStr">
        <is>
          <t>GL.NOSTRO.CNY.BRNK.003</t>
        </is>
      </c>
      <c r="M1548" t="inlineStr">
        <is>
          <t>Mallow Clearing</t>
        </is>
      </c>
      <c r="N1548" t="inlineStr">
        <is>
          <t>BRNK</t>
        </is>
      </c>
      <c r="O1548" t="inlineStr">
        <is>
          <t>NEW</t>
        </is>
      </c>
      <c r="Q1548" t="inlineStr">
        <is>
          <t>INTERNAL</t>
        </is>
      </c>
    </row>
    <row r="1549">
      <c r="A1549" t="inlineStr">
        <is>
          <t>794226063698</t>
        </is>
      </c>
      <c r="B1549" t="inlineStr">
        <is>
          <t>TCP</t>
        </is>
      </c>
      <c r="C1549" t="inlineStr">
        <is>
          <t>BRMD</t>
        </is>
      </c>
      <c r="D1549" s="6" t="n">
        <v>46253</v>
      </c>
      <c r="E1549" t="inlineStr">
        <is>
          <t>DR</t>
        </is>
      </c>
      <c r="F1549" t="inlineStr">
        <is>
          <t>AED</t>
        </is>
      </c>
      <c r="G1549" s="7" t="n">
        <v>-11389914.125</v>
      </c>
      <c r="H1549" t="inlineStr">
        <is>
          <t>GBP</t>
        </is>
      </c>
      <c r="I1549" s="7" t="n">
        <v>-2426051.709</v>
      </c>
      <c r="J1549" s="8" t="n">
        <v>46253.62460648148</v>
      </c>
      <c r="K1549" t="inlineStr">
        <is>
          <t>CF260819 01543</t>
        </is>
      </c>
      <c r="L1549" t="inlineStr">
        <is>
          <t>GL.NOSTRO.AED.BRMD.001</t>
        </is>
      </c>
      <c r="M1549" t="inlineStr">
        <is>
          <t>Elmwood Bank</t>
        </is>
      </c>
      <c r="N1549" t="inlineStr">
        <is>
          <t>BRMDCASH</t>
        </is>
      </c>
      <c r="O1549" t="inlineStr">
        <is>
          <t>AMEND</t>
        </is>
      </c>
      <c r="Q1549" t="inlineStr">
        <is>
          <t>NETTER</t>
        </is>
      </c>
    </row>
    <row r="1550">
      <c r="A1550" t="inlineStr">
        <is>
          <t>113829985108</t>
        </is>
      </c>
      <c r="B1550" t="inlineStr">
        <is>
          <t>TCQ</t>
        </is>
      </c>
      <c r="C1550" t="inlineStr">
        <is>
          <t>BRGL</t>
        </is>
      </c>
      <c r="D1550" s="6" t="n">
        <v>46253</v>
      </c>
      <c r="E1550" t="inlineStr">
        <is>
          <t>DR</t>
        </is>
      </c>
      <c r="F1550" t="inlineStr">
        <is>
          <t>EUR</t>
        </is>
      </c>
      <c r="G1550" s="7" t="n">
        <v>-1951150.997</v>
      </c>
      <c r="H1550" t="inlineStr">
        <is>
          <t>GBP</t>
        </is>
      </c>
      <c r="I1550" s="7" t="n">
        <v>-1674087.555</v>
      </c>
      <c r="J1550" s="8" t="n">
        <v>46253.40376157407</v>
      </c>
      <c r="K1550" t="inlineStr">
        <is>
          <t>CF260819 01544</t>
        </is>
      </c>
      <c r="L1550" t="inlineStr">
        <is>
          <t>GL.NOSTRO.EUR.BRGL.005</t>
        </is>
      </c>
      <c r="M1550" t="inlineStr">
        <is>
          <t>Mallow Clearing</t>
        </is>
      </c>
      <c r="N1550" t="inlineStr">
        <is>
          <t>BRGLTRSY</t>
        </is>
      </c>
      <c r="O1550" t="inlineStr">
        <is>
          <t>NEW</t>
        </is>
      </c>
      <c r="Q1550" t="inlineStr">
        <is>
          <t>GROSS</t>
        </is>
      </c>
    </row>
    <row r="1551">
      <c r="A1551" t="inlineStr">
        <is>
          <t>898317028833</t>
        </is>
      </c>
      <c r="B1551" t="inlineStr">
        <is>
          <t>TCC</t>
        </is>
      </c>
      <c r="C1551" t="inlineStr">
        <is>
          <t>BRAA</t>
        </is>
      </c>
      <c r="D1551" s="6" t="n">
        <v>46253</v>
      </c>
      <c r="E1551" t="inlineStr">
        <is>
          <t>CR</t>
        </is>
      </c>
      <c r="F1551" t="inlineStr">
        <is>
          <t>GBP</t>
        </is>
      </c>
      <c r="G1551" s="7" t="n">
        <v>128.214</v>
      </c>
      <c r="H1551" t="inlineStr">
        <is>
          <t>GBP</t>
        </is>
      </c>
      <c r="I1551" s="7" t="n">
        <v>128.214</v>
      </c>
      <c r="J1551" s="8" t="n">
        <v>46253.43358796297</v>
      </c>
      <c r="K1551" t="inlineStr">
        <is>
          <t>CF260819 01545</t>
        </is>
      </c>
      <c r="L1551" t="inlineStr">
        <is>
          <t>GL.NOSTRO.GBP.BRAA.008</t>
        </is>
      </c>
      <c r="M1551" t="inlineStr">
        <is>
          <t>Dunlin Clearing</t>
        </is>
      </c>
      <c r="N1551" t="inlineStr">
        <is>
          <t>BRAATRSY</t>
        </is>
      </c>
      <c r="O1551" t="inlineStr">
        <is>
          <t>NEW</t>
        </is>
      </c>
      <c r="Q1551" t="inlineStr">
        <is>
          <t>GROSS</t>
        </is>
      </c>
    </row>
    <row r="1552">
      <c r="A1552" t="inlineStr">
        <is>
          <t>150316825069</t>
        </is>
      </c>
      <c r="B1552" t="inlineStr">
        <is>
          <t>TCQ</t>
        </is>
      </c>
      <c r="C1552" t="inlineStr">
        <is>
          <t>BRGX</t>
        </is>
      </c>
      <c r="D1552" s="6" t="n">
        <v>46253</v>
      </c>
      <c r="E1552" t="inlineStr">
        <is>
          <t>CR</t>
        </is>
      </c>
      <c r="F1552" t="inlineStr">
        <is>
          <t>GBP</t>
        </is>
      </c>
      <c r="G1552" s="7" t="n">
        <v>11481830.175</v>
      </c>
      <c r="H1552" t="inlineStr">
        <is>
          <t>GBP</t>
        </is>
      </c>
      <c r="I1552" s="7" t="n">
        <v>11481830.175</v>
      </c>
      <c r="J1552" s="8" t="n">
        <v>46253.49908564815</v>
      </c>
      <c r="K1552" t="inlineStr">
        <is>
          <t>CF260819 01546</t>
        </is>
      </c>
      <c r="L1552" t="inlineStr">
        <is>
          <t>GL.NOSTRO.GBP.BRGX.001</t>
        </is>
      </c>
      <c r="M1552" t="inlineStr">
        <is>
          <t>Nightjar Trust</t>
        </is>
      </c>
      <c r="N1552" t="inlineStr">
        <is>
          <t>BRGXTRSY</t>
        </is>
      </c>
      <c r="O1552" t="inlineStr">
        <is>
          <t>NEW</t>
        </is>
      </c>
      <c r="P1552" t="inlineStr">
        <is>
          <t>NT26081900657</t>
        </is>
      </c>
      <c r="Q1552" t="inlineStr">
        <is>
          <t>NETTER</t>
        </is>
      </c>
    </row>
    <row r="1553">
      <c r="A1553" t="inlineStr">
        <is>
          <t>898317028833</t>
        </is>
      </c>
      <c r="B1553" t="inlineStr">
        <is>
          <t>TCX</t>
        </is>
      </c>
      <c r="C1553" t="inlineStr">
        <is>
          <t>BRAA</t>
        </is>
      </c>
      <c r="D1553" s="6" t="n">
        <v>46253</v>
      </c>
      <c r="E1553" t="inlineStr">
        <is>
          <t>CR</t>
        </is>
      </c>
      <c r="F1553" t="inlineStr">
        <is>
          <t>GBP</t>
        </is>
      </c>
      <c r="G1553" s="7" t="n">
        <v>558482046.7690001</v>
      </c>
      <c r="H1553" t="inlineStr">
        <is>
          <t>GBP</t>
        </is>
      </c>
      <c r="I1553" s="7" t="n">
        <v>558482046.7690001</v>
      </c>
      <c r="J1553" s="8" t="n">
        <v>46253.35774305555</v>
      </c>
      <c r="K1553" t="inlineStr">
        <is>
          <t>CF260819 01547</t>
        </is>
      </c>
      <c r="L1553" t="inlineStr">
        <is>
          <t>GL.NOSTRO.GBP.BRAA.004</t>
        </is>
      </c>
      <c r="M1553" t="inlineStr">
        <is>
          <t>Yarrow Bank</t>
        </is>
      </c>
      <c r="N1553" t="inlineStr">
        <is>
          <t>BRAACASH</t>
        </is>
      </c>
      <c r="O1553" t="inlineStr">
        <is>
          <t>NEW</t>
        </is>
      </c>
      <c r="Q1553" t="inlineStr">
        <is>
          <t>GROSS</t>
        </is>
      </c>
    </row>
    <row r="1554">
      <c r="A1554" t="inlineStr">
        <is>
          <t>468341071172</t>
        </is>
      </c>
      <c r="B1554" t="inlineStr">
        <is>
          <t>TCG</t>
        </is>
      </c>
      <c r="C1554" t="inlineStr">
        <is>
          <t>BRCC</t>
        </is>
      </c>
      <c r="D1554" s="6" t="n">
        <v>46253</v>
      </c>
      <c r="E1554" t="inlineStr">
        <is>
          <t>DR</t>
        </is>
      </c>
      <c r="F1554" t="inlineStr">
        <is>
          <t>EUR</t>
        </is>
      </c>
      <c r="G1554" s="7" t="n">
        <v>-8117624.594</v>
      </c>
      <c r="H1554" t="inlineStr">
        <is>
          <t>GBP</t>
        </is>
      </c>
      <c r="I1554" s="7" t="n">
        <v>-6964921.902</v>
      </c>
      <c r="J1554" s="8" t="n">
        <v>46253.40377314815</v>
      </c>
      <c r="K1554" t="inlineStr">
        <is>
          <t>CF260819 01548</t>
        </is>
      </c>
      <c r="L1554" t="inlineStr">
        <is>
          <t>GL.NOSTRO.EUR.BRCC.002</t>
        </is>
      </c>
      <c r="M1554" t="inlineStr">
        <is>
          <t>Juniper Settlement Bank</t>
        </is>
      </c>
      <c r="N1554" t="inlineStr">
        <is>
          <t>BRCC</t>
        </is>
      </c>
      <c r="O1554" t="inlineStr">
        <is>
          <t>NEW</t>
        </is>
      </c>
      <c r="P1554" t="inlineStr">
        <is>
          <t>NT26081900670</t>
        </is>
      </c>
      <c r="Q1554" t="inlineStr">
        <is>
          <t>INTERNAL</t>
        </is>
      </c>
    </row>
    <row r="1555">
      <c r="A1555" t="inlineStr">
        <is>
          <t>953625291146</t>
        </is>
      </c>
      <c r="B1555" t="inlineStr">
        <is>
          <t>TCP</t>
        </is>
      </c>
      <c r="C1555" t="inlineStr">
        <is>
          <t>BRGL</t>
        </is>
      </c>
      <c r="D1555" s="6" t="n">
        <v>46253</v>
      </c>
      <c r="E1555" t="inlineStr">
        <is>
          <t>DR</t>
        </is>
      </c>
      <c r="F1555" t="inlineStr">
        <is>
          <t>USD</t>
        </is>
      </c>
      <c r="G1555" s="7" t="n">
        <v>-97153871.831</v>
      </c>
      <c r="H1555" t="inlineStr">
        <is>
          <t>GBP</t>
        </is>
      </c>
      <c r="I1555" s="7" t="n">
        <v>-76168635.516</v>
      </c>
      <c r="J1555" s="8" t="n">
        <v>46253.64224537037</v>
      </c>
      <c r="K1555" t="inlineStr">
        <is>
          <t>CF260819 01549</t>
        </is>
      </c>
      <c r="L1555" t="inlineStr">
        <is>
          <t>GL.NOSTRO.USD.BRGL.004</t>
        </is>
      </c>
      <c r="M1555" t="inlineStr">
        <is>
          <t>Elmwood Clearing</t>
        </is>
      </c>
      <c r="N1555" t="inlineStr">
        <is>
          <t>BRGLTRSY</t>
        </is>
      </c>
      <c r="O1555" t="inlineStr">
        <is>
          <t>AMEND</t>
        </is>
      </c>
      <c r="Q1555" t="inlineStr">
        <is>
          <t>NETTER</t>
        </is>
      </c>
    </row>
    <row r="1556">
      <c r="A1556" t="inlineStr">
        <is>
          <t>150316825069</t>
        </is>
      </c>
      <c r="B1556" t="inlineStr">
        <is>
          <t>TCG</t>
        </is>
      </c>
      <c r="C1556" t="inlineStr">
        <is>
          <t>BRGX</t>
        </is>
      </c>
      <c r="D1556" s="6" t="n">
        <v>46253</v>
      </c>
      <c r="E1556" t="inlineStr">
        <is>
          <t>DR</t>
        </is>
      </c>
      <c r="F1556" t="inlineStr">
        <is>
          <t>GBP</t>
        </is>
      </c>
      <c r="G1556" s="7" t="n">
        <v>-11832215.144</v>
      </c>
      <c r="H1556" t="inlineStr">
        <is>
          <t>GBP</t>
        </is>
      </c>
      <c r="I1556" s="7" t="n">
        <v>-11832215.144</v>
      </c>
      <c r="J1556" s="8" t="n">
        <v>46253.54335648148</v>
      </c>
      <c r="K1556" t="inlineStr">
        <is>
          <t>CF260819 01550</t>
        </is>
      </c>
      <c r="L1556" t="inlineStr">
        <is>
          <t>GL.NOSTRO.GBP.BRGX.004</t>
        </is>
      </c>
      <c r="M1556" t="inlineStr">
        <is>
          <t>Pinehurst Clearing</t>
        </is>
      </c>
      <c r="N1556" t="inlineStr">
        <is>
          <t>BRGXTRSY</t>
        </is>
      </c>
      <c r="O1556" t="inlineStr">
        <is>
          <t>AMEND</t>
        </is>
      </c>
      <c r="P1556" t="inlineStr">
        <is>
          <t>NT26081900692</t>
        </is>
      </c>
      <c r="Q1556" t="inlineStr">
        <is>
          <t>GROSS</t>
        </is>
      </c>
    </row>
    <row r="1557">
      <c r="A1557" t="inlineStr">
        <is>
          <t>150316825069</t>
        </is>
      </c>
      <c r="B1557" t="inlineStr">
        <is>
          <t>TCX</t>
        </is>
      </c>
      <c r="C1557" t="inlineStr">
        <is>
          <t>BRGX</t>
        </is>
      </c>
      <c r="D1557" s="6" t="n">
        <v>46253</v>
      </c>
      <c r="E1557" t="inlineStr">
        <is>
          <t>DR</t>
        </is>
      </c>
      <c r="F1557" t="inlineStr">
        <is>
          <t>GBP</t>
        </is>
      </c>
      <c r="G1557" s="7" t="n">
        <v>-5482344.76</v>
      </c>
      <c r="H1557" t="inlineStr">
        <is>
          <t>GBP</t>
        </is>
      </c>
      <c r="I1557" s="7" t="n">
        <v>-5482344.76</v>
      </c>
      <c r="J1557" s="8" t="n">
        <v>46253.1721412037</v>
      </c>
      <c r="K1557" t="inlineStr">
        <is>
          <t>CF260819 01551</t>
        </is>
      </c>
      <c r="L1557" t="inlineStr">
        <is>
          <t>GL.NOSTRO.GBP.BRGX.002</t>
        </is>
      </c>
      <c r="M1557" t="inlineStr">
        <is>
          <t>Umberton Clearing</t>
        </is>
      </c>
      <c r="N1557" t="inlineStr">
        <is>
          <t>BRGXTRSY</t>
        </is>
      </c>
      <c r="O1557" t="inlineStr">
        <is>
          <t>NEW</t>
        </is>
      </c>
      <c r="Q1557" t="inlineStr">
        <is>
          <t>GROSS</t>
        </is>
      </c>
    </row>
    <row r="1558">
      <c r="A1558" t="inlineStr">
        <is>
          <t>468341071172</t>
        </is>
      </c>
      <c r="B1558" t="inlineStr">
        <is>
          <t>TCX</t>
        </is>
      </c>
      <c r="C1558" t="inlineStr">
        <is>
          <t>BRCC</t>
        </is>
      </c>
      <c r="D1558" s="6" t="n">
        <v>46253</v>
      </c>
      <c r="E1558" t="inlineStr">
        <is>
          <t>DR</t>
        </is>
      </c>
      <c r="F1558" t="inlineStr">
        <is>
          <t>EUR</t>
        </is>
      </c>
      <c r="G1558" s="7" t="n">
        <v>-341600912.897</v>
      </c>
      <c r="H1558" t="inlineStr">
        <is>
          <t>GBP</t>
        </is>
      </c>
      <c r="I1558" s="7" t="n">
        <v>-293093583.266</v>
      </c>
      <c r="J1558" s="8" t="n">
        <v>46253.48550925926</v>
      </c>
      <c r="K1558" t="inlineStr">
        <is>
          <t>CF260819 01552</t>
        </is>
      </c>
      <c r="L1558" t="inlineStr">
        <is>
          <t>GL.NOSTRO.EUR.BRCC.003</t>
        </is>
      </c>
      <c r="M1558" t="inlineStr">
        <is>
          <t>Alder Trust</t>
        </is>
      </c>
      <c r="N1558" t="inlineStr">
        <is>
          <t>BRCCCASH</t>
        </is>
      </c>
      <c r="O1558" t="inlineStr">
        <is>
          <t>NEW</t>
        </is>
      </c>
      <c r="P1558" t="inlineStr">
        <is>
          <t>NT26081900664</t>
        </is>
      </c>
      <c r="Q1558" t="inlineStr">
        <is>
          <t>GROSS</t>
        </is>
      </c>
    </row>
    <row r="1559">
      <c r="A1559" t="inlineStr">
        <is>
          <t>621381112674</t>
        </is>
      </c>
      <c r="B1559" t="inlineStr">
        <is>
          <t>TCP</t>
        </is>
      </c>
      <c r="C1559" t="inlineStr">
        <is>
          <t>BRAA</t>
        </is>
      </c>
      <c r="D1559" s="6" t="n">
        <v>46253</v>
      </c>
      <c r="E1559" t="inlineStr">
        <is>
          <t>DR</t>
        </is>
      </c>
      <c r="F1559" t="inlineStr">
        <is>
          <t>PLN</t>
        </is>
      </c>
      <c r="G1559" s="7" t="n">
        <v>-1849.061</v>
      </c>
      <c r="H1559" t="inlineStr">
        <is>
          <t>GBP</t>
        </is>
      </c>
      <c r="I1559" s="7" t="n">
        <v>-366.114</v>
      </c>
      <c r="J1559" s="8" t="n">
        <v>46253.46659722222</v>
      </c>
      <c r="K1559" t="inlineStr">
        <is>
          <t>CF260819 01553</t>
        </is>
      </c>
      <c r="L1559" t="inlineStr">
        <is>
          <t>GL.NOSTRO.PLN.BRAA.008</t>
        </is>
      </c>
      <c r="M1559" t="inlineStr">
        <is>
          <t>Yarrow Commercial Bank</t>
        </is>
      </c>
      <c r="N1559" t="inlineStr">
        <is>
          <t>BRAATRSY</t>
        </is>
      </c>
      <c r="O1559" t="inlineStr">
        <is>
          <t>NEW</t>
        </is>
      </c>
      <c r="P1559" t="inlineStr">
        <is>
          <t>NT26081900671</t>
        </is>
      </c>
      <c r="Q1559" t="inlineStr">
        <is>
          <t>GROSS</t>
        </is>
      </c>
    </row>
    <row r="1560">
      <c r="A1560" t="inlineStr">
        <is>
          <t>700726936098</t>
        </is>
      </c>
      <c r="B1560" t="inlineStr">
        <is>
          <t>TCG</t>
        </is>
      </c>
      <c r="C1560" t="inlineStr">
        <is>
          <t>BRMD</t>
        </is>
      </c>
      <c r="D1560" s="6" t="n">
        <v>46253</v>
      </c>
      <c r="E1560" t="inlineStr">
        <is>
          <t>CR</t>
        </is>
      </c>
      <c r="F1560" t="inlineStr">
        <is>
          <t>SAR</t>
        </is>
      </c>
      <c r="G1560" s="7" t="n">
        <v>75217188.979</v>
      </c>
      <c r="H1560" t="inlineStr">
        <is>
          <t>GBP</t>
        </is>
      </c>
      <c r="I1560" s="7" t="n">
        <v>15720392.497</v>
      </c>
      <c r="J1560" s="8" t="n">
        <v>46253.59038194444</v>
      </c>
      <c r="K1560" t="inlineStr">
        <is>
          <t>CF260819 01554</t>
        </is>
      </c>
      <c r="L1560" t="inlineStr">
        <is>
          <t>GL.NOSTRO.SAR.BRMD.007</t>
        </is>
      </c>
      <c r="M1560" t="inlineStr">
        <is>
          <t>Larkspur Clearing</t>
        </is>
      </c>
      <c r="N1560" t="inlineStr">
        <is>
          <t>BRMDMM</t>
        </is>
      </c>
      <c r="O1560" t="inlineStr">
        <is>
          <t>NEW</t>
        </is>
      </c>
      <c r="P1560" t="inlineStr">
        <is>
          <t>NT26081900658</t>
        </is>
      </c>
      <c r="Q1560" t="inlineStr">
        <is>
          <t>GROSS</t>
        </is>
      </c>
    </row>
    <row r="1561">
      <c r="A1561" t="inlineStr">
        <is>
          <t>968942362772</t>
        </is>
      </c>
      <c r="B1561" t="inlineStr">
        <is>
          <t>TCG</t>
        </is>
      </c>
      <c r="C1561" t="inlineStr">
        <is>
          <t>BRYG</t>
        </is>
      </c>
      <c r="D1561" s="6" t="n">
        <v>46253</v>
      </c>
      <c r="E1561" t="inlineStr">
        <is>
          <t>DR</t>
        </is>
      </c>
      <c r="F1561" t="inlineStr">
        <is>
          <t>EUR</t>
        </is>
      </c>
      <c r="G1561" s="7" t="n">
        <v>-13220952.199</v>
      </c>
      <c r="H1561" t="inlineStr">
        <is>
          <t>GBP</t>
        </is>
      </c>
      <c r="I1561" s="7" t="n">
        <v>-11343576.987</v>
      </c>
      <c r="J1561" s="8" t="n">
        <v>46253.42908564815</v>
      </c>
      <c r="K1561" t="inlineStr">
        <is>
          <t>CF260819 01555</t>
        </is>
      </c>
      <c r="L1561" t="inlineStr">
        <is>
          <t>GL.NOSTRO.EUR.BRYG.007</t>
        </is>
      </c>
      <c r="M1561" t="inlineStr">
        <is>
          <t>Granite Clearing</t>
        </is>
      </c>
      <c r="N1561" t="inlineStr">
        <is>
          <t>BRYG</t>
        </is>
      </c>
      <c r="O1561" t="inlineStr">
        <is>
          <t>AMEND</t>
        </is>
      </c>
      <c r="P1561" t="inlineStr">
        <is>
          <t>NT26081900669</t>
        </is>
      </c>
      <c r="Q1561" t="inlineStr">
        <is>
          <t>NETTER</t>
        </is>
      </c>
    </row>
    <row r="1562">
      <c r="A1562" t="inlineStr">
        <is>
          <t>150316825069</t>
        </is>
      </c>
      <c r="B1562" t="inlineStr">
        <is>
          <t>TCG</t>
        </is>
      </c>
      <c r="C1562" t="inlineStr">
        <is>
          <t>BRGX</t>
        </is>
      </c>
      <c r="D1562" s="6" t="n">
        <v>46253</v>
      </c>
      <c r="E1562" t="inlineStr">
        <is>
          <t>CR</t>
        </is>
      </c>
      <c r="F1562" t="inlineStr">
        <is>
          <t>GBP</t>
        </is>
      </c>
      <c r="G1562" s="7" t="n">
        <v>34676.8</v>
      </c>
      <c r="H1562" t="inlineStr">
        <is>
          <t>GBP</t>
        </is>
      </c>
      <c r="I1562" s="7" t="n">
        <v>34676.8</v>
      </c>
      <c r="J1562" s="8" t="n">
        <v>46253.53212962963</v>
      </c>
      <c r="K1562" t="inlineStr">
        <is>
          <t>CF260819 01556</t>
        </is>
      </c>
      <c r="L1562" t="inlineStr">
        <is>
          <t>GL.NOSTRO.GBP.BRGX.009</t>
        </is>
      </c>
      <c r="M1562" t="inlineStr">
        <is>
          <t>Bramble Bank</t>
        </is>
      </c>
      <c r="N1562" t="inlineStr">
        <is>
          <t>BRGXMM</t>
        </is>
      </c>
      <c r="O1562" t="inlineStr">
        <is>
          <t>AMEND</t>
        </is>
      </c>
      <c r="P1562" t="inlineStr">
        <is>
          <t>NT26081900668</t>
        </is>
      </c>
      <c r="Q1562" t="inlineStr">
        <is>
          <t>NETTER</t>
        </is>
      </c>
    </row>
    <row r="1563">
      <c r="A1563" t="inlineStr">
        <is>
          <t>468341071172</t>
        </is>
      </c>
      <c r="B1563" t="inlineStr">
        <is>
          <t>TCX</t>
        </is>
      </c>
      <c r="C1563" t="inlineStr">
        <is>
          <t>BRCC</t>
        </is>
      </c>
      <c r="D1563" s="6" t="n">
        <v>46253</v>
      </c>
      <c r="E1563" t="inlineStr">
        <is>
          <t>DR</t>
        </is>
      </c>
      <c r="F1563" t="inlineStr">
        <is>
          <t>EUR</t>
        </is>
      </c>
      <c r="G1563" s="7" t="n">
        <v>-433.535</v>
      </c>
      <c r="H1563" t="inlineStr">
        <is>
          <t>GBP</t>
        </is>
      </c>
      <c r="I1563" s="7" t="n">
        <v>-371.973</v>
      </c>
      <c r="J1563" s="8" t="n">
        <v>46253.56216435185</v>
      </c>
      <c r="K1563" t="inlineStr">
        <is>
          <t>CF260819 01557</t>
        </is>
      </c>
      <c r="L1563" t="inlineStr">
        <is>
          <t>GL.NOSTRO.EUR.BRCC.007</t>
        </is>
      </c>
      <c r="M1563" t="inlineStr">
        <is>
          <t>Elmwood Trust</t>
        </is>
      </c>
      <c r="N1563" t="inlineStr">
        <is>
          <t>BRCCTRSY</t>
        </is>
      </c>
      <c r="O1563" t="inlineStr">
        <is>
          <t>NEW</t>
        </is>
      </c>
      <c r="P1563" t="inlineStr">
        <is>
          <t>NT26081900687</t>
        </is>
      </c>
      <c r="Q1563" t="inlineStr">
        <is>
          <t>NETTER</t>
        </is>
      </c>
    </row>
    <row r="1564">
      <c r="A1564" t="inlineStr">
        <is>
          <t>910703979141</t>
        </is>
      </c>
      <c r="B1564" t="inlineStr">
        <is>
          <t>TCG</t>
        </is>
      </c>
      <c r="C1564" t="inlineStr">
        <is>
          <t>BRCC</t>
        </is>
      </c>
      <c r="D1564" s="6" t="n">
        <v>46253</v>
      </c>
      <c r="E1564" t="inlineStr">
        <is>
          <t>DR</t>
        </is>
      </c>
      <c r="F1564" t="inlineStr">
        <is>
          <t>CHF</t>
        </is>
      </c>
      <c r="G1564" s="7" t="n">
        <v>-179623962.693</v>
      </c>
      <c r="H1564" t="inlineStr">
        <is>
          <t>GBP</t>
        </is>
      </c>
      <c r="I1564" s="7" t="n">
        <v>-161122694.536</v>
      </c>
      <c r="J1564" s="8" t="n">
        <v>46253.40045138889</v>
      </c>
      <c r="K1564" t="inlineStr">
        <is>
          <t>CF260819 01558</t>
        </is>
      </c>
      <c r="L1564" t="inlineStr">
        <is>
          <t>GL.NOSTRO.CHF.BRCC.009</t>
        </is>
      </c>
      <c r="M1564" t="inlineStr">
        <is>
          <t>Elmwood Settlement Bank</t>
        </is>
      </c>
      <c r="N1564" t="inlineStr">
        <is>
          <t>BRCCMM</t>
        </is>
      </c>
      <c r="O1564" t="inlineStr">
        <is>
          <t>NEW</t>
        </is>
      </c>
      <c r="Q1564" t="inlineStr">
        <is>
          <t>NETTER</t>
        </is>
      </c>
    </row>
    <row r="1565">
      <c r="A1565" t="inlineStr">
        <is>
          <t>499062838623</t>
        </is>
      </c>
      <c r="B1565" t="inlineStr">
        <is>
          <t>TCC</t>
        </is>
      </c>
      <c r="C1565" t="inlineStr">
        <is>
          <t>BRBX</t>
        </is>
      </c>
      <c r="D1565" s="6" t="n">
        <v>46253</v>
      </c>
      <c r="E1565" t="inlineStr">
        <is>
          <t>CR</t>
        </is>
      </c>
      <c r="F1565" t="inlineStr">
        <is>
          <t>USD</t>
        </is>
      </c>
      <c r="G1565" s="7" t="n">
        <v>299851842.424</v>
      </c>
      <c r="H1565" t="inlineStr">
        <is>
          <t>GBP</t>
        </is>
      </c>
      <c r="I1565" s="7" t="n">
        <v>235083844.46</v>
      </c>
      <c r="J1565" s="8" t="n">
        <v>46253.66884259259</v>
      </c>
      <c r="K1565" t="inlineStr">
        <is>
          <t>CF260819 01559</t>
        </is>
      </c>
      <c r="L1565" t="inlineStr">
        <is>
          <t>GL.NOSTRO.USD.BRBX.009</t>
        </is>
      </c>
      <c r="M1565" t="inlineStr">
        <is>
          <t>Bramble Bank</t>
        </is>
      </c>
      <c r="N1565" t="inlineStr">
        <is>
          <t>BRBX</t>
        </is>
      </c>
      <c r="O1565" t="inlineStr">
        <is>
          <t>NEW</t>
        </is>
      </c>
      <c r="Q1565" t="inlineStr">
        <is>
          <t>GROSS</t>
        </is>
      </c>
    </row>
    <row r="1566">
      <c r="A1566" t="inlineStr">
        <is>
          <t>726928343448</t>
        </is>
      </c>
      <c r="B1566" t="inlineStr">
        <is>
          <t>TCP</t>
        </is>
      </c>
      <c r="C1566" t="inlineStr">
        <is>
          <t>BRGX</t>
        </is>
      </c>
      <c r="D1566" s="6" t="n">
        <v>46253</v>
      </c>
      <c r="E1566" t="inlineStr">
        <is>
          <t>CR</t>
        </is>
      </c>
      <c r="F1566" t="inlineStr">
        <is>
          <t>EUR</t>
        </is>
      </c>
      <c r="G1566" s="7" t="n">
        <v>1437887.936</v>
      </c>
      <c r="H1566" t="inlineStr">
        <is>
          <t>GBP</t>
        </is>
      </c>
      <c r="I1566" s="7" t="n">
        <v>1233707.849</v>
      </c>
      <c r="J1566" s="8" t="n">
        <v>46253.46751157408</v>
      </c>
      <c r="K1566" t="inlineStr">
        <is>
          <t>CF260819 01560</t>
        </is>
      </c>
      <c r="L1566" t="inlineStr">
        <is>
          <t>GL.NOSTRO.EUR.BRGX.009</t>
        </is>
      </c>
      <c r="M1566" t="inlineStr">
        <is>
          <t>Sablewood Clearing</t>
        </is>
      </c>
      <c r="N1566" t="inlineStr">
        <is>
          <t>BRGXMM</t>
        </is>
      </c>
      <c r="O1566" t="inlineStr">
        <is>
          <t>NEW</t>
        </is>
      </c>
      <c r="Q1566" t="inlineStr">
        <is>
          <t>NETTER</t>
        </is>
      </c>
    </row>
    <row r="1567">
      <c r="A1567" t="inlineStr">
        <is>
          <t>468341071172</t>
        </is>
      </c>
      <c r="B1567" t="inlineStr">
        <is>
          <t>TCX</t>
        </is>
      </c>
      <c r="C1567" t="inlineStr">
        <is>
          <t>BRCC</t>
        </is>
      </c>
      <c r="D1567" s="6" t="n">
        <v>46253</v>
      </c>
      <c r="E1567" t="inlineStr">
        <is>
          <t>DR</t>
        </is>
      </c>
      <c r="F1567" t="inlineStr">
        <is>
          <t>EUR</t>
        </is>
      </c>
      <c r="G1567" s="7" t="n">
        <v>-280930038.48</v>
      </c>
      <c r="H1567" t="inlineStr">
        <is>
          <t>GBP</t>
        </is>
      </c>
      <c r="I1567" s="7" t="n">
        <v>-241037973.016</v>
      </c>
      <c r="J1567" s="8" t="n">
        <v>46253.34490740741</v>
      </c>
      <c r="K1567" t="inlineStr">
        <is>
          <t>CF260819 01561</t>
        </is>
      </c>
      <c r="L1567" t="inlineStr">
        <is>
          <t>GL.NOSTRO.EUR.BRCC.004</t>
        </is>
      </c>
      <c r="M1567" t="inlineStr">
        <is>
          <t>Cedar Commercial Bank</t>
        </is>
      </c>
      <c r="N1567" t="inlineStr">
        <is>
          <t>BRCCCASH</t>
        </is>
      </c>
      <c r="O1567" t="inlineStr">
        <is>
          <t>NEW</t>
        </is>
      </c>
      <c r="P1567" t="inlineStr">
        <is>
          <t>NT26081900661</t>
        </is>
      </c>
      <c r="Q1567" t="inlineStr">
        <is>
          <t>GROSS</t>
        </is>
      </c>
    </row>
    <row r="1568">
      <c r="A1568" t="inlineStr">
        <is>
          <t>794226063698</t>
        </is>
      </c>
      <c r="B1568" t="inlineStr">
        <is>
          <t>TCQ</t>
        </is>
      </c>
      <c r="C1568" t="inlineStr">
        <is>
          <t>BRMD</t>
        </is>
      </c>
      <c r="D1568" s="6" t="n">
        <v>46253</v>
      </c>
      <c r="E1568" t="inlineStr">
        <is>
          <t>CR</t>
        </is>
      </c>
      <c r="F1568" t="inlineStr">
        <is>
          <t>AED</t>
        </is>
      </c>
      <c r="G1568" s="7" t="n">
        <v>1655532.19</v>
      </c>
      <c r="H1568" t="inlineStr">
        <is>
          <t>GBP</t>
        </is>
      </c>
      <c r="I1568" s="7" t="n">
        <v>352628.356</v>
      </c>
      <c r="J1568" s="8" t="n">
        <v>46253.59952546296</v>
      </c>
      <c r="K1568" t="inlineStr">
        <is>
          <t>CF260819 01562</t>
        </is>
      </c>
      <c r="L1568" t="inlineStr">
        <is>
          <t>GL.NOSTRO.AED.BRMD.003</t>
        </is>
      </c>
      <c r="M1568" t="inlineStr">
        <is>
          <t>Umberton Commercial Bank</t>
        </is>
      </c>
      <c r="N1568" t="inlineStr">
        <is>
          <t>BRMDTRSY</t>
        </is>
      </c>
      <c r="O1568" t="inlineStr">
        <is>
          <t>NEW</t>
        </is>
      </c>
      <c r="P1568" t="inlineStr">
        <is>
          <t>NT26081900682</t>
        </is>
      </c>
      <c r="Q1568" t="inlineStr">
        <is>
          <t>NETTER</t>
        </is>
      </c>
    </row>
    <row r="1569">
      <c r="A1569" t="inlineStr">
        <is>
          <t>150316825069</t>
        </is>
      </c>
      <c r="B1569" t="inlineStr">
        <is>
          <t>TCP</t>
        </is>
      </c>
      <c r="C1569" t="inlineStr">
        <is>
          <t>BRGX</t>
        </is>
      </c>
      <c r="D1569" s="6" t="n">
        <v>46253</v>
      </c>
      <c r="E1569" t="inlineStr">
        <is>
          <t>DR</t>
        </is>
      </c>
      <c r="F1569" t="inlineStr">
        <is>
          <t>GBP</t>
        </is>
      </c>
      <c r="G1569" s="7" t="n">
        <v>-5457791.579</v>
      </c>
      <c r="H1569" t="inlineStr">
        <is>
          <t>GBP</t>
        </is>
      </c>
      <c r="I1569" s="7" t="n">
        <v>-5457791.579</v>
      </c>
      <c r="J1569" s="8" t="n">
        <v>46253.19565972222</v>
      </c>
      <c r="K1569" t="inlineStr">
        <is>
          <t>CF260819 01563</t>
        </is>
      </c>
      <c r="L1569" t="inlineStr">
        <is>
          <t>GL.NOSTRO.GBP.BRGX.003</t>
        </is>
      </c>
      <c r="M1569" t="inlineStr">
        <is>
          <t>Pinehurst Bank</t>
        </is>
      </c>
      <c r="N1569" t="inlineStr">
        <is>
          <t>BRGXCASH</t>
        </is>
      </c>
      <c r="O1569" t="inlineStr">
        <is>
          <t>NEW</t>
        </is>
      </c>
      <c r="Q1569" t="inlineStr">
        <is>
          <t>GROSS</t>
        </is>
      </c>
    </row>
    <row r="1570">
      <c r="A1570" t="inlineStr">
        <is>
          <t>150316825069</t>
        </is>
      </c>
      <c r="B1570" t="inlineStr">
        <is>
          <t>TCC</t>
        </is>
      </c>
      <c r="C1570" t="inlineStr">
        <is>
          <t>BRGX</t>
        </is>
      </c>
      <c r="D1570" s="6" t="n">
        <v>46253</v>
      </c>
      <c r="E1570" t="inlineStr">
        <is>
          <t>DR</t>
        </is>
      </c>
      <c r="F1570" t="inlineStr">
        <is>
          <t>GBP</t>
        </is>
      </c>
      <c r="G1570" s="7" t="n">
        <v>-473801940.534</v>
      </c>
      <c r="H1570" t="inlineStr">
        <is>
          <t>GBP</t>
        </is>
      </c>
      <c r="I1570" s="7" t="n">
        <v>-473801940.534</v>
      </c>
      <c r="J1570" s="8" t="n">
        <v>46253.46731481481</v>
      </c>
      <c r="K1570" t="inlineStr">
        <is>
          <t>CF260819 01564</t>
        </is>
      </c>
      <c r="L1570" t="inlineStr">
        <is>
          <t>GL.NOSTRO.GBP.BRGX.002</t>
        </is>
      </c>
      <c r="M1570" t="inlineStr">
        <is>
          <t>Nightjar Trust</t>
        </is>
      </c>
      <c r="N1570" t="inlineStr">
        <is>
          <t>BRGXMM</t>
        </is>
      </c>
      <c r="O1570" t="inlineStr">
        <is>
          <t>NEW</t>
        </is>
      </c>
      <c r="Q1570" t="inlineStr">
        <is>
          <t>NETTER</t>
        </is>
      </c>
    </row>
    <row r="1571">
      <c r="A1571" t="inlineStr">
        <is>
          <t>794226063698</t>
        </is>
      </c>
      <c r="B1571" t="inlineStr">
        <is>
          <t>TCX</t>
        </is>
      </c>
      <c r="C1571" t="inlineStr">
        <is>
          <t>BRMD</t>
        </is>
      </c>
      <c r="D1571" s="6" t="n">
        <v>46253</v>
      </c>
      <c r="E1571" t="inlineStr">
        <is>
          <t>CR</t>
        </is>
      </c>
      <c r="F1571" t="inlineStr">
        <is>
          <t>AED</t>
        </is>
      </c>
      <c r="G1571" s="7" t="n">
        <v>88717849.95999999</v>
      </c>
      <c r="H1571" t="inlineStr">
        <is>
          <t>GBP</t>
        </is>
      </c>
      <c r="I1571" s="7" t="n">
        <v>18896902.041</v>
      </c>
      <c r="J1571" s="8" t="n">
        <v>46253.62447916667</v>
      </c>
      <c r="K1571" t="inlineStr">
        <is>
          <t>CF260819 01565</t>
        </is>
      </c>
      <c r="L1571" t="inlineStr">
        <is>
          <t>GL.NOSTRO.AED.BRMD.008</t>
        </is>
      </c>
      <c r="M1571" t="inlineStr">
        <is>
          <t>Sablewood Clearing</t>
        </is>
      </c>
      <c r="N1571" t="inlineStr">
        <is>
          <t>BRMD</t>
        </is>
      </c>
      <c r="O1571" t="inlineStr">
        <is>
          <t>NEW</t>
        </is>
      </c>
      <c r="P1571" t="inlineStr">
        <is>
          <t>NT26081900691</t>
        </is>
      </c>
      <c r="Q1571" t="inlineStr">
        <is>
          <t>NETTER</t>
        </is>
      </c>
    </row>
    <row r="1572">
      <c r="A1572" t="inlineStr">
        <is>
          <t>794226063698</t>
        </is>
      </c>
      <c r="B1572" t="inlineStr">
        <is>
          <t>TCP</t>
        </is>
      </c>
      <c r="C1572" t="inlineStr">
        <is>
          <t>BRMD</t>
        </is>
      </c>
      <c r="D1572" s="6" t="n">
        <v>46253</v>
      </c>
      <c r="E1572" t="inlineStr">
        <is>
          <t>DR</t>
        </is>
      </c>
      <c r="F1572" t="inlineStr">
        <is>
          <t>AED</t>
        </is>
      </c>
      <c r="G1572" s="7" t="n">
        <v>-18818.948</v>
      </c>
      <c r="H1572" t="inlineStr">
        <is>
          <t>GBP</t>
        </is>
      </c>
      <c r="I1572" s="7" t="n">
        <v>-4008.436</v>
      </c>
      <c r="J1572" s="8" t="n">
        <v>46253.4696412037</v>
      </c>
      <c r="K1572" t="inlineStr">
        <is>
          <t>CF260819 01566</t>
        </is>
      </c>
      <c r="L1572" t="inlineStr">
        <is>
          <t>GL.NOSTRO.AED.BRMD.005</t>
        </is>
      </c>
      <c r="M1572" t="inlineStr">
        <is>
          <t>Fernway Settlement Bank</t>
        </is>
      </c>
      <c r="N1572" t="inlineStr">
        <is>
          <t>BRMD</t>
        </is>
      </c>
      <c r="O1572" t="inlineStr">
        <is>
          <t>NEW</t>
        </is>
      </c>
      <c r="P1572" t="inlineStr">
        <is>
          <t>NT26081900672</t>
        </is>
      </c>
      <c r="Q1572" t="inlineStr">
        <is>
          <t>GROSS</t>
        </is>
      </c>
    </row>
    <row r="1573">
      <c r="A1573" t="inlineStr">
        <is>
          <t>968942362772</t>
        </is>
      </c>
      <c r="B1573" t="inlineStr">
        <is>
          <t>TCP</t>
        </is>
      </c>
      <c r="C1573" t="inlineStr">
        <is>
          <t>BRYG</t>
        </is>
      </c>
      <c r="D1573" s="6" t="n">
        <v>46253</v>
      </c>
      <c r="E1573" t="inlineStr">
        <is>
          <t>CR</t>
        </is>
      </c>
      <c r="F1573" t="inlineStr">
        <is>
          <t>EUR</t>
        </is>
      </c>
      <c r="G1573" s="7" t="n">
        <v>803.199</v>
      </c>
      <c r="H1573" t="inlineStr">
        <is>
          <t>GBP</t>
        </is>
      </c>
      <c r="I1573" s="7" t="n">
        <v>689.145</v>
      </c>
      <c r="J1573" s="8" t="n">
        <v>46253.43909722222</v>
      </c>
      <c r="K1573" t="inlineStr">
        <is>
          <t>CF260819 01567</t>
        </is>
      </c>
      <c r="L1573" t="inlineStr">
        <is>
          <t>GL.NOSTRO.EUR.BRYG.009</t>
        </is>
      </c>
      <c r="M1573" t="inlineStr">
        <is>
          <t>Fernway Settlement Bank</t>
        </is>
      </c>
      <c r="N1573" t="inlineStr">
        <is>
          <t>BRYG</t>
        </is>
      </c>
      <c r="O1573" t="inlineStr">
        <is>
          <t>NEW</t>
        </is>
      </c>
      <c r="Q1573" t="inlineStr">
        <is>
          <t>NETTER</t>
        </is>
      </c>
    </row>
    <row r="1574">
      <c r="A1574" t="inlineStr">
        <is>
          <t>499062838623</t>
        </is>
      </c>
      <c r="B1574" t="inlineStr">
        <is>
          <t>TCP</t>
        </is>
      </c>
      <c r="C1574" t="inlineStr">
        <is>
          <t>BRBX</t>
        </is>
      </c>
      <c r="D1574" s="6" t="n">
        <v>46253</v>
      </c>
      <c r="E1574" t="inlineStr">
        <is>
          <t>DR</t>
        </is>
      </c>
      <c r="F1574" t="inlineStr">
        <is>
          <t>USD</t>
        </is>
      </c>
      <c r="G1574" s="7" t="n">
        <v>-1581723.681</v>
      </c>
      <c r="H1574" t="inlineStr">
        <is>
          <t>GBP</t>
        </is>
      </c>
      <c r="I1574" s="7" t="n">
        <v>-1240071.366</v>
      </c>
      <c r="J1574" s="8" t="n">
        <v>46253.42094907408</v>
      </c>
      <c r="K1574" t="inlineStr">
        <is>
          <t>CF260819 01568</t>
        </is>
      </c>
      <c r="L1574" t="inlineStr">
        <is>
          <t>GL.NOSTRO.USD.BRBX.005</t>
        </is>
      </c>
      <c r="M1574" t="inlineStr">
        <is>
          <t>Nightjar Trust</t>
        </is>
      </c>
      <c r="N1574" t="inlineStr">
        <is>
          <t>BRBXCASH</t>
        </is>
      </c>
      <c r="O1574" t="inlineStr">
        <is>
          <t>NEW</t>
        </is>
      </c>
      <c r="P1574" t="inlineStr">
        <is>
          <t>NT26081900682</t>
        </is>
      </c>
      <c r="Q1574" t="inlineStr">
        <is>
          <t>NETTER</t>
        </is>
      </c>
    </row>
    <row r="1575">
      <c r="A1575" t="inlineStr">
        <is>
          <t>468341071172</t>
        </is>
      </c>
      <c r="B1575" t="inlineStr">
        <is>
          <t>TCC</t>
        </is>
      </c>
      <c r="C1575" t="inlineStr">
        <is>
          <t>BRCC</t>
        </is>
      </c>
      <c r="D1575" s="6" t="n">
        <v>46253</v>
      </c>
      <c r="E1575" t="inlineStr">
        <is>
          <t>CR</t>
        </is>
      </c>
      <c r="F1575" t="inlineStr">
        <is>
          <t>EUR</t>
        </is>
      </c>
      <c r="G1575" s="7" t="n">
        <v>951114480.683</v>
      </c>
      <c r="H1575" t="inlineStr">
        <is>
          <t>GBP</t>
        </is>
      </c>
      <c r="I1575" s="7" t="n">
        <v>816056224.426</v>
      </c>
      <c r="J1575" s="8" t="n">
        <v>46253.2143287037</v>
      </c>
      <c r="K1575" t="inlineStr">
        <is>
          <t>CF260819 01569</t>
        </is>
      </c>
      <c r="L1575" t="inlineStr">
        <is>
          <t>GL.NOSTRO.EUR.BRCC.007</t>
        </is>
      </c>
      <c r="M1575" t="inlineStr">
        <is>
          <t>Nightjar Trust</t>
        </is>
      </c>
      <c r="N1575" t="inlineStr">
        <is>
          <t>BRCCTRSY</t>
        </is>
      </c>
      <c r="O1575" t="inlineStr">
        <is>
          <t>NEW</t>
        </is>
      </c>
      <c r="P1575" t="inlineStr">
        <is>
          <t>NT26081900693</t>
        </is>
      </c>
      <c r="Q1575" t="inlineStr">
        <is>
          <t>NETTER</t>
        </is>
      </c>
    </row>
    <row r="1576">
      <c r="A1576" t="inlineStr">
        <is>
          <t>265771593142</t>
        </is>
      </c>
      <c r="B1576" t="inlineStr">
        <is>
          <t>TCC</t>
        </is>
      </c>
      <c r="C1576" t="inlineStr">
        <is>
          <t>BRYG</t>
        </is>
      </c>
      <c r="D1576" s="6" t="n">
        <v>46253</v>
      </c>
      <c r="E1576" t="inlineStr">
        <is>
          <t>CR</t>
        </is>
      </c>
      <c r="F1576" t="inlineStr">
        <is>
          <t>EUR</t>
        </is>
      </c>
      <c r="G1576" s="7" t="n">
        <v>37765429.613</v>
      </c>
      <c r="H1576" t="inlineStr">
        <is>
          <t>GBP</t>
        </is>
      </c>
      <c r="I1576" s="7" t="n">
        <v>32402738.608</v>
      </c>
      <c r="J1576" s="8" t="n">
        <v>46253.37869212963</v>
      </c>
      <c r="K1576" t="inlineStr">
        <is>
          <t>CF260819 01570</t>
        </is>
      </c>
      <c r="L1576" t="inlineStr">
        <is>
          <t>GL.NOSTRO.EUR.BRYG.008</t>
        </is>
      </c>
      <c r="M1576" t="inlineStr">
        <is>
          <t>Nightjar Bank</t>
        </is>
      </c>
      <c r="N1576" t="inlineStr">
        <is>
          <t>BRYGCASH</t>
        </is>
      </c>
      <c r="O1576" t="inlineStr">
        <is>
          <t>NEW</t>
        </is>
      </c>
      <c r="P1576" t="inlineStr">
        <is>
          <t>NT26081900689</t>
        </is>
      </c>
      <c r="Q1576" t="inlineStr">
        <is>
          <t>GROSS</t>
        </is>
      </c>
    </row>
    <row r="1577">
      <c r="A1577" t="inlineStr">
        <is>
          <t>120047354818</t>
        </is>
      </c>
      <c r="B1577" t="inlineStr">
        <is>
          <t>TCP</t>
        </is>
      </c>
      <c r="C1577" t="inlineStr">
        <is>
          <t>BRNK</t>
        </is>
      </c>
      <c r="D1577" s="6" t="n">
        <v>46253</v>
      </c>
      <c r="E1577" t="inlineStr">
        <is>
          <t>DR</t>
        </is>
      </c>
      <c r="F1577" t="inlineStr">
        <is>
          <t>USD</t>
        </is>
      </c>
      <c r="G1577" s="7" t="n">
        <v>-1043.556</v>
      </c>
      <c r="H1577" t="inlineStr">
        <is>
          <t>GBP</t>
        </is>
      </c>
      <c r="I1577" s="7" t="n">
        <v>-818.148</v>
      </c>
      <c r="J1577" s="8" t="n">
        <v>46253.45950231481</v>
      </c>
      <c r="K1577" t="inlineStr">
        <is>
          <t>CF260819 01571</t>
        </is>
      </c>
      <c r="L1577" t="inlineStr">
        <is>
          <t>GL.NOSTRO.USD.BRNK.002</t>
        </is>
      </c>
      <c r="M1577" t="inlineStr">
        <is>
          <t>Fernway Settlement Bank</t>
        </is>
      </c>
      <c r="N1577" t="inlineStr">
        <is>
          <t>BRNK</t>
        </is>
      </c>
      <c r="O1577" t="inlineStr">
        <is>
          <t>NEW</t>
        </is>
      </c>
      <c r="P1577" t="inlineStr">
        <is>
          <t>NT26081900679</t>
        </is>
      </c>
      <c r="Q1577" t="inlineStr">
        <is>
          <t>INTERNAL</t>
        </is>
      </c>
    </row>
    <row r="1578">
      <c r="A1578" t="inlineStr">
        <is>
          <t>468341071172</t>
        </is>
      </c>
      <c r="B1578" t="inlineStr">
        <is>
          <t>TCC</t>
        </is>
      </c>
      <c r="C1578" t="inlineStr">
        <is>
          <t>BRCC</t>
        </is>
      </c>
      <c r="D1578" s="6" t="n">
        <v>46253</v>
      </c>
      <c r="E1578" t="inlineStr">
        <is>
          <t>CR</t>
        </is>
      </c>
      <c r="F1578" t="inlineStr">
        <is>
          <t>EUR</t>
        </is>
      </c>
      <c r="G1578" s="7" t="n">
        <v>105869254.349</v>
      </c>
      <c r="H1578" t="inlineStr">
        <is>
          <t>GBP</t>
        </is>
      </c>
      <c r="I1578" s="7" t="n">
        <v>90835820.23100001</v>
      </c>
      <c r="J1578" s="8" t="n">
        <v>46253.47865740741</v>
      </c>
      <c r="K1578" t="inlineStr">
        <is>
          <t>CF260819 01572</t>
        </is>
      </c>
      <c r="L1578" t="inlineStr">
        <is>
          <t>GL.NOSTRO.EUR.BRCC.008</t>
        </is>
      </c>
      <c r="M1578" t="inlineStr">
        <is>
          <t>Redstart Trust</t>
        </is>
      </c>
      <c r="N1578" t="inlineStr">
        <is>
          <t>BRCCTRSY</t>
        </is>
      </c>
      <c r="O1578" t="inlineStr">
        <is>
          <t>NEW</t>
        </is>
      </c>
      <c r="Q1578" t="inlineStr">
        <is>
          <t>GROSS</t>
        </is>
      </c>
    </row>
    <row r="1579">
      <c r="A1579" t="inlineStr">
        <is>
          <t>132544340094</t>
        </is>
      </c>
      <c r="B1579" t="inlineStr">
        <is>
          <t>TCX</t>
        </is>
      </c>
      <c r="C1579" t="inlineStr">
        <is>
          <t>BRYG</t>
        </is>
      </c>
      <c r="D1579" s="6" t="n">
        <v>46253</v>
      </c>
      <c r="E1579" t="inlineStr">
        <is>
          <t>CR</t>
        </is>
      </c>
      <c r="F1579" t="inlineStr">
        <is>
          <t>CZK</t>
        </is>
      </c>
      <c r="G1579" s="7" t="n">
        <v>3014913.276</v>
      </c>
      <c r="H1579" t="inlineStr">
        <is>
          <t>GBP</t>
        </is>
      </c>
      <c r="I1579" s="7" t="n">
        <v>102205.56</v>
      </c>
      <c r="J1579" s="8" t="n">
        <v>46253.42813657408</v>
      </c>
      <c r="K1579" t="inlineStr">
        <is>
          <t>CF260819 01573</t>
        </is>
      </c>
      <c r="L1579" t="inlineStr">
        <is>
          <t>GL.NOSTRO.CZK.BRYG.006</t>
        </is>
      </c>
      <c r="M1579" t="inlineStr">
        <is>
          <t>Granite Clearing</t>
        </is>
      </c>
      <c r="N1579" t="inlineStr">
        <is>
          <t>BRYGCASH</t>
        </is>
      </c>
      <c r="O1579" t="inlineStr">
        <is>
          <t>NEW</t>
        </is>
      </c>
      <c r="Q1579" t="inlineStr">
        <is>
          <t>GROSS</t>
        </is>
      </c>
    </row>
    <row r="1580">
      <c r="A1580" t="inlineStr">
        <is>
          <t>150316825069</t>
        </is>
      </c>
      <c r="B1580" t="inlineStr">
        <is>
          <t>TCC</t>
        </is>
      </c>
      <c r="C1580" t="inlineStr">
        <is>
          <t>BRGX</t>
        </is>
      </c>
      <c r="D1580" s="6" t="n">
        <v>46253</v>
      </c>
      <c r="E1580" t="inlineStr">
        <is>
          <t>DR</t>
        </is>
      </c>
      <c r="F1580" t="inlineStr">
        <is>
          <t>GBP</t>
        </is>
      </c>
      <c r="G1580" s="7" t="n">
        <v>-568702.454</v>
      </c>
      <c r="H1580" t="inlineStr">
        <is>
          <t>GBP</t>
        </is>
      </c>
      <c r="I1580" s="7" t="n">
        <v>-568702.454</v>
      </c>
      <c r="J1580" s="8" t="n">
        <v>46253.74555555556</v>
      </c>
      <c r="K1580" t="inlineStr">
        <is>
          <t>CF260819 01574</t>
        </is>
      </c>
      <c r="L1580" t="inlineStr">
        <is>
          <t>GL.NOSTRO.GBP.BRGX.007</t>
        </is>
      </c>
      <c r="M1580" t="inlineStr">
        <is>
          <t>Mallow Clearing</t>
        </is>
      </c>
      <c r="N1580" t="inlineStr">
        <is>
          <t>BRGXCASH</t>
        </is>
      </c>
      <c r="O1580" t="inlineStr">
        <is>
          <t>NEW</t>
        </is>
      </c>
      <c r="P1580" t="inlineStr">
        <is>
          <t>NT26081900659</t>
        </is>
      </c>
      <c r="Q1580" t="inlineStr">
        <is>
          <t>INTERNAL</t>
        </is>
      </c>
    </row>
    <row r="1581">
      <c r="A1581" t="inlineStr">
        <is>
          <t>150316825069</t>
        </is>
      </c>
      <c r="B1581" t="inlineStr">
        <is>
          <t>TCC</t>
        </is>
      </c>
      <c r="C1581" t="inlineStr">
        <is>
          <t>BRGX</t>
        </is>
      </c>
      <c r="D1581" s="6" t="n">
        <v>46253</v>
      </c>
      <c r="E1581" t="inlineStr">
        <is>
          <t>DR</t>
        </is>
      </c>
      <c r="F1581" t="inlineStr">
        <is>
          <t>GBP</t>
        </is>
      </c>
      <c r="G1581" s="7" t="n">
        <v>-1361995.536</v>
      </c>
      <c r="H1581" t="inlineStr">
        <is>
          <t>GBP</t>
        </is>
      </c>
      <c r="I1581" s="7" t="n">
        <v>-1361995.536</v>
      </c>
      <c r="J1581" s="8" t="n">
        <v>46253.385625</v>
      </c>
      <c r="K1581" t="inlineStr">
        <is>
          <t>CF260819 01575</t>
        </is>
      </c>
      <c r="L1581" t="inlineStr">
        <is>
          <t>GL.NOSTRO.GBP.BRGX.007</t>
        </is>
      </c>
      <c r="M1581" t="inlineStr">
        <is>
          <t>Oriel Trust</t>
        </is>
      </c>
      <c r="N1581" t="inlineStr">
        <is>
          <t>BRGXCASH</t>
        </is>
      </c>
      <c r="O1581" t="inlineStr">
        <is>
          <t>NEW</t>
        </is>
      </c>
      <c r="Q1581" t="inlineStr">
        <is>
          <t>NETTER</t>
        </is>
      </c>
    </row>
    <row r="1582">
      <c r="A1582" t="inlineStr">
        <is>
          <t>150316825069</t>
        </is>
      </c>
      <c r="B1582" t="inlineStr">
        <is>
          <t>TCP</t>
        </is>
      </c>
      <c r="C1582" t="inlineStr">
        <is>
          <t>BRGX</t>
        </is>
      </c>
      <c r="D1582" s="6" t="n">
        <v>46253</v>
      </c>
      <c r="E1582" t="inlineStr">
        <is>
          <t>DR</t>
        </is>
      </c>
      <c r="F1582" t="inlineStr">
        <is>
          <t>GBP</t>
        </is>
      </c>
      <c r="G1582" s="7" t="n">
        <v>-82586444.236</v>
      </c>
      <c r="H1582" t="inlineStr">
        <is>
          <t>GBP</t>
        </is>
      </c>
      <c r="I1582" s="7" t="n">
        <v>-82586444.236</v>
      </c>
      <c r="J1582" s="8" t="n">
        <v>46253.47620370371</v>
      </c>
      <c r="K1582" t="inlineStr">
        <is>
          <t>CF260819 01576</t>
        </is>
      </c>
      <c r="L1582" t="inlineStr">
        <is>
          <t>GL.NOSTRO.GBP.BRGX.007</t>
        </is>
      </c>
      <c r="M1582" t="inlineStr">
        <is>
          <t>Elmwood Trust</t>
        </is>
      </c>
      <c r="N1582" t="inlineStr">
        <is>
          <t>BRGX</t>
        </is>
      </c>
      <c r="O1582" t="inlineStr">
        <is>
          <t>NEW</t>
        </is>
      </c>
      <c r="Q1582" t="inlineStr">
        <is>
          <t>GROSS</t>
        </is>
      </c>
    </row>
    <row r="1583">
      <c r="A1583" t="inlineStr">
        <is>
          <t>824840705580</t>
        </is>
      </c>
      <c r="B1583" t="inlineStr">
        <is>
          <t>TCG</t>
        </is>
      </c>
      <c r="C1583" t="inlineStr">
        <is>
          <t>BRGL</t>
        </is>
      </c>
      <c r="D1583" s="6" t="n">
        <v>46253</v>
      </c>
      <c r="E1583" t="inlineStr">
        <is>
          <t>DR</t>
        </is>
      </c>
      <c r="F1583" t="inlineStr">
        <is>
          <t>EUR</t>
        </is>
      </c>
      <c r="G1583" s="7" t="n">
        <v>-23322125.724</v>
      </c>
      <c r="H1583" t="inlineStr">
        <is>
          <t>GBP</t>
        </is>
      </c>
      <c r="I1583" s="7" t="n">
        <v>-20010383.871</v>
      </c>
      <c r="J1583" s="8" t="n">
        <v>46253.43125</v>
      </c>
      <c r="K1583" t="inlineStr">
        <is>
          <t>CF260819 01577</t>
        </is>
      </c>
      <c r="L1583" t="inlineStr">
        <is>
          <t>GL.NOSTRO.EUR.BRGL.003</t>
        </is>
      </c>
      <c r="M1583" t="inlineStr">
        <is>
          <t>Sablewood Settlement Bank</t>
        </is>
      </c>
      <c r="N1583" t="inlineStr">
        <is>
          <t>BRGLTRSY</t>
        </is>
      </c>
      <c r="O1583" t="inlineStr">
        <is>
          <t>NEW</t>
        </is>
      </c>
      <c r="P1583" t="inlineStr">
        <is>
          <t>NT26081900691</t>
        </is>
      </c>
      <c r="Q1583" t="inlineStr">
        <is>
          <t>NETTER</t>
        </is>
      </c>
    </row>
    <row r="1584">
      <c r="A1584" t="inlineStr">
        <is>
          <t>726928343448</t>
        </is>
      </c>
      <c r="B1584" t="inlineStr">
        <is>
          <t>TCC</t>
        </is>
      </c>
      <c r="C1584" t="inlineStr">
        <is>
          <t>BRGX</t>
        </is>
      </c>
      <c r="D1584" s="6" t="n">
        <v>46253</v>
      </c>
      <c r="E1584" t="inlineStr">
        <is>
          <t>DR</t>
        </is>
      </c>
      <c r="F1584" t="inlineStr">
        <is>
          <t>EUR</t>
        </is>
      </c>
      <c r="G1584" s="7" t="n">
        <v>-16465.509</v>
      </c>
      <c r="H1584" t="inlineStr">
        <is>
          <t>GBP</t>
        </is>
      </c>
      <c r="I1584" s="7" t="n">
        <v>-14127.407</v>
      </c>
      <c r="J1584" s="8" t="n">
        <v>46253.66364583333</v>
      </c>
      <c r="K1584" t="inlineStr">
        <is>
          <t>CF260819 01578</t>
        </is>
      </c>
      <c r="L1584" t="inlineStr">
        <is>
          <t>GL.NOSTRO.EUR.BRGX.004</t>
        </is>
      </c>
      <c r="M1584" t="inlineStr">
        <is>
          <t>Nightjar Bank</t>
        </is>
      </c>
      <c r="N1584" t="inlineStr">
        <is>
          <t>BRGXTRSY</t>
        </is>
      </c>
      <c r="O1584" t="inlineStr">
        <is>
          <t>NEW</t>
        </is>
      </c>
      <c r="Q1584" t="inlineStr">
        <is>
          <t>NETTER</t>
        </is>
      </c>
    </row>
    <row r="1585">
      <c r="A1585" t="inlineStr">
        <is>
          <t>968942362772</t>
        </is>
      </c>
      <c r="B1585" t="inlineStr">
        <is>
          <t>TCG</t>
        </is>
      </c>
      <c r="C1585" t="inlineStr">
        <is>
          <t>BRYG</t>
        </is>
      </c>
      <c r="D1585" s="6" t="n">
        <v>46253</v>
      </c>
      <c r="E1585" t="inlineStr">
        <is>
          <t>DR</t>
        </is>
      </c>
      <c r="F1585" t="inlineStr">
        <is>
          <t>EUR</t>
        </is>
      </c>
      <c r="G1585" s="7" t="n">
        <v>-20347429.892</v>
      </c>
      <c r="H1585" t="inlineStr">
        <is>
          <t>GBP</t>
        </is>
      </c>
      <c r="I1585" s="7" t="n">
        <v>-17458094.847</v>
      </c>
      <c r="J1585" s="8" t="n">
        <v>46253.43537037037</v>
      </c>
      <c r="K1585" t="inlineStr">
        <is>
          <t>CF260819 01579</t>
        </is>
      </c>
      <c r="L1585" t="inlineStr">
        <is>
          <t>GL.NOSTRO.EUR.BRYG.001</t>
        </is>
      </c>
      <c r="M1585" t="inlineStr">
        <is>
          <t>Sablewood Settlement Bank</t>
        </is>
      </c>
      <c r="N1585" t="inlineStr">
        <is>
          <t>BRYGCASH</t>
        </is>
      </c>
      <c r="O1585" t="inlineStr">
        <is>
          <t>AMEND</t>
        </is>
      </c>
      <c r="P1585" t="inlineStr">
        <is>
          <t>NT26081900689</t>
        </is>
      </c>
      <c r="Q1585" t="inlineStr">
        <is>
          <t>NETTER</t>
        </is>
      </c>
    </row>
    <row r="1586">
      <c r="A1586" t="inlineStr">
        <is>
          <t>499062838623</t>
        </is>
      </c>
      <c r="B1586" t="inlineStr">
        <is>
          <t>TCC</t>
        </is>
      </c>
      <c r="C1586" t="inlineStr">
        <is>
          <t>BRBX</t>
        </is>
      </c>
      <c r="D1586" s="6" t="n">
        <v>46253</v>
      </c>
      <c r="E1586" t="inlineStr">
        <is>
          <t>CR</t>
        </is>
      </c>
      <c r="F1586" t="inlineStr">
        <is>
          <t>USD</t>
        </is>
      </c>
      <c r="G1586" s="7" t="n">
        <v>766852187.6059999</v>
      </c>
      <c r="H1586" t="inlineStr">
        <is>
          <t>GBP</t>
        </is>
      </c>
      <c r="I1586" s="7" t="n">
        <v>601212115.0829999</v>
      </c>
      <c r="J1586" s="8" t="n">
        <v>46253.44027777778</v>
      </c>
      <c r="K1586" t="inlineStr">
        <is>
          <t>CF260819 01580</t>
        </is>
      </c>
      <c r="L1586" t="inlineStr">
        <is>
          <t>GL.NOSTRO.USD.BRBX.002</t>
        </is>
      </c>
      <c r="M1586" t="inlineStr">
        <is>
          <t>Dunlin Bank</t>
        </is>
      </c>
      <c r="N1586" t="inlineStr">
        <is>
          <t>BRBXCASH</t>
        </is>
      </c>
      <c r="O1586" t="inlineStr">
        <is>
          <t>NEW</t>
        </is>
      </c>
      <c r="P1586" t="inlineStr">
        <is>
          <t>NT26081900687</t>
        </is>
      </c>
      <c r="Q1586" t="inlineStr">
        <is>
          <t>INTERNAL</t>
        </is>
      </c>
    </row>
    <row r="1587">
      <c r="A1587" t="inlineStr">
        <is>
          <t>621381112674</t>
        </is>
      </c>
      <c r="B1587" t="inlineStr">
        <is>
          <t>TCQ</t>
        </is>
      </c>
      <c r="C1587" t="inlineStr">
        <is>
          <t>BRAA</t>
        </is>
      </c>
      <c r="D1587" s="6" t="n">
        <v>46253</v>
      </c>
      <c r="E1587" t="inlineStr">
        <is>
          <t>DR</t>
        </is>
      </c>
      <c r="F1587" t="inlineStr">
        <is>
          <t>PLN</t>
        </is>
      </c>
      <c r="G1587" s="7" t="n">
        <v>-580436000.057</v>
      </c>
      <c r="H1587" t="inlineStr">
        <is>
          <t>GBP</t>
        </is>
      </c>
      <c r="I1587" s="7" t="n">
        <v>-114926328.011</v>
      </c>
      <c r="J1587" s="8" t="n">
        <v>46253.79211805556</v>
      </c>
      <c r="K1587" t="inlineStr">
        <is>
          <t>CF260819 01581</t>
        </is>
      </c>
      <c r="L1587" t="inlineStr">
        <is>
          <t>GL.NOSTRO.PLN.BRAA.007</t>
        </is>
      </c>
      <c r="M1587" t="inlineStr">
        <is>
          <t>Mallow Clearing</t>
        </is>
      </c>
      <c r="N1587" t="inlineStr">
        <is>
          <t>BRAACASH</t>
        </is>
      </c>
      <c r="O1587" t="inlineStr">
        <is>
          <t>AMEND</t>
        </is>
      </c>
      <c r="Q1587" t="inlineStr">
        <is>
          <t>NETTER</t>
        </is>
      </c>
    </row>
    <row r="1588">
      <c r="A1588" t="inlineStr">
        <is>
          <t>910703979141</t>
        </is>
      </c>
      <c r="B1588" t="inlineStr">
        <is>
          <t>TCC</t>
        </is>
      </c>
      <c r="C1588" t="inlineStr">
        <is>
          <t>BRCC</t>
        </is>
      </c>
      <c r="D1588" s="6" t="n">
        <v>46253</v>
      </c>
      <c r="E1588" t="inlineStr">
        <is>
          <t>CR</t>
        </is>
      </c>
      <c r="F1588" t="inlineStr">
        <is>
          <t>CHF</t>
        </is>
      </c>
      <c r="G1588" s="7" t="n">
        <v>1008785.166</v>
      </c>
      <c r="H1588" t="inlineStr">
        <is>
          <t>GBP</t>
        </is>
      </c>
      <c r="I1588" s="7" t="n">
        <v>904880.294</v>
      </c>
      <c r="J1588" s="8" t="n">
        <v>46253.36946759259</v>
      </c>
      <c r="K1588" t="inlineStr">
        <is>
          <t>CF260819 01582</t>
        </is>
      </c>
      <c r="L1588" t="inlineStr">
        <is>
          <t>GL.NOSTRO.CHF.BRCC.003</t>
        </is>
      </c>
      <c r="M1588" t="inlineStr">
        <is>
          <t>Mallow Commercial Bank</t>
        </is>
      </c>
      <c r="N1588" t="inlineStr">
        <is>
          <t>BRCCMM</t>
        </is>
      </c>
      <c r="O1588" t="inlineStr">
        <is>
          <t>NEW</t>
        </is>
      </c>
      <c r="Q1588" t="inlineStr">
        <is>
          <t>NETTER</t>
        </is>
      </c>
    </row>
    <row r="1589">
      <c r="A1589" t="inlineStr">
        <is>
          <t>171857983160</t>
        </is>
      </c>
      <c r="B1589" t="inlineStr">
        <is>
          <t>TCC</t>
        </is>
      </c>
      <c r="C1589" t="inlineStr">
        <is>
          <t>BRBX</t>
        </is>
      </c>
      <c r="D1589" s="6" t="n">
        <v>46253</v>
      </c>
      <c r="E1589" t="inlineStr">
        <is>
          <t>CR</t>
        </is>
      </c>
      <c r="F1589" t="inlineStr">
        <is>
          <t>AUD</t>
        </is>
      </c>
      <c r="G1589" s="7" t="n">
        <v>2170921.112</v>
      </c>
      <c r="H1589" t="inlineStr">
        <is>
          <t>GBP</t>
        </is>
      </c>
      <c r="I1589" s="7" t="n">
        <v>1113682.53</v>
      </c>
      <c r="J1589" s="8" t="n">
        <v>46253.27671296296</v>
      </c>
      <c r="K1589" t="inlineStr">
        <is>
          <t>CF260819 01583</t>
        </is>
      </c>
      <c r="L1589" t="inlineStr">
        <is>
          <t>GL.NOSTRO.AUD.BRBX.009</t>
        </is>
      </c>
      <c r="M1589" t="inlineStr">
        <is>
          <t>Wrenfield Settlement Bank</t>
        </is>
      </c>
      <c r="N1589" t="inlineStr">
        <is>
          <t>BRBXTRSY</t>
        </is>
      </c>
      <c r="O1589" t="inlineStr">
        <is>
          <t>NEW</t>
        </is>
      </c>
      <c r="P1589" t="inlineStr">
        <is>
          <t>NT26081900658</t>
        </is>
      </c>
      <c r="Q1589" t="inlineStr">
        <is>
          <t>GROSS</t>
        </is>
      </c>
    </row>
    <row r="1590">
      <c r="A1590" t="inlineStr">
        <is>
          <t>898317028833</t>
        </is>
      </c>
      <c r="B1590" t="inlineStr">
        <is>
          <t>TCX</t>
        </is>
      </c>
      <c r="C1590" t="inlineStr">
        <is>
          <t>BRAA</t>
        </is>
      </c>
      <c r="D1590" s="6" t="n">
        <v>46253</v>
      </c>
      <c r="E1590" t="inlineStr">
        <is>
          <t>DR</t>
        </is>
      </c>
      <c r="F1590" t="inlineStr">
        <is>
          <t>GBP</t>
        </is>
      </c>
      <c r="G1590" s="7" t="n">
        <v>-4568658.561</v>
      </c>
      <c r="H1590" t="inlineStr">
        <is>
          <t>GBP</t>
        </is>
      </c>
      <c r="I1590" s="7" t="n">
        <v>-4568658.561</v>
      </c>
      <c r="J1590" s="8" t="n">
        <v>46253.60083333333</v>
      </c>
      <c r="K1590" t="inlineStr">
        <is>
          <t>CF260819 01584</t>
        </is>
      </c>
      <c r="L1590" t="inlineStr">
        <is>
          <t>GL.NOSTRO.GBP.BRAA.004</t>
        </is>
      </c>
      <c r="M1590" t="inlineStr">
        <is>
          <t>Ironbark Trust</t>
        </is>
      </c>
      <c r="N1590" t="inlineStr">
        <is>
          <t>BRAA</t>
        </is>
      </c>
      <c r="O1590" t="inlineStr">
        <is>
          <t>NEW</t>
        </is>
      </c>
      <c r="Q1590" t="inlineStr">
        <is>
          <t>GROSS</t>
        </is>
      </c>
    </row>
    <row r="1591">
      <c r="A1591" t="inlineStr">
        <is>
          <t>284925023085</t>
        </is>
      </c>
      <c r="B1591" t="inlineStr">
        <is>
          <t>TCP</t>
        </is>
      </c>
      <c r="C1591" t="inlineStr">
        <is>
          <t>BRMD</t>
        </is>
      </c>
      <c r="D1591" s="6" t="n">
        <v>46253</v>
      </c>
      <c r="E1591" t="inlineStr">
        <is>
          <t>DR</t>
        </is>
      </c>
      <c r="F1591" t="inlineStr">
        <is>
          <t>MXN</t>
        </is>
      </c>
      <c r="G1591" s="7" t="n">
        <v>-26031748.551</v>
      </c>
      <c r="H1591" t="inlineStr">
        <is>
          <t>GBP</t>
        </is>
      </c>
      <c r="I1591" s="7" t="n">
        <v>-1114158.838</v>
      </c>
      <c r="J1591" s="8" t="n">
        <v>46253.73574074074</v>
      </c>
      <c r="K1591" t="inlineStr">
        <is>
          <t>CF260819 01585</t>
        </is>
      </c>
      <c r="L1591" t="inlineStr">
        <is>
          <t>GL.NOSTRO.MXN.BRMD.002</t>
        </is>
      </c>
      <c r="M1591" t="inlineStr">
        <is>
          <t>Larkspur Clearing</t>
        </is>
      </c>
      <c r="N1591" t="inlineStr">
        <is>
          <t>BRMDCASH</t>
        </is>
      </c>
      <c r="O1591" t="inlineStr">
        <is>
          <t>AMEND</t>
        </is>
      </c>
      <c r="Q1591" t="inlineStr">
        <is>
          <t>NETTER</t>
        </is>
      </c>
    </row>
    <row r="1592">
      <c r="A1592" t="inlineStr">
        <is>
          <t>794226063698</t>
        </is>
      </c>
      <c r="B1592" t="inlineStr">
        <is>
          <t>TCC</t>
        </is>
      </c>
      <c r="C1592" t="inlineStr">
        <is>
          <t>BRMD</t>
        </is>
      </c>
      <c r="D1592" s="6" t="n">
        <v>46253</v>
      </c>
      <c r="E1592" t="inlineStr">
        <is>
          <t>CR</t>
        </is>
      </c>
      <c r="F1592" t="inlineStr">
        <is>
          <t>AED</t>
        </is>
      </c>
      <c r="G1592" s="7" t="n">
        <v>75375193.12100001</v>
      </c>
      <c r="H1592" t="inlineStr">
        <is>
          <t>GBP</t>
        </is>
      </c>
      <c r="I1592" s="7" t="n">
        <v>16054916.135</v>
      </c>
      <c r="J1592" s="8" t="n">
        <v>46253.74711805556</v>
      </c>
      <c r="K1592" t="inlineStr">
        <is>
          <t>CF260819 01586</t>
        </is>
      </c>
      <c r="L1592" t="inlineStr">
        <is>
          <t>GL.NOSTRO.AED.BRMD.006</t>
        </is>
      </c>
      <c r="M1592" t="inlineStr">
        <is>
          <t>Elmwood Settlement Bank</t>
        </is>
      </c>
      <c r="N1592" t="inlineStr">
        <is>
          <t>BRMD</t>
        </is>
      </c>
      <c r="O1592" t="inlineStr">
        <is>
          <t>NEW</t>
        </is>
      </c>
      <c r="P1592" t="inlineStr">
        <is>
          <t>NT26081900658</t>
        </is>
      </c>
      <c r="Q1592" t="inlineStr">
        <is>
          <t>GROSS</t>
        </is>
      </c>
    </row>
    <row r="1593">
      <c r="A1593" t="inlineStr">
        <is>
          <t>150316825069</t>
        </is>
      </c>
      <c r="B1593" t="inlineStr">
        <is>
          <t>TCP</t>
        </is>
      </c>
      <c r="C1593" t="inlineStr">
        <is>
          <t>BRGX</t>
        </is>
      </c>
      <c r="D1593" s="6" t="n">
        <v>46253</v>
      </c>
      <c r="E1593" t="inlineStr">
        <is>
          <t>CR</t>
        </is>
      </c>
      <c r="F1593" t="inlineStr">
        <is>
          <t>GBP</t>
        </is>
      </c>
      <c r="G1593" s="7" t="n">
        <v>85130057.01199999</v>
      </c>
      <c r="H1593" t="inlineStr">
        <is>
          <t>GBP</t>
        </is>
      </c>
      <c r="I1593" s="7" t="n">
        <v>85130057.01199999</v>
      </c>
      <c r="J1593" s="8" t="n">
        <v>46253.40251157407</v>
      </c>
      <c r="K1593" t="inlineStr">
        <is>
          <t>CF260819 01587</t>
        </is>
      </c>
      <c r="L1593" t="inlineStr">
        <is>
          <t>GL.NOSTRO.GBP.BRGX.008</t>
        </is>
      </c>
      <c r="M1593" t="inlineStr">
        <is>
          <t>Juniper Settlement Bank</t>
        </is>
      </c>
      <c r="N1593" t="inlineStr">
        <is>
          <t>BRGXCASH</t>
        </is>
      </c>
      <c r="O1593" t="inlineStr">
        <is>
          <t>NEW</t>
        </is>
      </c>
      <c r="Q1593" t="inlineStr">
        <is>
          <t>NETTER</t>
        </is>
      </c>
    </row>
    <row r="1594">
      <c r="A1594" t="inlineStr">
        <is>
          <t>700726936098</t>
        </is>
      </c>
      <c r="B1594" t="inlineStr">
        <is>
          <t>TCX</t>
        </is>
      </c>
      <c r="C1594" t="inlineStr">
        <is>
          <t>BRMD</t>
        </is>
      </c>
      <c r="D1594" s="6" t="n">
        <v>46253</v>
      </c>
      <c r="E1594" t="inlineStr">
        <is>
          <t>DR</t>
        </is>
      </c>
      <c r="F1594" t="inlineStr">
        <is>
          <t>SAR</t>
        </is>
      </c>
      <c r="G1594" s="7" t="n">
        <v>-632072.0330000001</v>
      </c>
      <c r="H1594" t="inlineStr">
        <is>
          <t>GBP</t>
        </is>
      </c>
      <c r="I1594" s="7" t="n">
        <v>-132103.055</v>
      </c>
      <c r="J1594" s="8" t="n">
        <v>46253.36336805556</v>
      </c>
      <c r="K1594" t="inlineStr">
        <is>
          <t>CF260819 01588</t>
        </is>
      </c>
      <c r="L1594" t="inlineStr">
        <is>
          <t>GL.NOSTRO.SAR.BRMD.002</t>
        </is>
      </c>
      <c r="M1594" t="inlineStr">
        <is>
          <t>Oriel Trust</t>
        </is>
      </c>
      <c r="N1594" t="inlineStr">
        <is>
          <t>BRMDTRSY</t>
        </is>
      </c>
      <c r="O1594" t="inlineStr">
        <is>
          <t>NEW</t>
        </is>
      </c>
      <c r="Q1594" t="inlineStr">
        <is>
          <t>GROSS</t>
        </is>
      </c>
    </row>
    <row r="1595">
      <c r="A1595" t="inlineStr">
        <is>
          <t>499062838623</t>
        </is>
      </c>
      <c r="B1595" t="inlineStr">
        <is>
          <t>TCQ</t>
        </is>
      </c>
      <c r="C1595" t="inlineStr">
        <is>
          <t>BRBX</t>
        </is>
      </c>
      <c r="D1595" s="6" t="n">
        <v>46253</v>
      </c>
      <c r="E1595" t="inlineStr">
        <is>
          <t>DR</t>
        </is>
      </c>
      <c r="F1595" t="inlineStr">
        <is>
          <t>USD</t>
        </is>
      </c>
      <c r="G1595" s="7" t="n">
        <v>-1674003.588</v>
      </c>
      <c r="H1595" t="inlineStr">
        <is>
          <t>GBP</t>
        </is>
      </c>
      <c r="I1595" s="7" t="n">
        <v>-1312418.813</v>
      </c>
      <c r="J1595" s="8" t="n">
        <v>46253.34476851852</v>
      </c>
      <c r="K1595" t="inlineStr">
        <is>
          <t>CF260819 01589</t>
        </is>
      </c>
      <c r="L1595" t="inlineStr">
        <is>
          <t>GL.NOSTRO.USD.BRBX.007</t>
        </is>
      </c>
      <c r="M1595" t="inlineStr">
        <is>
          <t>Sablewood Settlement Bank</t>
        </is>
      </c>
      <c r="N1595" t="inlineStr">
        <is>
          <t>BRBX</t>
        </is>
      </c>
      <c r="O1595" t="inlineStr">
        <is>
          <t>NEW</t>
        </is>
      </c>
      <c r="P1595" t="inlineStr">
        <is>
          <t>NT26081900691</t>
        </is>
      </c>
      <c r="Q1595" t="inlineStr">
        <is>
          <t>NETTER</t>
        </is>
      </c>
    </row>
    <row r="1596">
      <c r="A1596" t="inlineStr">
        <is>
          <t>499062838623</t>
        </is>
      </c>
      <c r="B1596" t="inlineStr">
        <is>
          <t>TCQ</t>
        </is>
      </c>
      <c r="C1596" t="inlineStr">
        <is>
          <t>BRBX</t>
        </is>
      </c>
      <c r="D1596" s="6" t="n">
        <v>46253</v>
      </c>
      <c r="E1596" t="inlineStr">
        <is>
          <t>CR</t>
        </is>
      </c>
      <c r="F1596" t="inlineStr">
        <is>
          <t>USD</t>
        </is>
      </c>
      <c r="G1596" s="7" t="n">
        <v>231994733.225</v>
      </c>
      <c r="H1596" t="inlineStr">
        <is>
          <t>GBP</t>
        </is>
      </c>
      <c r="I1596" s="7" t="n">
        <v>181883870.848</v>
      </c>
      <c r="J1596" s="8" t="n">
        <v>46253.62329861111</v>
      </c>
      <c r="K1596" t="inlineStr">
        <is>
          <t>CF260819 01590</t>
        </is>
      </c>
      <c r="L1596" t="inlineStr">
        <is>
          <t>GL.NOSTRO.USD.BRBX.006</t>
        </is>
      </c>
      <c r="M1596" t="inlineStr">
        <is>
          <t>Umberton Commercial Bank</t>
        </is>
      </c>
      <c r="N1596" t="inlineStr">
        <is>
          <t>BRBX</t>
        </is>
      </c>
      <c r="O1596" t="inlineStr">
        <is>
          <t>NEW</t>
        </is>
      </c>
      <c r="P1596" t="inlineStr">
        <is>
          <t>NT26081900680</t>
        </is>
      </c>
      <c r="Q1596" t="inlineStr">
        <is>
          <t>NETTER</t>
        </is>
      </c>
    </row>
    <row r="1597">
      <c r="A1597" t="inlineStr">
        <is>
          <t>284925023085</t>
        </is>
      </c>
      <c r="B1597" t="inlineStr">
        <is>
          <t>TCG</t>
        </is>
      </c>
      <c r="C1597" t="inlineStr">
        <is>
          <t>BRMD</t>
        </is>
      </c>
      <c r="D1597" s="6" t="n">
        <v>46253</v>
      </c>
      <c r="E1597" t="inlineStr">
        <is>
          <t>DR</t>
        </is>
      </c>
      <c r="F1597" t="inlineStr">
        <is>
          <t>MXN</t>
        </is>
      </c>
      <c r="G1597" s="7" t="n">
        <v>-229863238.782</v>
      </c>
      <c r="H1597" t="inlineStr">
        <is>
          <t>GBP</t>
        </is>
      </c>
      <c r="I1597" s="7" t="n">
        <v>-9838146.619999999</v>
      </c>
      <c r="J1597" s="8" t="n">
        <v>46253.46913194445</v>
      </c>
      <c r="K1597" t="inlineStr">
        <is>
          <t>CF260819 01591</t>
        </is>
      </c>
      <c r="L1597" t="inlineStr">
        <is>
          <t>GL.NOSTRO.MXN.BRMD.009</t>
        </is>
      </c>
      <c r="M1597" t="inlineStr">
        <is>
          <t>Sablewood Settlement Bank</t>
        </is>
      </c>
      <c r="N1597" t="inlineStr">
        <is>
          <t>BRMDCASH</t>
        </is>
      </c>
      <c r="O1597" t="inlineStr">
        <is>
          <t>NEW</t>
        </is>
      </c>
      <c r="P1597" t="inlineStr">
        <is>
          <t>NT26081900675</t>
        </is>
      </c>
      <c r="Q1597" t="inlineStr">
        <is>
          <t>NETTER</t>
        </is>
      </c>
    </row>
    <row r="1598">
      <c r="A1598" t="inlineStr">
        <is>
          <t>468341071172</t>
        </is>
      </c>
      <c r="B1598" t="inlineStr">
        <is>
          <t>TCX</t>
        </is>
      </c>
      <c r="C1598" t="inlineStr">
        <is>
          <t>BRCC</t>
        </is>
      </c>
      <c r="D1598" s="6" t="n">
        <v>46253</v>
      </c>
      <c r="E1598" t="inlineStr">
        <is>
          <t>CR</t>
        </is>
      </c>
      <c r="F1598" t="inlineStr">
        <is>
          <t>EUR</t>
        </is>
      </c>
      <c r="G1598" s="7" t="n">
        <v>576914.446</v>
      </c>
      <c r="H1598" t="inlineStr">
        <is>
          <t>GBP</t>
        </is>
      </c>
      <c r="I1598" s="7" t="n">
        <v>494992.595</v>
      </c>
      <c r="J1598" s="8" t="n">
        <v>46253.68577546296</v>
      </c>
      <c r="K1598" t="inlineStr">
        <is>
          <t>CF260819 01592</t>
        </is>
      </c>
      <c r="L1598" t="inlineStr">
        <is>
          <t>GL.NOSTRO.EUR.BRCC.003</t>
        </is>
      </c>
      <c r="M1598" t="inlineStr">
        <is>
          <t>Mallow Trust</t>
        </is>
      </c>
      <c r="N1598" t="inlineStr">
        <is>
          <t>BRCCCASH</t>
        </is>
      </c>
      <c r="O1598" t="inlineStr">
        <is>
          <t>NEW</t>
        </is>
      </c>
      <c r="Q1598" t="inlineStr">
        <is>
          <t>INTERNAL</t>
        </is>
      </c>
    </row>
    <row r="1599">
      <c r="A1599" t="inlineStr">
        <is>
          <t>700726936098</t>
        </is>
      </c>
      <c r="B1599" t="inlineStr">
        <is>
          <t>TCC</t>
        </is>
      </c>
      <c r="C1599" t="inlineStr">
        <is>
          <t>BRMD</t>
        </is>
      </c>
      <c r="D1599" s="6" t="n">
        <v>46253</v>
      </c>
      <c r="E1599" t="inlineStr">
        <is>
          <t>DR</t>
        </is>
      </c>
      <c r="F1599" t="inlineStr">
        <is>
          <t>SAR</t>
        </is>
      </c>
      <c r="G1599" s="7" t="n">
        <v>-522104297.525</v>
      </c>
      <c r="H1599" t="inlineStr">
        <is>
          <t>GBP</t>
        </is>
      </c>
      <c r="I1599" s="7" t="n">
        <v>-109119798.183</v>
      </c>
      <c r="J1599" s="8" t="n">
        <v>46253.64989583333</v>
      </c>
      <c r="K1599" t="inlineStr">
        <is>
          <t>CF260819 01593</t>
        </is>
      </c>
      <c r="L1599" t="inlineStr">
        <is>
          <t>GL.NOSTRO.SAR.BRMD.005</t>
        </is>
      </c>
      <c r="M1599" t="inlineStr">
        <is>
          <t>Ironbark Trust</t>
        </is>
      </c>
      <c r="N1599" t="inlineStr">
        <is>
          <t>BRMD</t>
        </is>
      </c>
      <c r="O1599" t="inlineStr">
        <is>
          <t>NEW</t>
        </is>
      </c>
      <c r="P1599" t="inlineStr">
        <is>
          <t>NT26081900665</t>
        </is>
      </c>
      <c r="Q1599" t="inlineStr">
        <is>
          <t>GROSS</t>
        </is>
      </c>
    </row>
    <row r="1600">
      <c r="A1600" t="inlineStr">
        <is>
          <t>499062838623</t>
        </is>
      </c>
      <c r="B1600" t="inlineStr">
        <is>
          <t>TCC</t>
        </is>
      </c>
      <c r="C1600" t="inlineStr">
        <is>
          <t>BRBX</t>
        </is>
      </c>
      <c r="D1600" s="6" t="n">
        <v>46253</v>
      </c>
      <c r="E1600" t="inlineStr">
        <is>
          <t>CR</t>
        </is>
      </c>
      <c r="F1600" t="inlineStr">
        <is>
          <t>USD</t>
        </is>
      </c>
      <c r="G1600" s="7" t="n">
        <v>2044135.165</v>
      </c>
      <c r="H1600" t="inlineStr">
        <is>
          <t>GBP</t>
        </is>
      </c>
      <c r="I1600" s="7" t="n">
        <v>1602601.969</v>
      </c>
      <c r="J1600" s="8" t="n">
        <v>46253.3483449074</v>
      </c>
      <c r="K1600" t="inlineStr">
        <is>
          <t>CF260819 01594</t>
        </is>
      </c>
      <c r="L1600" t="inlineStr">
        <is>
          <t>GL.NOSTRO.USD.BRBX.003</t>
        </is>
      </c>
      <c r="M1600" t="inlineStr">
        <is>
          <t>Juniper Settlement Bank</t>
        </is>
      </c>
      <c r="N1600" t="inlineStr">
        <is>
          <t>BRBXCASH</t>
        </is>
      </c>
      <c r="O1600" t="inlineStr">
        <is>
          <t>NEW</t>
        </is>
      </c>
      <c r="Q1600" t="inlineStr">
        <is>
          <t>INTERNAL</t>
        </is>
      </c>
    </row>
    <row r="1601">
      <c r="A1601" t="inlineStr">
        <is>
          <t>132544340094</t>
        </is>
      </c>
      <c r="B1601" t="inlineStr">
        <is>
          <t>TCX</t>
        </is>
      </c>
      <c r="C1601" t="inlineStr">
        <is>
          <t>BRYG</t>
        </is>
      </c>
      <c r="D1601" s="6" t="n">
        <v>46253</v>
      </c>
      <c r="E1601" t="inlineStr">
        <is>
          <t>CR</t>
        </is>
      </c>
      <c r="F1601" t="inlineStr">
        <is>
          <t>CZK</t>
        </is>
      </c>
      <c r="G1601" s="7" t="n">
        <v>435464245.146</v>
      </c>
      <c r="H1601" t="inlineStr">
        <is>
          <t>GBP</t>
        </is>
      </c>
      <c r="I1601" s="7" t="n">
        <v>14762237.91</v>
      </c>
      <c r="J1601" s="8" t="n">
        <v>46253.40429398148</v>
      </c>
      <c r="K1601" t="inlineStr">
        <is>
          <t>CF260819 01595</t>
        </is>
      </c>
      <c r="L1601" t="inlineStr">
        <is>
          <t>GL.NOSTRO.CZK.BRYG.007</t>
        </is>
      </c>
      <c r="M1601" t="inlineStr">
        <is>
          <t>Dunlin Clearing</t>
        </is>
      </c>
      <c r="N1601" t="inlineStr">
        <is>
          <t>BRYGCASH</t>
        </is>
      </c>
      <c r="O1601" t="inlineStr">
        <is>
          <t>NEW</t>
        </is>
      </c>
      <c r="P1601" t="inlineStr">
        <is>
          <t>NT26081900673</t>
        </is>
      </c>
      <c r="Q1601" t="inlineStr">
        <is>
          <t>NETTER</t>
        </is>
      </c>
    </row>
    <row r="1602">
      <c r="A1602" t="inlineStr">
        <is>
          <t>150316825069</t>
        </is>
      </c>
      <c r="B1602" t="inlineStr">
        <is>
          <t>TCP</t>
        </is>
      </c>
      <c r="C1602" t="inlineStr">
        <is>
          <t>BRGX</t>
        </is>
      </c>
      <c r="D1602" s="6" t="n">
        <v>46253</v>
      </c>
      <c r="E1602" t="inlineStr">
        <is>
          <t>CR</t>
        </is>
      </c>
      <c r="F1602" t="inlineStr">
        <is>
          <t>GBP</t>
        </is>
      </c>
      <c r="G1602" s="7" t="n">
        <v>566374912.123</v>
      </c>
      <c r="H1602" t="inlineStr">
        <is>
          <t>GBP</t>
        </is>
      </c>
      <c r="I1602" s="7" t="n">
        <v>566374912.123</v>
      </c>
      <c r="J1602" s="8" t="n">
        <v>46253.51652777778</v>
      </c>
      <c r="K1602" t="inlineStr">
        <is>
          <t>CF260819 01596</t>
        </is>
      </c>
      <c r="L1602" t="inlineStr">
        <is>
          <t>GL.NOSTRO.GBP.BRGX.004</t>
        </is>
      </c>
      <c r="M1602" t="inlineStr">
        <is>
          <t>Sablewood Bank</t>
        </is>
      </c>
      <c r="N1602" t="inlineStr">
        <is>
          <t>BRGX</t>
        </is>
      </c>
      <c r="O1602" t="inlineStr">
        <is>
          <t>NEW</t>
        </is>
      </c>
      <c r="P1602" t="inlineStr">
        <is>
          <t>NT26081900692</t>
        </is>
      </c>
      <c r="Q1602" t="inlineStr">
        <is>
          <t>NETTER</t>
        </is>
      </c>
    </row>
    <row r="1603">
      <c r="A1603" t="inlineStr">
        <is>
          <t>499062838623</t>
        </is>
      </c>
      <c r="B1603" t="inlineStr">
        <is>
          <t>TCG</t>
        </is>
      </c>
      <c r="C1603" t="inlineStr">
        <is>
          <t>BRBX</t>
        </is>
      </c>
      <c r="D1603" s="6" t="n">
        <v>46253</v>
      </c>
      <c r="E1603" t="inlineStr">
        <is>
          <t>DR</t>
        </is>
      </c>
      <c r="F1603" t="inlineStr">
        <is>
          <t>USD</t>
        </is>
      </c>
      <c r="G1603" s="7" t="n">
        <v>-3985505.899</v>
      </c>
      <c r="H1603" t="inlineStr">
        <is>
          <t>GBP</t>
        </is>
      </c>
      <c r="I1603" s="7" t="n">
        <v>-3124636.625</v>
      </c>
      <c r="J1603" s="8" t="n">
        <v>46253.54113425926</v>
      </c>
      <c r="K1603" t="inlineStr">
        <is>
          <t>CF260819 01597</t>
        </is>
      </c>
      <c r="L1603" t="inlineStr">
        <is>
          <t>GL.NOSTRO.USD.BRBX.005</t>
        </is>
      </c>
      <c r="M1603" t="inlineStr">
        <is>
          <t>Elmwood Clearing</t>
        </is>
      </c>
      <c r="N1603" t="inlineStr">
        <is>
          <t>BRBXCASH</t>
        </is>
      </c>
      <c r="O1603" t="inlineStr">
        <is>
          <t>NEW</t>
        </is>
      </c>
      <c r="P1603" t="inlineStr">
        <is>
          <t>NT26081900661</t>
        </is>
      </c>
      <c r="Q1603" t="inlineStr">
        <is>
          <t>NETTER</t>
        </is>
      </c>
    </row>
    <row r="1604">
      <c r="A1604" t="inlineStr">
        <is>
          <t>284925023085</t>
        </is>
      </c>
      <c r="B1604" t="inlineStr">
        <is>
          <t>TCP</t>
        </is>
      </c>
      <c r="C1604" t="inlineStr">
        <is>
          <t>BRMD</t>
        </is>
      </c>
      <c r="D1604" s="6" t="n">
        <v>46253</v>
      </c>
      <c r="E1604" t="inlineStr">
        <is>
          <t>DR</t>
        </is>
      </c>
      <c r="F1604" t="inlineStr">
        <is>
          <t>MXN</t>
        </is>
      </c>
      <c r="G1604" s="7" t="n">
        <v>-2384351.884</v>
      </c>
      <c r="H1604" t="inlineStr">
        <is>
          <t>GBP</t>
        </is>
      </c>
      <c r="I1604" s="7" t="n">
        <v>-102050.261</v>
      </c>
      <c r="J1604" s="8" t="n">
        <v>46253.51045138889</v>
      </c>
      <c r="K1604" t="inlineStr">
        <is>
          <t>CF260819 01598</t>
        </is>
      </c>
      <c r="L1604" t="inlineStr">
        <is>
          <t>GL.NOSTRO.MXN.BRMD.009</t>
        </is>
      </c>
      <c r="M1604" t="inlineStr">
        <is>
          <t>Umberton Commercial Bank</t>
        </is>
      </c>
      <c r="N1604" t="inlineStr">
        <is>
          <t>BRMD</t>
        </is>
      </c>
      <c r="O1604" t="inlineStr">
        <is>
          <t>NEW</t>
        </is>
      </c>
      <c r="P1604" t="inlineStr">
        <is>
          <t>NT26081900685</t>
        </is>
      </c>
      <c r="Q1604" t="inlineStr">
        <is>
          <t>NETTER</t>
        </is>
      </c>
    </row>
    <row r="1605">
      <c r="A1605" t="inlineStr">
        <is>
          <t>700726936098</t>
        </is>
      </c>
      <c r="B1605" t="inlineStr">
        <is>
          <t>TCG</t>
        </is>
      </c>
      <c r="C1605" t="inlineStr">
        <is>
          <t>BRMD</t>
        </is>
      </c>
      <c r="D1605" s="6" t="n">
        <v>46253</v>
      </c>
      <c r="E1605" t="inlineStr">
        <is>
          <t>CR</t>
        </is>
      </c>
      <c r="F1605" t="inlineStr">
        <is>
          <t>SAR</t>
        </is>
      </c>
      <c r="G1605" s="7" t="n">
        <v>18107053.618</v>
      </c>
      <c r="H1605" t="inlineStr">
        <is>
          <t>GBP</t>
        </is>
      </c>
      <c r="I1605" s="7" t="n">
        <v>3784374.206</v>
      </c>
      <c r="J1605" s="8" t="n">
        <v>46253.99024305555</v>
      </c>
      <c r="K1605" t="inlineStr">
        <is>
          <t>CF260819 01599</t>
        </is>
      </c>
      <c r="L1605" t="inlineStr">
        <is>
          <t>GL.NOSTRO.SAR.BRMD.009</t>
        </is>
      </c>
      <c r="M1605" t="inlineStr">
        <is>
          <t>Nightjar Trust</t>
        </is>
      </c>
      <c r="N1605" t="inlineStr">
        <is>
          <t>BRMD</t>
        </is>
      </c>
      <c r="O1605" t="inlineStr">
        <is>
          <t>NEW</t>
        </is>
      </c>
      <c r="Q1605" t="inlineStr">
        <is>
          <t>NETTER</t>
        </is>
      </c>
    </row>
    <row r="1606">
      <c r="A1606" t="inlineStr">
        <is>
          <t>927538182434</t>
        </is>
      </c>
      <c r="B1606" t="inlineStr">
        <is>
          <t>TCQ</t>
        </is>
      </c>
      <c r="C1606" t="inlineStr">
        <is>
          <t>BRNK</t>
        </is>
      </c>
      <c r="D1606" s="6" t="n">
        <v>46253</v>
      </c>
      <c r="E1606" t="inlineStr">
        <is>
          <t>CR</t>
        </is>
      </c>
      <c r="F1606" t="inlineStr">
        <is>
          <t>CNY</t>
        </is>
      </c>
      <c r="G1606" s="7" t="n">
        <v>148796908.78</v>
      </c>
      <c r="H1606" t="inlineStr">
        <is>
          <t>GBP</t>
        </is>
      </c>
      <c r="I1606" s="7" t="n">
        <v>16218863.057</v>
      </c>
      <c r="J1606" s="8" t="n">
        <v>46253.30341435185</v>
      </c>
      <c r="K1606" t="inlineStr">
        <is>
          <t>CF260819 01600</t>
        </is>
      </c>
      <c r="L1606" t="inlineStr">
        <is>
          <t>GL.NOSTRO.CNY.BRNK.004</t>
        </is>
      </c>
      <c r="M1606" t="inlineStr">
        <is>
          <t>Sablewood Clearing</t>
        </is>
      </c>
      <c r="N1606" t="inlineStr">
        <is>
          <t>BRNKTRSY</t>
        </is>
      </c>
      <c r="O1606" t="inlineStr">
        <is>
          <t>NEW</t>
        </is>
      </c>
      <c r="Q1606" t="inlineStr">
        <is>
          <t>NETTER</t>
        </is>
      </c>
    </row>
    <row r="1607">
      <c r="A1607" t="inlineStr">
        <is>
          <t>468341071172</t>
        </is>
      </c>
      <c r="B1607" t="inlineStr">
        <is>
          <t>TCX</t>
        </is>
      </c>
      <c r="C1607" t="inlineStr">
        <is>
          <t>BRCC</t>
        </is>
      </c>
      <c r="D1607" s="6" t="n">
        <v>46253</v>
      </c>
      <c r="E1607" t="inlineStr">
        <is>
          <t>DR</t>
        </is>
      </c>
      <c r="F1607" t="inlineStr">
        <is>
          <t>EUR</t>
        </is>
      </c>
      <c r="G1607" s="7" t="n">
        <v>-46421990.093</v>
      </c>
      <c r="H1607" t="inlineStr">
        <is>
          <t>GBP</t>
        </is>
      </c>
      <c r="I1607" s="7" t="n">
        <v>-39830067.5</v>
      </c>
      <c r="J1607" s="8" t="n">
        <v>46253.5744675926</v>
      </c>
      <c r="K1607" t="inlineStr">
        <is>
          <t>CF260819 01601</t>
        </is>
      </c>
      <c r="L1607" t="inlineStr">
        <is>
          <t>GL.NOSTRO.EUR.BRCC.009</t>
        </is>
      </c>
      <c r="M1607" t="inlineStr">
        <is>
          <t>Wrenfield Commercial Bank</t>
        </is>
      </c>
      <c r="N1607" t="inlineStr">
        <is>
          <t>BRCC</t>
        </is>
      </c>
      <c r="O1607" t="inlineStr">
        <is>
          <t>NEW</t>
        </is>
      </c>
      <c r="Q1607" t="inlineStr">
        <is>
          <t>NETTER</t>
        </is>
      </c>
    </row>
    <row r="1608">
      <c r="A1608" t="inlineStr">
        <is>
          <t>150316825069</t>
        </is>
      </c>
      <c r="B1608" t="inlineStr">
        <is>
          <t>TCG</t>
        </is>
      </c>
      <c r="C1608" t="inlineStr">
        <is>
          <t>BRGX</t>
        </is>
      </c>
      <c r="D1608" s="6" t="n">
        <v>46253</v>
      </c>
      <c r="E1608" t="inlineStr">
        <is>
          <t>CR</t>
        </is>
      </c>
      <c r="F1608" t="inlineStr">
        <is>
          <t>GBP</t>
        </is>
      </c>
      <c r="G1608" s="7" t="n">
        <v>861208805.529</v>
      </c>
      <c r="H1608" t="inlineStr">
        <is>
          <t>GBP</t>
        </is>
      </c>
      <c r="I1608" s="7" t="n">
        <v>861208805.529</v>
      </c>
      <c r="J1608" s="8" t="n">
        <v>46253.17795138889</v>
      </c>
      <c r="K1608" t="inlineStr">
        <is>
          <t>CF260819 01602</t>
        </is>
      </c>
      <c r="L1608" t="inlineStr">
        <is>
          <t>GL.NOSTRO.GBP.BRGX.009</t>
        </is>
      </c>
      <c r="M1608" t="inlineStr">
        <is>
          <t>Nightjar Bank</t>
        </is>
      </c>
      <c r="N1608" t="inlineStr">
        <is>
          <t>BRGXMM</t>
        </is>
      </c>
      <c r="O1608" t="inlineStr">
        <is>
          <t>NEW</t>
        </is>
      </c>
      <c r="P1608" t="inlineStr">
        <is>
          <t>NT26081900678</t>
        </is>
      </c>
      <c r="Q1608" t="inlineStr">
        <is>
          <t>GROSS</t>
        </is>
      </c>
    </row>
    <row r="1609">
      <c r="A1609" t="inlineStr">
        <is>
          <t>265771593142</t>
        </is>
      </c>
      <c r="B1609" t="inlineStr">
        <is>
          <t>TCX</t>
        </is>
      </c>
      <c r="C1609" t="inlineStr">
        <is>
          <t>BRYG</t>
        </is>
      </c>
      <c r="D1609" s="6" t="n">
        <v>46253</v>
      </c>
      <c r="E1609" t="inlineStr">
        <is>
          <t>DR</t>
        </is>
      </c>
      <c r="F1609" t="inlineStr">
        <is>
          <t>EUR</t>
        </is>
      </c>
      <c r="G1609" s="7" t="n">
        <v>-8417750.327</v>
      </c>
      <c r="H1609" t="inlineStr">
        <is>
          <t>GBP</t>
        </is>
      </c>
      <c r="I1609" s="7" t="n">
        <v>-7222429.781</v>
      </c>
      <c r="J1609" s="8" t="n">
        <v>46253.35758101852</v>
      </c>
      <c r="K1609" t="inlineStr">
        <is>
          <t>CF260819 01603</t>
        </is>
      </c>
      <c r="L1609" t="inlineStr">
        <is>
          <t>GL.NOSTRO.EUR.BRYG.004</t>
        </is>
      </c>
      <c r="M1609" t="inlineStr">
        <is>
          <t>Sablewood Clearing</t>
        </is>
      </c>
      <c r="N1609" t="inlineStr">
        <is>
          <t>BRYG</t>
        </is>
      </c>
      <c r="O1609" t="inlineStr">
        <is>
          <t>NEW</t>
        </is>
      </c>
      <c r="Q1609" t="inlineStr">
        <is>
          <t>NETTER</t>
        </is>
      </c>
    </row>
    <row r="1610">
      <c r="A1610" t="inlineStr">
        <is>
          <t>794226063698</t>
        </is>
      </c>
      <c r="B1610" t="inlineStr">
        <is>
          <t>TCP</t>
        </is>
      </c>
      <c r="C1610" t="inlineStr">
        <is>
          <t>BRMD</t>
        </is>
      </c>
      <c r="D1610" s="6" t="n">
        <v>46253</v>
      </c>
      <c r="E1610" t="inlineStr">
        <is>
          <t>DR</t>
        </is>
      </c>
      <c r="F1610" t="inlineStr">
        <is>
          <t>AED</t>
        </is>
      </c>
      <c r="G1610" s="7" t="n">
        <v>-126433453.244</v>
      </c>
      <c r="H1610" t="inlineStr">
        <is>
          <t>GBP</t>
        </is>
      </c>
      <c r="I1610" s="7" t="n">
        <v>-26930325.541</v>
      </c>
      <c r="J1610" s="8" t="n">
        <v>46253.31109953704</v>
      </c>
      <c r="K1610" t="inlineStr">
        <is>
          <t>CF260819 01604</t>
        </is>
      </c>
      <c r="L1610" t="inlineStr">
        <is>
          <t>GL.NOSTRO.AED.BRMD.002</t>
        </is>
      </c>
      <c r="M1610" t="inlineStr">
        <is>
          <t>Mallow Trust</t>
        </is>
      </c>
      <c r="N1610" t="inlineStr">
        <is>
          <t>BRMDMM</t>
        </is>
      </c>
      <c r="O1610" t="inlineStr">
        <is>
          <t>NEW</t>
        </is>
      </c>
      <c r="Q1610" t="inlineStr">
        <is>
          <t>NETTER</t>
        </is>
      </c>
    </row>
    <row r="1611">
      <c r="A1611" t="inlineStr">
        <is>
          <t>132544340094</t>
        </is>
      </c>
      <c r="B1611" t="inlineStr">
        <is>
          <t>TCX</t>
        </is>
      </c>
      <c r="C1611" t="inlineStr">
        <is>
          <t>BRYG</t>
        </is>
      </c>
      <c r="D1611" s="6" t="n">
        <v>46253</v>
      </c>
      <c r="E1611" t="inlineStr">
        <is>
          <t>CR</t>
        </is>
      </c>
      <c r="F1611" t="inlineStr">
        <is>
          <t>CZK</t>
        </is>
      </c>
      <c r="G1611" s="7" t="n">
        <v>38605170.879</v>
      </c>
      <c r="H1611" t="inlineStr">
        <is>
          <t>GBP</t>
        </is>
      </c>
      <c r="I1611" s="7" t="n">
        <v>1308715.293</v>
      </c>
      <c r="J1611" s="8" t="n">
        <v>46253.61486111111</v>
      </c>
      <c r="K1611" t="inlineStr">
        <is>
          <t>CF260819 01605</t>
        </is>
      </c>
      <c r="L1611" t="inlineStr">
        <is>
          <t>GL.NOSTRO.CZK.BRYG.004</t>
        </is>
      </c>
      <c r="M1611" t="inlineStr">
        <is>
          <t>Yarrow Commercial Bank</t>
        </is>
      </c>
      <c r="N1611" t="inlineStr">
        <is>
          <t>BRYGMM</t>
        </is>
      </c>
      <c r="O1611" t="inlineStr">
        <is>
          <t>NEW</t>
        </is>
      </c>
      <c r="P1611" t="inlineStr">
        <is>
          <t>NT26081900682</t>
        </is>
      </c>
      <c r="Q1611" t="inlineStr">
        <is>
          <t>GROSS</t>
        </is>
      </c>
    </row>
    <row r="1612">
      <c r="A1612" t="inlineStr">
        <is>
          <t>265771593142</t>
        </is>
      </c>
      <c r="B1612" t="inlineStr">
        <is>
          <t>TCQ</t>
        </is>
      </c>
      <c r="C1612" t="inlineStr">
        <is>
          <t>BRYG</t>
        </is>
      </c>
      <c r="D1612" s="6" t="n">
        <v>46253</v>
      </c>
      <c r="E1612" t="inlineStr">
        <is>
          <t>CR</t>
        </is>
      </c>
      <c r="F1612" t="inlineStr">
        <is>
          <t>EUR</t>
        </is>
      </c>
      <c r="G1612" s="7" t="n">
        <v>9444575.515000001</v>
      </c>
      <c r="H1612" t="inlineStr">
        <is>
          <t>GBP</t>
        </is>
      </c>
      <c r="I1612" s="7" t="n">
        <v>8103445.792</v>
      </c>
      <c r="J1612" s="8" t="n">
        <v>46253.40723379629</v>
      </c>
      <c r="K1612" t="inlineStr">
        <is>
          <t>CF260819 01606</t>
        </is>
      </c>
      <c r="L1612" t="inlineStr">
        <is>
          <t>GL.NOSTRO.EUR.BRYG.008</t>
        </is>
      </c>
      <c r="M1612" t="inlineStr">
        <is>
          <t>Mallow Trust</t>
        </is>
      </c>
      <c r="N1612" t="inlineStr">
        <is>
          <t>BRYGCASH</t>
        </is>
      </c>
      <c r="O1612" t="inlineStr">
        <is>
          <t>NEW</t>
        </is>
      </c>
      <c r="P1612" t="inlineStr">
        <is>
          <t>NT26081900684</t>
        </is>
      </c>
      <c r="Q1612" t="inlineStr">
        <is>
          <t>NETTER</t>
        </is>
      </c>
    </row>
    <row r="1613">
      <c r="A1613" t="inlineStr">
        <is>
          <t>359365220160</t>
        </is>
      </c>
      <c r="B1613" t="inlineStr">
        <is>
          <t>TCX</t>
        </is>
      </c>
      <c r="C1613" t="inlineStr">
        <is>
          <t>BRGX</t>
        </is>
      </c>
      <c r="D1613" s="6" t="n">
        <v>46253</v>
      </c>
      <c r="E1613" t="inlineStr">
        <is>
          <t>CR</t>
        </is>
      </c>
      <c r="F1613" t="inlineStr">
        <is>
          <t>EUR</t>
        </is>
      </c>
      <c r="G1613" s="7" t="n">
        <v>237510438.555</v>
      </c>
      <c r="H1613" t="inlineStr">
        <is>
          <t>GBP</t>
        </is>
      </c>
      <c r="I1613" s="7" t="n">
        <v>203783956.28</v>
      </c>
      <c r="J1613" s="8" t="n">
        <v>46253.60428240741</v>
      </c>
      <c r="K1613" t="inlineStr">
        <is>
          <t>CF260819 01607</t>
        </is>
      </c>
      <c r="L1613" t="inlineStr">
        <is>
          <t>GL.NOSTRO.EUR.BRGX.007</t>
        </is>
      </c>
      <c r="M1613" t="inlineStr">
        <is>
          <t>Pinehurst Settlement Bank</t>
        </is>
      </c>
      <c r="N1613" t="inlineStr">
        <is>
          <t>BRGX</t>
        </is>
      </c>
      <c r="O1613" t="inlineStr">
        <is>
          <t>NEW</t>
        </is>
      </c>
      <c r="Q1613" t="inlineStr">
        <is>
          <t>NETTER</t>
        </is>
      </c>
    </row>
    <row r="1614">
      <c r="A1614" t="inlineStr">
        <is>
          <t>499062838623</t>
        </is>
      </c>
      <c r="B1614" t="inlineStr">
        <is>
          <t>TCQ</t>
        </is>
      </c>
      <c r="C1614" t="inlineStr">
        <is>
          <t>BRBX</t>
        </is>
      </c>
      <c r="D1614" s="6" t="n">
        <v>46253</v>
      </c>
      <c r="E1614" t="inlineStr">
        <is>
          <t>CR</t>
        </is>
      </c>
      <c r="F1614" t="inlineStr">
        <is>
          <t>USD</t>
        </is>
      </c>
      <c r="G1614" s="7" t="n">
        <v>488366024.412</v>
      </c>
      <c r="H1614" t="inlineStr">
        <is>
          <t>GBP</t>
        </is>
      </c>
      <c r="I1614" s="7" t="n">
        <v>382878963.139</v>
      </c>
      <c r="J1614" s="8" t="n">
        <v>46253.32783564815</v>
      </c>
      <c r="K1614" t="inlineStr">
        <is>
          <t>CF260819 01608</t>
        </is>
      </c>
      <c r="L1614" t="inlineStr">
        <is>
          <t>GL.NOSTRO.USD.BRBX.004</t>
        </is>
      </c>
      <c r="M1614" t="inlineStr">
        <is>
          <t>Umberton Clearing</t>
        </is>
      </c>
      <c r="N1614" t="inlineStr">
        <is>
          <t>BRBXMM</t>
        </is>
      </c>
      <c r="O1614" t="inlineStr">
        <is>
          <t>NEW</t>
        </is>
      </c>
      <c r="P1614" t="inlineStr">
        <is>
          <t>NT26081900686</t>
        </is>
      </c>
      <c r="Q1614" t="inlineStr">
        <is>
          <t>NETTER</t>
        </is>
      </c>
    </row>
    <row r="1615">
      <c r="A1615" t="inlineStr">
        <is>
          <t>265771593142</t>
        </is>
      </c>
      <c r="B1615" t="inlineStr">
        <is>
          <t>TCQ</t>
        </is>
      </c>
      <c r="C1615" t="inlineStr">
        <is>
          <t>BRYG</t>
        </is>
      </c>
      <c r="D1615" s="6" t="n">
        <v>46253</v>
      </c>
      <c r="E1615" t="inlineStr">
        <is>
          <t>CR</t>
        </is>
      </c>
      <c r="F1615" t="inlineStr">
        <is>
          <t>EUR</t>
        </is>
      </c>
      <c r="G1615" s="7" t="n">
        <v>17360706.692</v>
      </c>
      <c r="H1615" t="inlineStr">
        <is>
          <t>GBP</t>
        </is>
      </c>
      <c r="I1615" s="7" t="n">
        <v>14895486.342</v>
      </c>
      <c r="J1615" s="8" t="n">
        <v>46253.47707175926</v>
      </c>
      <c r="K1615" t="inlineStr">
        <is>
          <t>CF260819 01609</t>
        </is>
      </c>
      <c r="L1615" t="inlineStr">
        <is>
          <t>GL.NOSTRO.EUR.BRYG.005</t>
        </is>
      </c>
      <c r="M1615" t="inlineStr">
        <is>
          <t>Cedar Commercial Bank</t>
        </is>
      </c>
      <c r="N1615" t="inlineStr">
        <is>
          <t>BRYGMM</t>
        </is>
      </c>
      <c r="O1615" t="inlineStr">
        <is>
          <t>NEW</t>
        </is>
      </c>
      <c r="Q1615" t="inlineStr">
        <is>
          <t>NETTER</t>
        </is>
      </c>
    </row>
    <row r="1616">
      <c r="A1616" t="inlineStr">
        <is>
          <t>359365220160</t>
        </is>
      </c>
      <c r="B1616" t="inlineStr">
        <is>
          <t>TCC</t>
        </is>
      </c>
      <c r="C1616" t="inlineStr">
        <is>
          <t>BRGX</t>
        </is>
      </c>
      <c r="D1616" s="6" t="n">
        <v>46253</v>
      </c>
      <c r="E1616" t="inlineStr">
        <is>
          <t>DR</t>
        </is>
      </c>
      <c r="F1616" t="inlineStr">
        <is>
          <t>EUR</t>
        </is>
      </c>
      <c r="G1616" s="7" t="n">
        <v>-4222668.982</v>
      </c>
      <c r="H1616" t="inlineStr">
        <is>
          <t>GBP</t>
        </is>
      </c>
      <c r="I1616" s="7" t="n">
        <v>-3623049.987</v>
      </c>
      <c r="J1616" s="8" t="n">
        <v>46253.71222222222</v>
      </c>
      <c r="K1616" t="inlineStr">
        <is>
          <t>CF260819 01610</t>
        </is>
      </c>
      <c r="L1616" t="inlineStr">
        <is>
          <t>GL.NOSTRO.EUR.BRGX.002</t>
        </is>
      </c>
      <c r="M1616" t="inlineStr">
        <is>
          <t>Umberton Clearing</t>
        </is>
      </c>
      <c r="N1616" t="inlineStr">
        <is>
          <t>BRGXTRSY</t>
        </is>
      </c>
      <c r="O1616" t="inlineStr">
        <is>
          <t>AMEND</t>
        </is>
      </c>
      <c r="P1616" t="inlineStr">
        <is>
          <t>NT26081900667</t>
        </is>
      </c>
      <c r="Q1616" t="inlineStr">
        <is>
          <t>INTERNAL</t>
        </is>
      </c>
    </row>
    <row r="1617">
      <c r="A1617" t="inlineStr">
        <is>
          <t>120047354818</t>
        </is>
      </c>
      <c r="B1617" t="inlineStr">
        <is>
          <t>TCC</t>
        </is>
      </c>
      <c r="C1617" t="inlineStr">
        <is>
          <t>BRNK</t>
        </is>
      </c>
      <c r="D1617" s="6" t="n">
        <v>46253</v>
      </c>
      <c r="E1617" t="inlineStr">
        <is>
          <t>DR</t>
        </is>
      </c>
      <c r="F1617" t="inlineStr">
        <is>
          <t>USD</t>
        </is>
      </c>
      <c r="G1617" s="7" t="n">
        <v>-65035.059</v>
      </c>
      <c r="H1617" t="inlineStr">
        <is>
          <t>GBP</t>
        </is>
      </c>
      <c r="I1617" s="7" t="n">
        <v>-50987.486</v>
      </c>
      <c r="J1617" s="8" t="n">
        <v>46253.60306712963</v>
      </c>
      <c r="K1617" t="inlineStr">
        <is>
          <t>CF260819 01611</t>
        </is>
      </c>
      <c r="L1617" t="inlineStr">
        <is>
          <t>GL.NOSTRO.USD.BRNK.008</t>
        </is>
      </c>
      <c r="M1617" t="inlineStr">
        <is>
          <t>Dunlin Trust</t>
        </is>
      </c>
      <c r="N1617" t="inlineStr">
        <is>
          <t>BRNK</t>
        </is>
      </c>
      <c r="O1617" t="inlineStr">
        <is>
          <t>NEW</t>
        </is>
      </c>
      <c r="Q1617" t="inlineStr">
        <is>
          <t>NETTER</t>
        </is>
      </c>
    </row>
    <row r="1618">
      <c r="A1618" t="inlineStr">
        <is>
          <t>898317028833</t>
        </is>
      </c>
      <c r="B1618" t="inlineStr">
        <is>
          <t>TCG</t>
        </is>
      </c>
      <c r="C1618" t="inlineStr">
        <is>
          <t>BRAA</t>
        </is>
      </c>
      <c r="D1618" s="6" t="n">
        <v>46253</v>
      </c>
      <c r="E1618" t="inlineStr">
        <is>
          <t>DR</t>
        </is>
      </c>
      <c r="F1618" t="inlineStr">
        <is>
          <t>GBP</t>
        </is>
      </c>
      <c r="G1618" s="7" t="n">
        <v>-56909.601</v>
      </c>
      <c r="H1618" t="inlineStr">
        <is>
          <t>GBP</t>
        </is>
      </c>
      <c r="I1618" s="7" t="n">
        <v>-56909.601</v>
      </c>
      <c r="J1618" s="8" t="n">
        <v>46253.65472222222</v>
      </c>
      <c r="K1618" t="inlineStr">
        <is>
          <t>CF260819 01612</t>
        </is>
      </c>
      <c r="L1618" t="inlineStr">
        <is>
          <t>GL.NOSTRO.GBP.BRAA.004</t>
        </is>
      </c>
      <c r="M1618" t="inlineStr">
        <is>
          <t>Alder Clearing</t>
        </is>
      </c>
      <c r="N1618" t="inlineStr">
        <is>
          <t>BRAACASH</t>
        </is>
      </c>
      <c r="O1618" t="inlineStr">
        <is>
          <t>NEW</t>
        </is>
      </c>
      <c r="Q1618" t="inlineStr">
        <is>
          <t>GROSS</t>
        </is>
      </c>
    </row>
    <row r="1619">
      <c r="A1619" t="inlineStr">
        <is>
          <t>927538182434</t>
        </is>
      </c>
      <c r="B1619" t="inlineStr">
        <is>
          <t>TCG</t>
        </is>
      </c>
      <c r="C1619" t="inlineStr">
        <is>
          <t>BRNK</t>
        </is>
      </c>
      <c r="D1619" s="6" t="n">
        <v>46253</v>
      </c>
      <c r="E1619" t="inlineStr">
        <is>
          <t>CR</t>
        </is>
      </c>
      <c r="F1619" t="inlineStr">
        <is>
          <t>CNY</t>
        </is>
      </c>
      <c r="G1619" s="7" t="n">
        <v>433462904.355</v>
      </c>
      <c r="H1619" t="inlineStr">
        <is>
          <t>GBP</t>
        </is>
      </c>
      <c r="I1619" s="7" t="n">
        <v>47247456.575</v>
      </c>
      <c r="J1619" s="8" t="n">
        <v>46253.26488425926</v>
      </c>
      <c r="K1619" t="inlineStr">
        <is>
          <t>CF260819 01613</t>
        </is>
      </c>
      <c r="L1619" t="inlineStr">
        <is>
          <t>GL.NOSTRO.CNY.BRNK.008</t>
        </is>
      </c>
      <c r="M1619" t="inlineStr">
        <is>
          <t>Pinehurst Settlement Bank</t>
        </is>
      </c>
      <c r="N1619" t="inlineStr">
        <is>
          <t>BRNKMM</t>
        </is>
      </c>
      <c r="O1619" t="inlineStr">
        <is>
          <t>NEW</t>
        </is>
      </c>
      <c r="P1619" t="inlineStr">
        <is>
          <t>NT26081900669</t>
        </is>
      </c>
      <c r="Q1619" t="inlineStr">
        <is>
          <t>NETTER</t>
        </is>
      </c>
    </row>
    <row r="1620">
      <c r="A1620" t="inlineStr">
        <is>
          <t>794226063698</t>
        </is>
      </c>
      <c r="B1620" t="inlineStr">
        <is>
          <t>TCP</t>
        </is>
      </c>
      <c r="C1620" t="inlineStr">
        <is>
          <t>BRMD</t>
        </is>
      </c>
      <c r="D1620" s="6" t="n">
        <v>46253</v>
      </c>
      <c r="E1620" t="inlineStr">
        <is>
          <t>CR</t>
        </is>
      </c>
      <c r="F1620" t="inlineStr">
        <is>
          <t>AED</t>
        </is>
      </c>
      <c r="G1620" s="7" t="n">
        <v>754471747.184</v>
      </c>
      <c r="H1620" t="inlineStr">
        <is>
          <t>GBP</t>
        </is>
      </c>
      <c r="I1620" s="7" t="n">
        <v>160702482.15</v>
      </c>
      <c r="J1620" s="8" t="n">
        <v>46253.7562962963</v>
      </c>
      <c r="K1620" t="inlineStr">
        <is>
          <t>CF260819 01614</t>
        </is>
      </c>
      <c r="L1620" t="inlineStr">
        <is>
          <t>GL.NOSTRO.AED.BRMD.005</t>
        </is>
      </c>
      <c r="M1620" t="inlineStr">
        <is>
          <t>Oriel Trust</t>
        </is>
      </c>
      <c r="N1620" t="inlineStr">
        <is>
          <t>BRMDMM</t>
        </is>
      </c>
      <c r="O1620" t="inlineStr">
        <is>
          <t>NEW</t>
        </is>
      </c>
      <c r="Q1620" t="inlineStr">
        <is>
          <t>INTERNAL</t>
        </is>
      </c>
    </row>
    <row r="1621">
      <c r="A1621" t="inlineStr">
        <is>
          <t>910703979141</t>
        </is>
      </c>
      <c r="B1621" t="inlineStr">
        <is>
          <t>TCG</t>
        </is>
      </c>
      <c r="C1621" t="inlineStr">
        <is>
          <t>BRCC</t>
        </is>
      </c>
      <c r="D1621" s="6" t="n">
        <v>46253</v>
      </c>
      <c r="E1621" t="inlineStr">
        <is>
          <t>DR</t>
        </is>
      </c>
      <c r="F1621" t="inlineStr">
        <is>
          <t>CHF</t>
        </is>
      </c>
      <c r="G1621" s="7" t="n">
        <v>-54065908.405</v>
      </c>
      <c r="H1621" t="inlineStr">
        <is>
          <t>GBP</t>
        </is>
      </c>
      <c r="I1621" s="7" t="n">
        <v>-48497119.839</v>
      </c>
      <c r="J1621" s="8" t="n">
        <v>46253.63075231481</v>
      </c>
      <c r="K1621" t="inlineStr">
        <is>
          <t>CF260819 01615</t>
        </is>
      </c>
      <c r="L1621" t="inlineStr">
        <is>
          <t>GL.NOSTRO.CHF.BRCC.005</t>
        </is>
      </c>
      <c r="M1621" t="inlineStr">
        <is>
          <t>Dunlin Trust</t>
        </is>
      </c>
      <c r="N1621" t="inlineStr">
        <is>
          <t>BRCCCASH</t>
        </is>
      </c>
      <c r="O1621" t="inlineStr">
        <is>
          <t>NEW</t>
        </is>
      </c>
      <c r="Q1621" t="inlineStr">
        <is>
          <t>NETTER</t>
        </is>
      </c>
    </row>
    <row r="1622">
      <c r="A1622" t="inlineStr">
        <is>
          <t>120047354818</t>
        </is>
      </c>
      <c r="B1622" t="inlineStr">
        <is>
          <t>TCQ</t>
        </is>
      </c>
      <c r="C1622" t="inlineStr">
        <is>
          <t>BRNK</t>
        </is>
      </c>
      <c r="D1622" s="6" t="n">
        <v>46253</v>
      </c>
      <c r="E1622" t="inlineStr">
        <is>
          <t>DR</t>
        </is>
      </c>
      <c r="F1622" t="inlineStr">
        <is>
          <t>USD</t>
        </is>
      </c>
      <c r="G1622" s="7" t="n">
        <v>-8367954.107</v>
      </c>
      <c r="H1622" t="inlineStr">
        <is>
          <t>GBP</t>
        </is>
      </c>
      <c r="I1622" s="7" t="n">
        <v>-6560476.02</v>
      </c>
      <c r="J1622" s="8" t="n">
        <v>46253.63328703704</v>
      </c>
      <c r="K1622" t="inlineStr">
        <is>
          <t>CF260819 01616</t>
        </is>
      </c>
      <c r="L1622" t="inlineStr">
        <is>
          <t>GL.NOSTRO.USD.BRNK.002</t>
        </is>
      </c>
      <c r="M1622" t="inlineStr">
        <is>
          <t>Zephyr Bank</t>
        </is>
      </c>
      <c r="N1622" t="inlineStr">
        <is>
          <t>BRNKTRSY</t>
        </is>
      </c>
      <c r="O1622" t="inlineStr">
        <is>
          <t>NEW</t>
        </is>
      </c>
      <c r="P1622" t="inlineStr">
        <is>
          <t>NT26081900657</t>
        </is>
      </c>
      <c r="Q1622" t="inlineStr">
        <is>
          <t>GROSS</t>
        </is>
      </c>
    </row>
    <row r="1623">
      <c r="A1623" t="inlineStr">
        <is>
          <t>150316825069</t>
        </is>
      </c>
      <c r="B1623" t="inlineStr">
        <is>
          <t>TCX</t>
        </is>
      </c>
      <c r="C1623" t="inlineStr">
        <is>
          <t>BRGX</t>
        </is>
      </c>
      <c r="D1623" s="6" t="n">
        <v>46253</v>
      </c>
      <c r="E1623" t="inlineStr">
        <is>
          <t>DR</t>
        </is>
      </c>
      <c r="F1623" t="inlineStr">
        <is>
          <t>GBP</t>
        </is>
      </c>
      <c r="G1623" s="7" t="n">
        <v>-33917021.407</v>
      </c>
      <c r="H1623" t="inlineStr">
        <is>
          <t>GBP</t>
        </is>
      </c>
      <c r="I1623" s="7" t="n">
        <v>-33917021.407</v>
      </c>
      <c r="J1623" s="8" t="n">
        <v>46253.61583333334</v>
      </c>
      <c r="K1623" t="inlineStr">
        <is>
          <t>CF260819 01617</t>
        </is>
      </c>
      <c r="L1623" t="inlineStr">
        <is>
          <t>GL.NOSTRO.GBP.BRGX.005</t>
        </is>
      </c>
      <c r="M1623" t="inlineStr">
        <is>
          <t>Mallow Clearing</t>
        </is>
      </c>
      <c r="N1623" t="inlineStr">
        <is>
          <t>BRGXMM</t>
        </is>
      </c>
      <c r="O1623" t="inlineStr">
        <is>
          <t>NEW</t>
        </is>
      </c>
      <c r="P1623" t="inlineStr">
        <is>
          <t>NT26081900676</t>
        </is>
      </c>
      <c r="Q1623" t="inlineStr">
        <is>
          <t>GROSS</t>
        </is>
      </c>
    </row>
    <row r="1624">
      <c r="A1624" t="inlineStr">
        <is>
          <t>910703979141</t>
        </is>
      </c>
      <c r="B1624" t="inlineStr">
        <is>
          <t>TCQ</t>
        </is>
      </c>
      <c r="C1624" t="inlineStr">
        <is>
          <t>BRCC</t>
        </is>
      </c>
      <c r="D1624" s="6" t="n">
        <v>46253</v>
      </c>
      <c r="E1624" t="inlineStr">
        <is>
          <t>CR</t>
        </is>
      </c>
      <c r="F1624" t="inlineStr">
        <is>
          <t>CHF</t>
        </is>
      </c>
      <c r="G1624" s="7" t="n">
        <v>1339573.317</v>
      </c>
      <c r="H1624" t="inlineStr">
        <is>
          <t>GBP</t>
        </is>
      </c>
      <c r="I1624" s="7" t="n">
        <v>1201597.265</v>
      </c>
      <c r="J1624" s="8" t="n">
        <v>46253.61590277778</v>
      </c>
      <c r="K1624" t="inlineStr">
        <is>
          <t>CF260819 01618</t>
        </is>
      </c>
      <c r="L1624" t="inlineStr">
        <is>
          <t>GL.NOSTRO.CHF.BRCC.009</t>
        </is>
      </c>
      <c r="M1624" t="inlineStr">
        <is>
          <t>Umberton Clearing</t>
        </is>
      </c>
      <c r="N1624" t="inlineStr">
        <is>
          <t>BRCCTRSY</t>
        </is>
      </c>
      <c r="O1624" t="inlineStr">
        <is>
          <t>NEW</t>
        </is>
      </c>
      <c r="P1624" t="inlineStr">
        <is>
          <t>NT26081900687</t>
        </is>
      </c>
      <c r="Q1624" t="inlineStr">
        <is>
          <t>NETTER</t>
        </is>
      </c>
    </row>
    <row r="1625">
      <c r="A1625" t="inlineStr">
        <is>
          <t>150316825069</t>
        </is>
      </c>
      <c r="B1625" t="inlineStr">
        <is>
          <t>TCC</t>
        </is>
      </c>
      <c r="C1625" t="inlineStr">
        <is>
          <t>BRGX</t>
        </is>
      </c>
      <c r="D1625" s="6" t="n">
        <v>46253</v>
      </c>
      <c r="E1625" t="inlineStr">
        <is>
          <t>DR</t>
        </is>
      </c>
      <c r="F1625" t="inlineStr">
        <is>
          <t>GBP</t>
        </is>
      </c>
      <c r="G1625" s="7" t="n">
        <v>-317088.945</v>
      </c>
      <c r="H1625" t="inlineStr">
        <is>
          <t>GBP</t>
        </is>
      </c>
      <c r="I1625" s="7" t="n">
        <v>-317088.945</v>
      </c>
      <c r="J1625" s="8" t="n">
        <v>46253.31584490741</v>
      </c>
      <c r="K1625" t="inlineStr">
        <is>
          <t>CF260819 01619</t>
        </is>
      </c>
      <c r="L1625" t="inlineStr">
        <is>
          <t>GL.NOSTRO.GBP.BRGX.001</t>
        </is>
      </c>
      <c r="M1625" t="inlineStr">
        <is>
          <t>Pinehurst Clearing</t>
        </is>
      </c>
      <c r="N1625" t="inlineStr">
        <is>
          <t>BRGX</t>
        </is>
      </c>
      <c r="O1625" t="inlineStr">
        <is>
          <t>NEW</t>
        </is>
      </c>
      <c r="P1625" t="inlineStr">
        <is>
          <t>NT26081900688</t>
        </is>
      </c>
      <c r="Q1625" t="inlineStr">
        <is>
          <t>NETTER</t>
        </is>
      </c>
    </row>
    <row r="1626">
      <c r="A1626" t="inlineStr">
        <is>
          <t>910703979141</t>
        </is>
      </c>
      <c r="B1626" t="inlineStr">
        <is>
          <t>TCC</t>
        </is>
      </c>
      <c r="C1626" t="inlineStr">
        <is>
          <t>BRCC</t>
        </is>
      </c>
      <c r="D1626" s="6" t="n">
        <v>46253</v>
      </c>
      <c r="E1626" t="inlineStr">
        <is>
          <t>DR</t>
        </is>
      </c>
      <c r="F1626" t="inlineStr">
        <is>
          <t>CHF</t>
        </is>
      </c>
      <c r="G1626" s="7" t="n">
        <v>-190815.885</v>
      </c>
      <c r="H1626" t="inlineStr">
        <is>
          <t>GBP</t>
        </is>
      </c>
      <c r="I1626" s="7" t="n">
        <v>-171161.849</v>
      </c>
      <c r="J1626" s="8" t="n">
        <v>46253.66613425926</v>
      </c>
      <c r="K1626" t="inlineStr">
        <is>
          <t>CF260819 01620</t>
        </is>
      </c>
      <c r="L1626" t="inlineStr">
        <is>
          <t>GL.NOSTRO.CHF.BRCC.002</t>
        </is>
      </c>
      <c r="M1626" t="inlineStr">
        <is>
          <t>Pinehurst Clearing</t>
        </is>
      </c>
      <c r="N1626" t="inlineStr">
        <is>
          <t>BRCCMM</t>
        </is>
      </c>
      <c r="O1626" t="inlineStr">
        <is>
          <t>NEW</t>
        </is>
      </c>
      <c r="Q1626" t="inlineStr">
        <is>
          <t>INTERNAL</t>
        </is>
      </c>
    </row>
    <row r="1627">
      <c r="A1627" t="inlineStr">
        <is>
          <t>499062838623</t>
        </is>
      </c>
      <c r="B1627" t="inlineStr">
        <is>
          <t>TCG</t>
        </is>
      </c>
      <c r="C1627" t="inlineStr">
        <is>
          <t>BRBX</t>
        </is>
      </c>
      <c r="D1627" s="6" t="n">
        <v>46253</v>
      </c>
      <c r="E1627" t="inlineStr">
        <is>
          <t>DR</t>
        </is>
      </c>
      <c r="F1627" t="inlineStr">
        <is>
          <t>USD</t>
        </is>
      </c>
      <c r="G1627" s="7" t="n">
        <v>-44788489.207</v>
      </c>
      <c r="H1627" t="inlineStr">
        <is>
          <t>GBP</t>
        </is>
      </c>
      <c r="I1627" s="7" t="n">
        <v>-35114175.538</v>
      </c>
      <c r="J1627" s="8" t="n">
        <v>46253.46038194445</v>
      </c>
      <c r="K1627" t="inlineStr">
        <is>
          <t>CF260819 01621</t>
        </is>
      </c>
      <c r="L1627" t="inlineStr">
        <is>
          <t>GL.NOSTRO.USD.BRBX.001</t>
        </is>
      </c>
      <c r="M1627" t="inlineStr">
        <is>
          <t>Redstart Commercial Bank</t>
        </is>
      </c>
      <c r="N1627" t="inlineStr">
        <is>
          <t>BRBXTRSY</t>
        </is>
      </c>
      <c r="O1627" t="inlineStr">
        <is>
          <t>CANCEL</t>
        </is>
      </c>
      <c r="P1627" t="inlineStr">
        <is>
          <t>NT26081900688</t>
        </is>
      </c>
      <c r="Q1627" t="inlineStr">
        <is>
          <t>NETTER</t>
        </is>
      </c>
    </row>
    <row r="1628">
      <c r="A1628" t="inlineStr">
        <is>
          <t>968942362772</t>
        </is>
      </c>
      <c r="B1628" t="inlineStr">
        <is>
          <t>TCC</t>
        </is>
      </c>
      <c r="C1628" t="inlineStr">
        <is>
          <t>BRYG</t>
        </is>
      </c>
      <c r="D1628" s="6" t="n">
        <v>46253</v>
      </c>
      <c r="E1628" t="inlineStr">
        <is>
          <t>CR</t>
        </is>
      </c>
      <c r="F1628" t="inlineStr">
        <is>
          <t>EUR</t>
        </is>
      </c>
      <c r="G1628" s="7" t="n">
        <v>1693613.015</v>
      </c>
      <c r="H1628" t="inlineStr">
        <is>
          <t>GBP</t>
        </is>
      </c>
      <c r="I1628" s="7" t="n">
        <v>1453119.967</v>
      </c>
      <c r="J1628" s="8" t="n">
        <v>46253.45142361111</v>
      </c>
      <c r="K1628" t="inlineStr">
        <is>
          <t>CF260819 01622</t>
        </is>
      </c>
      <c r="L1628" t="inlineStr">
        <is>
          <t>GL.NOSTRO.EUR.BRYG.002</t>
        </is>
      </c>
      <c r="M1628" t="inlineStr">
        <is>
          <t>Ironbark Commercial Bank</t>
        </is>
      </c>
      <c r="N1628" t="inlineStr">
        <is>
          <t>BRYGMM</t>
        </is>
      </c>
      <c r="O1628" t="inlineStr">
        <is>
          <t>NEW</t>
        </is>
      </c>
      <c r="Q1628" t="inlineStr">
        <is>
          <t>INTERNAL</t>
        </is>
      </c>
    </row>
    <row r="1629">
      <c r="A1629" t="inlineStr">
        <is>
          <t>171857983160</t>
        </is>
      </c>
      <c r="B1629" t="inlineStr">
        <is>
          <t>TCC</t>
        </is>
      </c>
      <c r="C1629" t="inlineStr">
        <is>
          <t>BRBX</t>
        </is>
      </c>
      <c r="D1629" s="6" t="n">
        <v>46253</v>
      </c>
      <c r="E1629" t="inlineStr">
        <is>
          <t>CR</t>
        </is>
      </c>
      <c r="F1629" t="inlineStr">
        <is>
          <t>AUD</t>
        </is>
      </c>
      <c r="G1629" s="7" t="n">
        <v>49609703.925</v>
      </c>
      <c r="H1629" t="inlineStr">
        <is>
          <t>GBP</t>
        </is>
      </c>
      <c r="I1629" s="7" t="n">
        <v>25449778.114</v>
      </c>
      <c r="J1629" s="8" t="n">
        <v>46253.63229166667</v>
      </c>
      <c r="K1629" t="inlineStr">
        <is>
          <t>CF260819 01623</t>
        </is>
      </c>
      <c r="L1629" t="inlineStr">
        <is>
          <t>GL.NOSTRO.AUD.BRBX.006</t>
        </is>
      </c>
      <c r="M1629" t="inlineStr">
        <is>
          <t>Yarrow Commercial Bank</t>
        </is>
      </c>
      <c r="N1629" t="inlineStr">
        <is>
          <t>BRBXMM</t>
        </is>
      </c>
      <c r="O1629" t="inlineStr">
        <is>
          <t>AMEND</t>
        </is>
      </c>
      <c r="P1629" t="inlineStr">
        <is>
          <t>NT26081900661</t>
        </is>
      </c>
      <c r="Q1629" t="inlineStr">
        <is>
          <t>INTERNAL</t>
        </is>
      </c>
    </row>
    <row r="1630">
      <c r="A1630" t="inlineStr">
        <is>
          <t>150316825069</t>
        </is>
      </c>
      <c r="B1630" t="inlineStr">
        <is>
          <t>TCP</t>
        </is>
      </c>
      <c r="C1630" t="inlineStr">
        <is>
          <t>BRGX</t>
        </is>
      </c>
      <c r="D1630" s="6" t="n">
        <v>46253</v>
      </c>
      <c r="E1630" t="inlineStr">
        <is>
          <t>DR</t>
        </is>
      </c>
      <c r="F1630" t="inlineStr">
        <is>
          <t>GBP</t>
        </is>
      </c>
      <c r="G1630" s="7" t="n">
        <v>-287163.189</v>
      </c>
      <c r="H1630" t="inlineStr">
        <is>
          <t>GBP</t>
        </is>
      </c>
      <c r="I1630" s="7" t="n">
        <v>-287163.189</v>
      </c>
      <c r="J1630" s="8" t="n">
        <v>46253.57957175926</v>
      </c>
      <c r="K1630" t="inlineStr">
        <is>
          <t>CF260819 01624</t>
        </is>
      </c>
      <c r="L1630" t="inlineStr">
        <is>
          <t>GL.NOSTRO.GBP.BRGX.009</t>
        </is>
      </c>
      <c r="M1630" t="inlineStr">
        <is>
          <t>Granite Bank</t>
        </is>
      </c>
      <c r="N1630" t="inlineStr">
        <is>
          <t>BRGX</t>
        </is>
      </c>
      <c r="O1630" t="inlineStr">
        <is>
          <t>NEW</t>
        </is>
      </c>
      <c r="P1630" t="inlineStr">
        <is>
          <t>NT26081900662</t>
        </is>
      </c>
      <c r="Q1630" t="inlineStr">
        <is>
          <t>GROSS</t>
        </is>
      </c>
    </row>
    <row r="1631">
      <c r="A1631" t="inlineStr">
        <is>
          <t>150316825069</t>
        </is>
      </c>
      <c r="B1631" t="inlineStr">
        <is>
          <t>TCQ</t>
        </is>
      </c>
      <c r="C1631" t="inlineStr">
        <is>
          <t>BRGX</t>
        </is>
      </c>
      <c r="D1631" s="6" t="n">
        <v>46253</v>
      </c>
      <c r="E1631" t="inlineStr">
        <is>
          <t>DR</t>
        </is>
      </c>
      <c r="F1631" t="inlineStr">
        <is>
          <t>GBP</t>
        </is>
      </c>
      <c r="G1631" s="7" t="n">
        <v>-6490007.331</v>
      </c>
      <c r="H1631" t="inlineStr">
        <is>
          <t>GBP</t>
        </is>
      </c>
      <c r="I1631" s="7" t="n">
        <v>-6490007.331</v>
      </c>
      <c r="J1631" s="8" t="n">
        <v>46253.54657407408</v>
      </c>
      <c r="K1631" t="inlineStr">
        <is>
          <t>CF260819 01625</t>
        </is>
      </c>
      <c r="L1631" t="inlineStr">
        <is>
          <t>GL.NOSTRO.GBP.BRGX.001</t>
        </is>
      </c>
      <c r="M1631" t="inlineStr">
        <is>
          <t>Nightjar Trust</t>
        </is>
      </c>
      <c r="N1631" t="inlineStr">
        <is>
          <t>BRGXMM</t>
        </is>
      </c>
      <c r="O1631" t="inlineStr">
        <is>
          <t>NEW</t>
        </is>
      </c>
      <c r="P1631" t="inlineStr">
        <is>
          <t>NT26081900662</t>
        </is>
      </c>
      <c r="Q1631" t="inlineStr">
        <is>
          <t>NETTER</t>
        </is>
      </c>
    </row>
    <row r="1632">
      <c r="A1632" t="inlineStr">
        <is>
          <t>132544340094</t>
        </is>
      </c>
      <c r="B1632" t="inlineStr">
        <is>
          <t>TCQ</t>
        </is>
      </c>
      <c r="C1632" t="inlineStr">
        <is>
          <t>BRYG</t>
        </is>
      </c>
      <c r="D1632" s="6" t="n">
        <v>46253</v>
      </c>
      <c r="E1632" t="inlineStr">
        <is>
          <t>DR</t>
        </is>
      </c>
      <c r="F1632" t="inlineStr">
        <is>
          <t>CZK</t>
        </is>
      </c>
      <c r="G1632" s="7" t="n">
        <v>-10161822.424</v>
      </c>
      <c r="H1632" t="inlineStr">
        <is>
          <t>GBP</t>
        </is>
      </c>
      <c r="I1632" s="7" t="n">
        <v>-344485.78</v>
      </c>
      <c r="J1632" s="8" t="n">
        <v>46253.40793981482</v>
      </c>
      <c r="K1632" t="inlineStr">
        <is>
          <t>CF260819 01626</t>
        </is>
      </c>
      <c r="L1632" t="inlineStr">
        <is>
          <t>GL.NOSTRO.CZK.BRYG.007</t>
        </is>
      </c>
      <c r="M1632" t="inlineStr">
        <is>
          <t>Nightjar Trust</t>
        </is>
      </c>
      <c r="N1632" t="inlineStr">
        <is>
          <t>BRYGMM</t>
        </is>
      </c>
      <c r="O1632" t="inlineStr">
        <is>
          <t>NEW</t>
        </is>
      </c>
      <c r="Q1632" t="inlineStr">
        <is>
          <t>GROSS</t>
        </is>
      </c>
    </row>
    <row r="1633">
      <c r="A1633" t="inlineStr">
        <is>
          <t>824840705580</t>
        </is>
      </c>
      <c r="B1633" t="inlineStr">
        <is>
          <t>TCC</t>
        </is>
      </c>
      <c r="C1633" t="inlineStr">
        <is>
          <t>BRGL</t>
        </is>
      </c>
      <c r="D1633" s="6" t="n">
        <v>46253</v>
      </c>
      <c r="E1633" t="inlineStr">
        <is>
          <t>DR</t>
        </is>
      </c>
      <c r="F1633" t="inlineStr">
        <is>
          <t>EUR</t>
        </is>
      </c>
      <c r="G1633" s="7" t="n">
        <v>-9543498.442</v>
      </c>
      <c r="H1633" t="inlineStr">
        <is>
          <t>GBP</t>
        </is>
      </c>
      <c r="I1633" s="7" t="n">
        <v>-8188321.663</v>
      </c>
      <c r="J1633" s="8" t="n">
        <v>46253.63949074074</v>
      </c>
      <c r="K1633" t="inlineStr">
        <is>
          <t>CF260819 01627</t>
        </is>
      </c>
      <c r="L1633" t="inlineStr">
        <is>
          <t>GL.NOSTRO.EUR.BRGL.006</t>
        </is>
      </c>
      <c r="M1633" t="inlineStr">
        <is>
          <t>Alder Clearing</t>
        </is>
      </c>
      <c r="N1633" t="inlineStr">
        <is>
          <t>BRGLMM</t>
        </is>
      </c>
      <c r="O1633" t="inlineStr">
        <is>
          <t>NEW</t>
        </is>
      </c>
      <c r="P1633" t="inlineStr">
        <is>
          <t>NT26081900671</t>
        </is>
      </c>
      <c r="Q1633" t="inlineStr">
        <is>
          <t>NETTER</t>
        </is>
      </c>
    </row>
    <row r="1634">
      <c r="A1634" t="inlineStr">
        <is>
          <t>794226063698</t>
        </is>
      </c>
      <c r="B1634" t="inlineStr">
        <is>
          <t>TCC</t>
        </is>
      </c>
      <c r="C1634" t="inlineStr">
        <is>
          <t>BRMD</t>
        </is>
      </c>
      <c r="D1634" s="6" t="n">
        <v>46253</v>
      </c>
      <c r="E1634" t="inlineStr">
        <is>
          <t>CR</t>
        </is>
      </c>
      <c r="F1634" t="inlineStr">
        <is>
          <t>AED</t>
        </is>
      </c>
      <c r="G1634" s="7" t="n">
        <v>409105788.016</v>
      </c>
      <c r="H1634" t="inlineStr">
        <is>
          <t>GBP</t>
        </is>
      </c>
      <c r="I1634" s="7" t="n">
        <v>87139532.847</v>
      </c>
      <c r="J1634" s="8" t="n">
        <v>46253.62217592593</v>
      </c>
      <c r="K1634" t="inlineStr">
        <is>
          <t>CF260819 01628</t>
        </is>
      </c>
      <c r="L1634" t="inlineStr">
        <is>
          <t>GL.NOSTRO.AED.BRMD.005</t>
        </is>
      </c>
      <c r="M1634" t="inlineStr">
        <is>
          <t>Redstart Commercial Bank</t>
        </is>
      </c>
      <c r="N1634" t="inlineStr">
        <is>
          <t>BRMDMM</t>
        </is>
      </c>
      <c r="O1634" t="inlineStr">
        <is>
          <t>NEW</t>
        </is>
      </c>
      <c r="Q1634" t="inlineStr">
        <is>
          <t>GROSS</t>
        </is>
      </c>
    </row>
    <row r="1635">
      <c r="A1635" t="inlineStr">
        <is>
          <t>265771593142</t>
        </is>
      </c>
      <c r="B1635" t="inlineStr">
        <is>
          <t>TCQ</t>
        </is>
      </c>
      <c r="C1635" t="inlineStr">
        <is>
          <t>BRYG</t>
        </is>
      </c>
      <c r="D1635" s="6" t="n">
        <v>46253</v>
      </c>
      <c r="E1635" t="inlineStr">
        <is>
          <t>DR</t>
        </is>
      </c>
      <c r="F1635" t="inlineStr">
        <is>
          <t>EUR</t>
        </is>
      </c>
      <c r="G1635" s="7" t="n">
        <v>-882700137.262</v>
      </c>
      <c r="H1635" t="inlineStr">
        <is>
          <t>GBP</t>
        </is>
      </c>
      <c r="I1635" s="7" t="n">
        <v>-757356717.771</v>
      </c>
      <c r="J1635" s="8" t="n">
        <v>46253.57957175926</v>
      </c>
      <c r="K1635" t="inlineStr">
        <is>
          <t>CF260819 01629</t>
        </is>
      </c>
      <c r="L1635" t="inlineStr">
        <is>
          <t>GL.NOSTRO.EUR.BRYG.007</t>
        </is>
      </c>
      <c r="M1635" t="inlineStr">
        <is>
          <t>Umberton Clearing</t>
        </is>
      </c>
      <c r="N1635" t="inlineStr">
        <is>
          <t>BRYG</t>
        </is>
      </c>
      <c r="O1635" t="inlineStr">
        <is>
          <t>NEW</t>
        </is>
      </c>
      <c r="Q1635" t="inlineStr">
        <is>
          <t>GROSS</t>
        </is>
      </c>
    </row>
    <row r="1636">
      <c r="A1636" t="inlineStr">
        <is>
          <t>150316825069</t>
        </is>
      </c>
      <c r="B1636" t="inlineStr">
        <is>
          <t>TCQ</t>
        </is>
      </c>
      <c r="C1636" t="inlineStr">
        <is>
          <t>BRGX</t>
        </is>
      </c>
      <c r="D1636" s="6" t="n">
        <v>46253</v>
      </c>
      <c r="E1636" t="inlineStr">
        <is>
          <t>DR</t>
        </is>
      </c>
      <c r="F1636" t="inlineStr">
        <is>
          <t>GBP</t>
        </is>
      </c>
      <c r="G1636" s="7" t="n">
        <v>-214254524.201</v>
      </c>
      <c r="H1636" t="inlineStr">
        <is>
          <t>GBP</t>
        </is>
      </c>
      <c r="I1636" s="7" t="n">
        <v>-214254524.201</v>
      </c>
      <c r="J1636" s="8" t="n">
        <v>46253.77001157407</v>
      </c>
      <c r="K1636" t="inlineStr">
        <is>
          <t>CF260819 01630</t>
        </is>
      </c>
      <c r="L1636" t="inlineStr">
        <is>
          <t>GL.NOSTRO.GBP.BRGX.009</t>
        </is>
      </c>
      <c r="M1636" t="inlineStr">
        <is>
          <t>Redstart Trust</t>
        </is>
      </c>
      <c r="N1636" t="inlineStr">
        <is>
          <t>BRGX</t>
        </is>
      </c>
      <c r="O1636" t="inlineStr">
        <is>
          <t>NEW</t>
        </is>
      </c>
      <c r="Q1636" t="inlineStr">
        <is>
          <t>NETTER</t>
        </is>
      </c>
    </row>
    <row r="1637">
      <c r="A1637" t="inlineStr">
        <is>
          <t>171857983160</t>
        </is>
      </c>
      <c r="B1637" t="inlineStr">
        <is>
          <t>TCQ</t>
        </is>
      </c>
      <c r="C1637" t="inlineStr">
        <is>
          <t>BRBX</t>
        </is>
      </c>
      <c r="D1637" s="6" t="n">
        <v>46253</v>
      </c>
      <c r="E1637" t="inlineStr">
        <is>
          <t>DR</t>
        </is>
      </c>
      <c r="F1637" t="inlineStr">
        <is>
          <t>AUD</t>
        </is>
      </c>
      <c r="G1637" s="7" t="n">
        <v>-690704199.5470001</v>
      </c>
      <c r="H1637" t="inlineStr">
        <is>
          <t>GBP</t>
        </is>
      </c>
      <c r="I1637" s="7" t="n">
        <v>-354331254.368</v>
      </c>
      <c r="J1637" s="8" t="n">
        <v>46253.62767361111</v>
      </c>
      <c r="K1637" t="inlineStr">
        <is>
          <t>CF260819 01631</t>
        </is>
      </c>
      <c r="L1637" t="inlineStr">
        <is>
          <t>GL.NOSTRO.AUD.BRBX.003</t>
        </is>
      </c>
      <c r="M1637" t="inlineStr">
        <is>
          <t>Pinehurst Bank</t>
        </is>
      </c>
      <c r="N1637" t="inlineStr">
        <is>
          <t>BRBXMM</t>
        </is>
      </c>
      <c r="O1637" t="inlineStr">
        <is>
          <t>NEW</t>
        </is>
      </c>
      <c r="Q1637" t="inlineStr">
        <is>
          <t>GROSS</t>
        </is>
      </c>
    </row>
    <row r="1638">
      <c r="A1638" t="inlineStr">
        <is>
          <t>468341071172</t>
        </is>
      </c>
      <c r="B1638" t="inlineStr">
        <is>
          <t>TCX</t>
        </is>
      </c>
      <c r="C1638" t="inlineStr">
        <is>
          <t>BRCC</t>
        </is>
      </c>
      <c r="D1638" s="6" t="n">
        <v>46253</v>
      </c>
      <c r="E1638" t="inlineStr">
        <is>
          <t>CR</t>
        </is>
      </c>
      <c r="F1638" t="inlineStr">
        <is>
          <t>EUR</t>
        </is>
      </c>
      <c r="G1638" s="7" t="n">
        <v>2695655.918</v>
      </c>
      <c r="H1638" t="inlineStr">
        <is>
          <t>GBP</t>
        </is>
      </c>
      <c r="I1638" s="7" t="n">
        <v>2312872.778</v>
      </c>
      <c r="J1638" s="8" t="n">
        <v>46253.71628472222</v>
      </c>
      <c r="K1638" t="inlineStr">
        <is>
          <t>CF260819 01632</t>
        </is>
      </c>
      <c r="L1638" t="inlineStr">
        <is>
          <t>GL.NOSTRO.EUR.BRCC.001</t>
        </is>
      </c>
      <c r="M1638" t="inlineStr">
        <is>
          <t>Umberton Clearing</t>
        </is>
      </c>
      <c r="N1638" t="inlineStr">
        <is>
          <t>BRCCCASH</t>
        </is>
      </c>
      <c r="O1638" t="inlineStr">
        <is>
          <t>NEW</t>
        </is>
      </c>
      <c r="Q1638" t="inlineStr">
        <is>
          <t>NETTER</t>
        </is>
      </c>
    </row>
    <row r="1639">
      <c r="A1639" t="inlineStr">
        <is>
          <t>499062838623</t>
        </is>
      </c>
      <c r="B1639" t="inlineStr">
        <is>
          <t>TCG</t>
        </is>
      </c>
      <c r="C1639" t="inlineStr">
        <is>
          <t>BRBX</t>
        </is>
      </c>
      <c r="D1639" s="6" t="n">
        <v>46253</v>
      </c>
      <c r="E1639" t="inlineStr">
        <is>
          <t>CR</t>
        </is>
      </c>
      <c r="F1639" t="inlineStr">
        <is>
          <t>USD</t>
        </is>
      </c>
      <c r="G1639" s="7" t="n">
        <v>711241.518</v>
      </c>
      <c r="H1639" t="inlineStr">
        <is>
          <t>GBP</t>
        </is>
      </c>
      <c r="I1639" s="7" t="n">
        <v>557613.35</v>
      </c>
      <c r="J1639" s="8" t="n">
        <v>46253.33748842592</v>
      </c>
      <c r="K1639" t="inlineStr">
        <is>
          <t>CF260819 01633</t>
        </is>
      </c>
      <c r="L1639" t="inlineStr">
        <is>
          <t>GL.NOSTRO.USD.BRBX.002</t>
        </is>
      </c>
      <c r="M1639" t="inlineStr">
        <is>
          <t>Wrenfield Commercial Bank</t>
        </is>
      </c>
      <c r="N1639" t="inlineStr">
        <is>
          <t>BRBX</t>
        </is>
      </c>
      <c r="O1639" t="inlineStr">
        <is>
          <t>NEW</t>
        </is>
      </c>
      <c r="P1639" t="inlineStr">
        <is>
          <t>NT26081900681</t>
        </is>
      </c>
      <c r="Q1639" t="inlineStr">
        <is>
          <t>NETTER</t>
        </is>
      </c>
    </row>
    <row r="1640">
      <c r="A1640" t="inlineStr">
        <is>
          <t>132544340094</t>
        </is>
      </c>
      <c r="B1640" t="inlineStr">
        <is>
          <t>TCX</t>
        </is>
      </c>
      <c r="C1640" t="inlineStr">
        <is>
          <t>BRYG</t>
        </is>
      </c>
      <c r="D1640" s="6" t="n">
        <v>46253</v>
      </c>
      <c r="E1640" t="inlineStr">
        <is>
          <t>CR</t>
        </is>
      </c>
      <c r="F1640" t="inlineStr">
        <is>
          <t>CZK</t>
        </is>
      </c>
      <c r="G1640" s="7" t="n">
        <v>45334401.68</v>
      </c>
      <c r="H1640" t="inlineStr">
        <is>
          <t>GBP</t>
        </is>
      </c>
      <c r="I1640" s="7" t="n">
        <v>1536836.217</v>
      </c>
      <c r="J1640" s="8" t="n">
        <v>46253.564375</v>
      </c>
      <c r="K1640" t="inlineStr">
        <is>
          <t>CF260819 01634</t>
        </is>
      </c>
      <c r="L1640" t="inlineStr">
        <is>
          <t>GL.NOSTRO.CZK.BRYG.006</t>
        </is>
      </c>
      <c r="M1640" t="inlineStr">
        <is>
          <t>Yarrow Commercial Bank</t>
        </is>
      </c>
      <c r="N1640" t="inlineStr">
        <is>
          <t>BRYGMM</t>
        </is>
      </c>
      <c r="O1640" t="inlineStr">
        <is>
          <t>NEW</t>
        </is>
      </c>
      <c r="P1640" t="inlineStr">
        <is>
          <t>NT26081900671</t>
        </is>
      </c>
      <c r="Q1640" t="inlineStr">
        <is>
          <t>NETTER</t>
        </is>
      </c>
    </row>
    <row r="1641">
      <c r="A1641" t="inlineStr">
        <is>
          <t>953625291146</t>
        </is>
      </c>
      <c r="B1641" t="inlineStr">
        <is>
          <t>TCP</t>
        </is>
      </c>
      <c r="C1641" t="inlineStr">
        <is>
          <t>BRGL</t>
        </is>
      </c>
      <c r="D1641" s="6" t="n">
        <v>46253</v>
      </c>
      <c r="E1641" t="inlineStr">
        <is>
          <t>CR</t>
        </is>
      </c>
      <c r="F1641" t="inlineStr">
        <is>
          <t>USD</t>
        </is>
      </c>
      <c r="G1641" s="7" t="n">
        <v>33306181.316</v>
      </c>
      <c r="H1641" t="inlineStr">
        <is>
          <t>GBP</t>
        </is>
      </c>
      <c r="I1641" s="7" t="n">
        <v>26112046.152</v>
      </c>
      <c r="J1641" s="8" t="n">
        <v>46253.44679398148</v>
      </c>
      <c r="K1641" t="inlineStr">
        <is>
          <t>CF260819 01635</t>
        </is>
      </c>
      <c r="L1641" t="inlineStr">
        <is>
          <t>GL.NOSTRO.USD.BRGL.001</t>
        </is>
      </c>
      <c r="M1641" t="inlineStr">
        <is>
          <t>Alder Clearing</t>
        </is>
      </c>
      <c r="N1641" t="inlineStr">
        <is>
          <t>BRGLMM</t>
        </is>
      </c>
      <c r="O1641" t="inlineStr">
        <is>
          <t>AMEND</t>
        </is>
      </c>
      <c r="P1641" t="inlineStr">
        <is>
          <t>NT26081900676</t>
        </is>
      </c>
      <c r="Q1641" t="inlineStr">
        <is>
          <t>NETTER</t>
        </is>
      </c>
    </row>
    <row r="1642">
      <c r="A1642" t="inlineStr">
        <is>
          <t>499062838623</t>
        </is>
      </c>
      <c r="B1642" t="inlineStr">
        <is>
          <t>TCG</t>
        </is>
      </c>
      <c r="C1642" t="inlineStr">
        <is>
          <t>BRBX</t>
        </is>
      </c>
      <c r="D1642" s="6" t="n">
        <v>46253</v>
      </c>
      <c r="E1642" t="inlineStr">
        <is>
          <t>DR</t>
        </is>
      </c>
      <c r="F1642" t="inlineStr">
        <is>
          <t>USD</t>
        </is>
      </c>
      <c r="G1642" s="7" t="n">
        <v>-598437157.33</v>
      </c>
      <c r="H1642" t="inlineStr">
        <is>
          <t>GBP</t>
        </is>
      </c>
      <c r="I1642" s="7" t="n">
        <v>-469174731.347</v>
      </c>
      <c r="J1642" s="8" t="n">
        <v>46253.34112268518</v>
      </c>
      <c r="K1642" t="inlineStr">
        <is>
          <t>CF260819 01636</t>
        </is>
      </c>
      <c r="L1642" t="inlineStr">
        <is>
          <t>GL.NOSTRO.USD.BRBX.008</t>
        </is>
      </c>
      <c r="M1642" t="inlineStr">
        <is>
          <t>Redstart Trust</t>
        </is>
      </c>
      <c r="N1642" t="inlineStr">
        <is>
          <t>BRBXTRSY</t>
        </is>
      </c>
      <c r="O1642" t="inlineStr">
        <is>
          <t>NEW</t>
        </is>
      </c>
      <c r="P1642" t="inlineStr">
        <is>
          <t>NT26081900672</t>
        </is>
      </c>
      <c r="Q1642" t="inlineStr">
        <is>
          <t>NETTER</t>
        </is>
      </c>
    </row>
    <row r="1643">
      <c r="A1643" t="inlineStr">
        <is>
          <t>468341071172</t>
        </is>
      </c>
      <c r="B1643" t="inlineStr">
        <is>
          <t>TCQ</t>
        </is>
      </c>
      <c r="C1643" t="inlineStr">
        <is>
          <t>BRCC</t>
        </is>
      </c>
      <c r="D1643" s="6" t="n">
        <v>46253</v>
      </c>
      <c r="E1643" t="inlineStr">
        <is>
          <t>CR</t>
        </is>
      </c>
      <c r="F1643" t="inlineStr">
        <is>
          <t>EUR</t>
        </is>
      </c>
      <c r="G1643" s="7" t="n">
        <v>87730368.278</v>
      </c>
      <c r="H1643" t="inlineStr">
        <is>
          <t>GBP</t>
        </is>
      </c>
      <c r="I1643" s="7" t="n">
        <v>75272655.983</v>
      </c>
      <c r="J1643" s="8" t="n">
        <v>46253.07608796296</v>
      </c>
      <c r="K1643" t="inlineStr">
        <is>
          <t>CF260819 01637</t>
        </is>
      </c>
      <c r="L1643" t="inlineStr">
        <is>
          <t>GL.NOSTRO.EUR.BRCC.006</t>
        </is>
      </c>
      <c r="M1643" t="inlineStr">
        <is>
          <t>Mallow Commercial Bank</t>
        </is>
      </c>
      <c r="N1643" t="inlineStr">
        <is>
          <t>BRCC</t>
        </is>
      </c>
      <c r="O1643" t="inlineStr">
        <is>
          <t>NEW</t>
        </is>
      </c>
      <c r="P1643" t="inlineStr">
        <is>
          <t>NT26081900693</t>
        </is>
      </c>
      <c r="Q1643" t="inlineStr">
        <is>
          <t>NETTER</t>
        </is>
      </c>
    </row>
    <row r="1644">
      <c r="A1644" t="inlineStr">
        <is>
          <t>150316825069</t>
        </is>
      </c>
      <c r="B1644" t="inlineStr">
        <is>
          <t>TCP</t>
        </is>
      </c>
      <c r="C1644" t="inlineStr">
        <is>
          <t>BRGX</t>
        </is>
      </c>
      <c r="D1644" s="6" t="n">
        <v>46253</v>
      </c>
      <c r="E1644" t="inlineStr">
        <is>
          <t>DR</t>
        </is>
      </c>
      <c r="F1644" t="inlineStr">
        <is>
          <t>GBP</t>
        </is>
      </c>
      <c r="G1644" s="7" t="n">
        <v>-109374.867</v>
      </c>
      <c r="H1644" t="inlineStr">
        <is>
          <t>GBP</t>
        </is>
      </c>
      <c r="I1644" s="7" t="n">
        <v>-109374.867</v>
      </c>
      <c r="J1644" s="8" t="n">
        <v>46253.61651620371</v>
      </c>
      <c r="K1644" t="inlineStr">
        <is>
          <t>CF260819 01638</t>
        </is>
      </c>
      <c r="L1644" t="inlineStr">
        <is>
          <t>GL.NOSTRO.GBP.BRGX.002</t>
        </is>
      </c>
      <c r="M1644" t="inlineStr">
        <is>
          <t>Sablewood Clearing</t>
        </is>
      </c>
      <c r="N1644" t="inlineStr">
        <is>
          <t>BRGXMM</t>
        </is>
      </c>
      <c r="O1644" t="inlineStr">
        <is>
          <t>NEW</t>
        </is>
      </c>
      <c r="Q1644" t="inlineStr">
        <is>
          <t>NETTER</t>
        </is>
      </c>
    </row>
    <row r="1645">
      <c r="A1645" t="inlineStr">
        <is>
          <t>621381112674</t>
        </is>
      </c>
      <c r="B1645" t="inlineStr">
        <is>
          <t>TCX</t>
        </is>
      </c>
      <c r="C1645" t="inlineStr">
        <is>
          <t>BRAA</t>
        </is>
      </c>
      <c r="D1645" s="6" t="n">
        <v>46253</v>
      </c>
      <c r="E1645" t="inlineStr">
        <is>
          <t>CR</t>
        </is>
      </c>
      <c r="F1645" t="inlineStr">
        <is>
          <t>PLN</t>
        </is>
      </c>
      <c r="G1645" s="7" t="n">
        <v>147480211.26</v>
      </c>
      <c r="H1645" t="inlineStr">
        <is>
          <t>GBP</t>
        </is>
      </c>
      <c r="I1645" s="7" t="n">
        <v>29201081.829</v>
      </c>
      <c r="J1645" s="8" t="n">
        <v>46253.14976851852</v>
      </c>
      <c r="K1645" t="inlineStr">
        <is>
          <t>CF260819 01639</t>
        </is>
      </c>
      <c r="L1645" t="inlineStr">
        <is>
          <t>GL.NOSTRO.PLN.BRAA.002</t>
        </is>
      </c>
      <c r="M1645" t="inlineStr">
        <is>
          <t>Umberton Clearing</t>
        </is>
      </c>
      <c r="N1645" t="inlineStr">
        <is>
          <t>BRAACASH</t>
        </is>
      </c>
      <c r="O1645" t="inlineStr">
        <is>
          <t>NEW</t>
        </is>
      </c>
      <c r="P1645" t="inlineStr">
        <is>
          <t>NT26081900661</t>
        </is>
      </c>
      <c r="Q1645" t="inlineStr">
        <is>
          <t>NETTER</t>
        </is>
      </c>
    </row>
    <row r="1646">
      <c r="A1646" t="inlineStr">
        <is>
          <t>150316825069</t>
        </is>
      </c>
      <c r="B1646" t="inlineStr">
        <is>
          <t>TCP</t>
        </is>
      </c>
      <c r="C1646" t="inlineStr">
        <is>
          <t>BRGX</t>
        </is>
      </c>
      <c r="D1646" s="6" t="n">
        <v>46253</v>
      </c>
      <c r="E1646" t="inlineStr">
        <is>
          <t>CR</t>
        </is>
      </c>
      <c r="F1646" t="inlineStr">
        <is>
          <t>GBP</t>
        </is>
      </c>
      <c r="G1646" s="7" t="n">
        <v>9468156.903999999</v>
      </c>
      <c r="H1646" t="inlineStr">
        <is>
          <t>GBP</t>
        </is>
      </c>
      <c r="I1646" s="7" t="n">
        <v>9468156.903999999</v>
      </c>
      <c r="J1646" s="8" t="n">
        <v>46253.5441087963</v>
      </c>
      <c r="K1646" t="inlineStr">
        <is>
          <t>CF260819 01640</t>
        </is>
      </c>
      <c r="L1646" t="inlineStr">
        <is>
          <t>GL.NOSTRO.GBP.BRGX.008</t>
        </is>
      </c>
      <c r="M1646" t="inlineStr">
        <is>
          <t>Dunlin Trust</t>
        </is>
      </c>
      <c r="N1646" t="inlineStr">
        <is>
          <t>BRGX</t>
        </is>
      </c>
      <c r="O1646" t="inlineStr">
        <is>
          <t>NEW</t>
        </is>
      </c>
      <c r="P1646" t="inlineStr">
        <is>
          <t>NT26081900665</t>
        </is>
      </c>
      <c r="Q1646" t="inlineStr">
        <is>
          <t>GROSS</t>
        </is>
      </c>
    </row>
    <row r="1647">
      <c r="A1647" t="inlineStr">
        <is>
          <t>499062838623</t>
        </is>
      </c>
      <c r="B1647" t="inlineStr">
        <is>
          <t>TCP</t>
        </is>
      </c>
      <c r="C1647" t="inlineStr">
        <is>
          <t>BRBX</t>
        </is>
      </c>
      <c r="D1647" s="6" t="n">
        <v>46253</v>
      </c>
      <c r="E1647" t="inlineStr">
        <is>
          <t>DR</t>
        </is>
      </c>
      <c r="F1647" t="inlineStr">
        <is>
          <t>USD</t>
        </is>
      </c>
      <c r="G1647" s="7" t="n">
        <v>-485231.889</v>
      </c>
      <c r="H1647" t="inlineStr">
        <is>
          <t>GBP</t>
        </is>
      </c>
      <c r="I1647" s="7" t="n">
        <v>-380421.801</v>
      </c>
      <c r="J1647" s="8" t="n">
        <v>46253.31655092593</v>
      </c>
      <c r="K1647" t="inlineStr">
        <is>
          <t>CF260819 01641</t>
        </is>
      </c>
      <c r="L1647" t="inlineStr">
        <is>
          <t>GL.NOSTRO.USD.BRBX.002</t>
        </is>
      </c>
      <c r="M1647" t="inlineStr">
        <is>
          <t>Sablewood Commercial Bank</t>
        </is>
      </c>
      <c r="N1647" t="inlineStr">
        <is>
          <t>BRBXCASH</t>
        </is>
      </c>
      <c r="O1647" t="inlineStr">
        <is>
          <t>CANCEL</t>
        </is>
      </c>
      <c r="P1647" t="inlineStr">
        <is>
          <t>NT26081900670</t>
        </is>
      </c>
      <c r="Q1647" t="inlineStr">
        <is>
          <t>GROSS</t>
        </is>
      </c>
    </row>
    <row r="1648">
      <c r="A1648" t="inlineStr">
        <is>
          <t>468341071172</t>
        </is>
      </c>
      <c r="B1648" t="inlineStr">
        <is>
          <t>TCQ</t>
        </is>
      </c>
      <c r="C1648" t="inlineStr">
        <is>
          <t>BRCC</t>
        </is>
      </c>
      <c r="D1648" s="6" t="n">
        <v>46253</v>
      </c>
      <c r="E1648" t="inlineStr">
        <is>
          <t>DR</t>
        </is>
      </c>
      <c r="F1648" t="inlineStr">
        <is>
          <t>EUR</t>
        </is>
      </c>
      <c r="G1648" s="7" t="n">
        <v>-1618739.893</v>
      </c>
      <c r="H1648" t="inlineStr">
        <is>
          <t>GBP</t>
        </is>
      </c>
      <c r="I1648" s="7" t="n">
        <v>-1388878.828</v>
      </c>
      <c r="J1648" s="8" t="n">
        <v>46253.29695601852</v>
      </c>
      <c r="K1648" t="inlineStr">
        <is>
          <t>CF260819 01642</t>
        </is>
      </c>
      <c r="L1648" t="inlineStr">
        <is>
          <t>GL.NOSTRO.EUR.BRCC.004</t>
        </is>
      </c>
      <c r="M1648" t="inlineStr">
        <is>
          <t>Yarrow Bank</t>
        </is>
      </c>
      <c r="N1648" t="inlineStr">
        <is>
          <t>BRCC</t>
        </is>
      </c>
      <c r="O1648" t="inlineStr">
        <is>
          <t>NEW</t>
        </is>
      </c>
      <c r="P1648" t="inlineStr">
        <is>
          <t>NT26081900683</t>
        </is>
      </c>
      <c r="Q1648" t="inlineStr">
        <is>
          <t>INTERNAL</t>
        </is>
      </c>
    </row>
    <row r="1649">
      <c r="A1649" t="inlineStr">
        <is>
          <t>824840705580</t>
        </is>
      </c>
      <c r="B1649" t="inlineStr">
        <is>
          <t>TCP</t>
        </is>
      </c>
      <c r="C1649" t="inlineStr">
        <is>
          <t>BRGL</t>
        </is>
      </c>
      <c r="D1649" s="6" t="n">
        <v>46253</v>
      </c>
      <c r="E1649" t="inlineStr">
        <is>
          <t>DR</t>
        </is>
      </c>
      <c r="F1649" t="inlineStr">
        <is>
          <t>EUR</t>
        </is>
      </c>
      <c r="G1649" s="7" t="n">
        <v>-43263192.46</v>
      </c>
      <c r="H1649" t="inlineStr">
        <is>
          <t>GBP</t>
        </is>
      </c>
      <c r="I1649" s="7" t="n">
        <v>-37119819.131</v>
      </c>
      <c r="J1649" s="8" t="n">
        <v>46253.31759259259</v>
      </c>
      <c r="K1649" t="inlineStr">
        <is>
          <t>CF260819 01643</t>
        </is>
      </c>
      <c r="L1649" t="inlineStr">
        <is>
          <t>GL.NOSTRO.EUR.BRGL.006</t>
        </is>
      </c>
      <c r="M1649" t="inlineStr">
        <is>
          <t>Nightjar Trust</t>
        </is>
      </c>
      <c r="N1649" t="inlineStr">
        <is>
          <t>BRGLTRSY</t>
        </is>
      </c>
      <c r="O1649" t="inlineStr">
        <is>
          <t>NEW</t>
        </is>
      </c>
      <c r="Q1649" t="inlineStr">
        <is>
          <t>NETTER</t>
        </is>
      </c>
    </row>
    <row r="1650">
      <c r="A1650" t="inlineStr">
        <is>
          <t>120047354818</t>
        </is>
      </c>
      <c r="B1650" t="inlineStr">
        <is>
          <t>TCG</t>
        </is>
      </c>
      <c r="C1650" t="inlineStr">
        <is>
          <t>BRNK</t>
        </is>
      </c>
      <c r="D1650" s="6" t="n">
        <v>46253</v>
      </c>
      <c r="E1650" t="inlineStr">
        <is>
          <t>DR</t>
        </is>
      </c>
      <c r="F1650" t="inlineStr">
        <is>
          <t>USD</t>
        </is>
      </c>
      <c r="G1650" s="7" t="n">
        <v>-254350641.11</v>
      </c>
      <c r="H1650" t="inlineStr">
        <is>
          <t>GBP</t>
        </is>
      </c>
      <c r="I1650" s="7" t="n">
        <v>-199410902.63</v>
      </c>
      <c r="J1650" s="8" t="n">
        <v>46253.61212962963</v>
      </c>
      <c r="K1650" t="inlineStr">
        <is>
          <t>CF260819 01644</t>
        </is>
      </c>
      <c r="L1650" t="inlineStr">
        <is>
          <t>GL.NOSTRO.USD.BRNK.008</t>
        </is>
      </c>
      <c r="M1650" t="inlineStr">
        <is>
          <t>Harrow Clearing</t>
        </is>
      </c>
      <c r="N1650" t="inlineStr">
        <is>
          <t>BRNKMM</t>
        </is>
      </c>
      <c r="O1650" t="inlineStr">
        <is>
          <t>NEW</t>
        </is>
      </c>
      <c r="P1650" t="inlineStr">
        <is>
          <t>NT26081900673</t>
        </is>
      </c>
      <c r="Q1650" t="inlineStr">
        <is>
          <t>INTERNAL</t>
        </is>
      </c>
    </row>
    <row r="1651">
      <c r="A1651" t="inlineStr">
        <is>
          <t>824840705580</t>
        </is>
      </c>
      <c r="B1651" t="inlineStr">
        <is>
          <t>TCP</t>
        </is>
      </c>
      <c r="C1651" t="inlineStr">
        <is>
          <t>BRGL</t>
        </is>
      </c>
      <c r="D1651" s="6" t="n">
        <v>46253</v>
      </c>
      <c r="E1651" t="inlineStr">
        <is>
          <t>DR</t>
        </is>
      </c>
      <c r="F1651" t="inlineStr">
        <is>
          <t>EUR</t>
        </is>
      </c>
      <c r="G1651" s="7" t="n">
        <v>-3112770.333</v>
      </c>
      <c r="H1651" t="inlineStr">
        <is>
          <t>GBP</t>
        </is>
      </c>
      <c r="I1651" s="7" t="n">
        <v>-2670756.946</v>
      </c>
      <c r="J1651" s="8" t="n">
        <v>46253.67516203703</v>
      </c>
      <c r="K1651" t="inlineStr">
        <is>
          <t>CF260819 01645</t>
        </is>
      </c>
      <c r="L1651" t="inlineStr">
        <is>
          <t>GL.NOSTRO.EUR.BRGL.005</t>
        </is>
      </c>
      <c r="M1651" t="inlineStr">
        <is>
          <t>Juniper Settlement Bank</t>
        </is>
      </c>
      <c r="N1651" t="inlineStr">
        <is>
          <t>BRGLTRSY</t>
        </is>
      </c>
      <c r="O1651" t="inlineStr">
        <is>
          <t>NEW</t>
        </is>
      </c>
      <c r="Q1651" t="inlineStr">
        <is>
          <t>NETTER</t>
        </is>
      </c>
    </row>
    <row r="1652">
      <c r="A1652" t="inlineStr">
        <is>
          <t>120047354818</t>
        </is>
      </c>
      <c r="B1652" t="inlineStr">
        <is>
          <t>TCQ</t>
        </is>
      </c>
      <c r="C1652" t="inlineStr">
        <is>
          <t>BRNK</t>
        </is>
      </c>
      <c r="D1652" s="6" t="n">
        <v>46253</v>
      </c>
      <c r="E1652" t="inlineStr">
        <is>
          <t>CR</t>
        </is>
      </c>
      <c r="F1652" t="inlineStr">
        <is>
          <t>USD</t>
        </is>
      </c>
      <c r="G1652" s="7" t="n">
        <v>191582460.75</v>
      </c>
      <c r="H1652" t="inlineStr">
        <is>
          <t>GBP</t>
        </is>
      </c>
      <c r="I1652" s="7" t="n">
        <v>150200649.228</v>
      </c>
      <c r="J1652" s="8" t="n">
        <v>46253.67189814815</v>
      </c>
      <c r="K1652" t="inlineStr">
        <is>
          <t>CF260819 01646</t>
        </is>
      </c>
      <c r="L1652" t="inlineStr">
        <is>
          <t>GL.NOSTRO.USD.BRNK.004</t>
        </is>
      </c>
      <c r="M1652" t="inlineStr">
        <is>
          <t>Redstart Trust</t>
        </is>
      </c>
      <c r="N1652" t="inlineStr">
        <is>
          <t>BRNKTRSY</t>
        </is>
      </c>
      <c r="O1652" t="inlineStr">
        <is>
          <t>NEW</t>
        </is>
      </c>
      <c r="P1652" t="inlineStr">
        <is>
          <t>NT26081900669</t>
        </is>
      </c>
      <c r="Q1652" t="inlineStr">
        <is>
          <t>GROSS</t>
        </is>
      </c>
    </row>
    <row r="1653">
      <c r="A1653" t="inlineStr">
        <is>
          <t>898317028833</t>
        </is>
      </c>
      <c r="B1653" t="inlineStr">
        <is>
          <t>TCQ</t>
        </is>
      </c>
      <c r="C1653" t="inlineStr">
        <is>
          <t>BRAA</t>
        </is>
      </c>
      <c r="D1653" s="6" t="n">
        <v>46253</v>
      </c>
      <c r="E1653" t="inlineStr">
        <is>
          <t>CR</t>
        </is>
      </c>
      <c r="F1653" t="inlineStr">
        <is>
          <t>GBP</t>
        </is>
      </c>
      <c r="G1653" s="7" t="n">
        <v>22210177.262</v>
      </c>
      <c r="H1653" t="inlineStr">
        <is>
          <t>GBP</t>
        </is>
      </c>
      <c r="I1653" s="7" t="n">
        <v>22210177.262</v>
      </c>
      <c r="J1653" s="8" t="n">
        <v>46253.61459490741</v>
      </c>
      <c r="K1653" t="inlineStr">
        <is>
          <t>CF260819 01647</t>
        </is>
      </c>
      <c r="L1653" t="inlineStr">
        <is>
          <t>GL.NOSTRO.GBP.BRAA.008</t>
        </is>
      </c>
      <c r="M1653" t="inlineStr">
        <is>
          <t>Vetchling Commercial Bank</t>
        </is>
      </c>
      <c r="N1653" t="inlineStr">
        <is>
          <t>BRAAMM</t>
        </is>
      </c>
      <c r="O1653" t="inlineStr">
        <is>
          <t>NEW</t>
        </is>
      </c>
      <c r="Q1653" t="inlineStr">
        <is>
          <t>GROSS</t>
        </is>
      </c>
    </row>
    <row r="1654">
      <c r="A1654" t="inlineStr">
        <is>
          <t>150316825069</t>
        </is>
      </c>
      <c r="B1654" t="inlineStr">
        <is>
          <t>TCG</t>
        </is>
      </c>
      <c r="C1654" t="inlineStr">
        <is>
          <t>BRGX</t>
        </is>
      </c>
      <c r="D1654" s="6" t="n">
        <v>46253</v>
      </c>
      <c r="E1654" t="inlineStr">
        <is>
          <t>DR</t>
        </is>
      </c>
      <c r="F1654" t="inlineStr">
        <is>
          <t>GBP</t>
        </is>
      </c>
      <c r="G1654" s="7" t="n">
        <v>-69084.444</v>
      </c>
      <c r="H1654" t="inlineStr">
        <is>
          <t>GBP</t>
        </is>
      </c>
      <c r="I1654" s="7" t="n">
        <v>-69084.444</v>
      </c>
      <c r="J1654" s="8" t="n">
        <v>46253.39542824074</v>
      </c>
      <c r="K1654" t="inlineStr">
        <is>
          <t>CF260819 01648</t>
        </is>
      </c>
      <c r="L1654" t="inlineStr">
        <is>
          <t>GL.NOSTRO.GBP.BRGX.002</t>
        </is>
      </c>
      <c r="M1654" t="inlineStr">
        <is>
          <t>Mallow Trust</t>
        </is>
      </c>
      <c r="N1654" t="inlineStr">
        <is>
          <t>BRGX</t>
        </is>
      </c>
      <c r="O1654" t="inlineStr">
        <is>
          <t>NEW</t>
        </is>
      </c>
      <c r="Q1654" t="inlineStr">
        <is>
          <t>GROSS</t>
        </is>
      </c>
    </row>
    <row r="1655">
      <c r="A1655" t="inlineStr">
        <is>
          <t>113829985108</t>
        </is>
      </c>
      <c r="B1655" t="inlineStr">
        <is>
          <t>TCC</t>
        </is>
      </c>
      <c r="C1655" t="inlineStr">
        <is>
          <t>BRGL</t>
        </is>
      </c>
      <c r="D1655" s="6" t="n">
        <v>46253</v>
      </c>
      <c r="E1655" t="inlineStr">
        <is>
          <t>CR</t>
        </is>
      </c>
      <c r="F1655" t="inlineStr">
        <is>
          <t>EUR</t>
        </is>
      </c>
      <c r="G1655" s="7" t="n">
        <v>2239101.731</v>
      </c>
      <c r="H1655" t="inlineStr">
        <is>
          <t>GBP</t>
        </is>
      </c>
      <c r="I1655" s="7" t="n">
        <v>1921149.285</v>
      </c>
      <c r="J1655" s="8" t="n">
        <v>46253.75637731481</v>
      </c>
      <c r="K1655" t="inlineStr">
        <is>
          <t>CF260819 01649</t>
        </is>
      </c>
      <c r="L1655" t="inlineStr">
        <is>
          <t>GL.NOSTRO.EUR.BRGL.003</t>
        </is>
      </c>
      <c r="M1655" t="inlineStr">
        <is>
          <t>Pinehurst Clearing</t>
        </is>
      </c>
      <c r="N1655" t="inlineStr">
        <is>
          <t>BRGLCASH</t>
        </is>
      </c>
      <c r="O1655" t="inlineStr">
        <is>
          <t>NEW</t>
        </is>
      </c>
      <c r="P1655" t="inlineStr">
        <is>
          <t>NT26081900676</t>
        </is>
      </c>
      <c r="Q1655" t="inlineStr">
        <is>
          <t>NETTER</t>
        </is>
      </c>
    </row>
    <row r="1656">
      <c r="A1656" t="inlineStr">
        <is>
          <t>132544340094</t>
        </is>
      </c>
      <c r="B1656" t="inlineStr">
        <is>
          <t>TCC</t>
        </is>
      </c>
      <c r="C1656" t="inlineStr">
        <is>
          <t>BRYG</t>
        </is>
      </c>
      <c r="D1656" s="6" t="n">
        <v>46253</v>
      </c>
      <c r="E1656" t="inlineStr">
        <is>
          <t>DR</t>
        </is>
      </c>
      <c r="F1656" t="inlineStr">
        <is>
          <t>CZK</t>
        </is>
      </c>
      <c r="G1656" s="7" t="n">
        <v>-1572.227</v>
      </c>
      <c r="H1656" t="inlineStr">
        <is>
          <t>GBP</t>
        </is>
      </c>
      <c r="I1656" s="7" t="n">
        <v>-53.298</v>
      </c>
      <c r="J1656" s="8" t="n">
        <v>46253.69280092593</v>
      </c>
      <c r="K1656" t="inlineStr">
        <is>
          <t>CF260819 01650</t>
        </is>
      </c>
      <c r="L1656" t="inlineStr">
        <is>
          <t>GL.NOSTRO.CZK.BRYG.007</t>
        </is>
      </c>
      <c r="M1656" t="inlineStr">
        <is>
          <t>Granite Clearing</t>
        </is>
      </c>
      <c r="N1656" t="inlineStr">
        <is>
          <t>BRYGCASH</t>
        </is>
      </c>
      <c r="O1656" t="inlineStr">
        <is>
          <t>NEW</t>
        </is>
      </c>
      <c r="Q1656" t="inlineStr">
        <is>
          <t>GROSS</t>
        </is>
      </c>
    </row>
    <row r="1657">
      <c r="A1657" t="inlineStr">
        <is>
          <t>468341071172</t>
        </is>
      </c>
      <c r="B1657" t="inlineStr">
        <is>
          <t>TCP</t>
        </is>
      </c>
      <c r="C1657" t="inlineStr">
        <is>
          <t>BRCC</t>
        </is>
      </c>
      <c r="D1657" s="6" t="n">
        <v>46253</v>
      </c>
      <c r="E1657" t="inlineStr">
        <is>
          <t>DR</t>
        </is>
      </c>
      <c r="F1657" t="inlineStr">
        <is>
          <t>EUR</t>
        </is>
      </c>
      <c r="G1657" s="7" t="n">
        <v>-32100492.351</v>
      </c>
      <c r="H1657" t="inlineStr">
        <is>
          <t>GBP</t>
        </is>
      </c>
      <c r="I1657" s="7" t="n">
        <v>-27542222.437</v>
      </c>
      <c r="J1657" s="8" t="n">
        <v>46253.55855324074</v>
      </c>
      <c r="K1657" t="inlineStr">
        <is>
          <t>CF260819 01651</t>
        </is>
      </c>
      <c r="L1657" t="inlineStr">
        <is>
          <t>GL.NOSTRO.EUR.BRCC.008</t>
        </is>
      </c>
      <c r="M1657" t="inlineStr">
        <is>
          <t>Umberton Commercial Bank</t>
        </is>
      </c>
      <c r="N1657" t="inlineStr">
        <is>
          <t>BRCC</t>
        </is>
      </c>
      <c r="O1657" t="inlineStr">
        <is>
          <t>AMEND</t>
        </is>
      </c>
      <c r="P1657" t="inlineStr">
        <is>
          <t>NT26081900663</t>
        </is>
      </c>
      <c r="Q1657" t="inlineStr">
        <is>
          <t>GROSS</t>
        </is>
      </c>
    </row>
    <row r="1658">
      <c r="A1658" t="inlineStr">
        <is>
          <t>794226063698</t>
        </is>
      </c>
      <c r="B1658" t="inlineStr">
        <is>
          <t>TCP</t>
        </is>
      </c>
      <c r="C1658" t="inlineStr">
        <is>
          <t>BRMD</t>
        </is>
      </c>
      <c r="D1658" s="6" t="n">
        <v>46253</v>
      </c>
      <c r="E1658" t="inlineStr">
        <is>
          <t>CR</t>
        </is>
      </c>
      <c r="F1658" t="inlineStr">
        <is>
          <t>AED</t>
        </is>
      </c>
      <c r="G1658" s="7" t="n">
        <v>11188484.235</v>
      </c>
      <c r="H1658" t="inlineStr">
        <is>
          <t>GBP</t>
        </is>
      </c>
      <c r="I1658" s="7" t="n">
        <v>2383147.142</v>
      </c>
      <c r="J1658" s="8" t="n">
        <v>46253.45738425926</v>
      </c>
      <c r="K1658" t="inlineStr">
        <is>
          <t>CF260819 01652</t>
        </is>
      </c>
      <c r="L1658" t="inlineStr">
        <is>
          <t>GL.NOSTRO.AED.BRMD.004</t>
        </is>
      </c>
      <c r="M1658" t="inlineStr">
        <is>
          <t>Umberton Commercial Bank</t>
        </is>
      </c>
      <c r="N1658" t="inlineStr">
        <is>
          <t>BRMD</t>
        </is>
      </c>
      <c r="O1658" t="inlineStr">
        <is>
          <t>NEW</t>
        </is>
      </c>
      <c r="Q1658" t="inlineStr">
        <is>
          <t>NETTER</t>
        </is>
      </c>
    </row>
    <row r="1659">
      <c r="A1659" t="inlineStr">
        <is>
          <t>794226063698</t>
        </is>
      </c>
      <c r="B1659" t="inlineStr">
        <is>
          <t>TCG</t>
        </is>
      </c>
      <c r="C1659" t="inlineStr">
        <is>
          <t>BRMD</t>
        </is>
      </c>
      <c r="D1659" s="6" t="n">
        <v>46253</v>
      </c>
      <c r="E1659" t="inlineStr">
        <is>
          <t>DR</t>
        </is>
      </c>
      <c r="F1659" t="inlineStr">
        <is>
          <t>AED</t>
        </is>
      </c>
      <c r="G1659" s="7" t="n">
        <v>-137678.79</v>
      </c>
      <c r="H1659" t="inlineStr">
        <is>
          <t>GBP</t>
        </is>
      </c>
      <c r="I1659" s="7" t="n">
        <v>-29325.582</v>
      </c>
      <c r="J1659" s="8" t="n">
        <v>46253.59571759259</v>
      </c>
      <c r="K1659" t="inlineStr">
        <is>
          <t>CF260819 01653</t>
        </is>
      </c>
      <c r="L1659" t="inlineStr">
        <is>
          <t>GL.NOSTRO.AED.BRMD.005</t>
        </is>
      </c>
      <c r="M1659" t="inlineStr">
        <is>
          <t>Ironbark Trust</t>
        </is>
      </c>
      <c r="N1659" t="inlineStr">
        <is>
          <t>BRMD</t>
        </is>
      </c>
      <c r="O1659" t="inlineStr">
        <is>
          <t>AMEND</t>
        </is>
      </c>
      <c r="P1659" t="inlineStr">
        <is>
          <t>NT26081900683</t>
        </is>
      </c>
      <c r="Q1659" t="inlineStr">
        <is>
          <t>NETTER</t>
        </is>
      </c>
    </row>
    <row r="1660">
      <c r="A1660" t="inlineStr">
        <is>
          <t>150316825069</t>
        </is>
      </c>
      <c r="B1660" t="inlineStr">
        <is>
          <t>TCG</t>
        </is>
      </c>
      <c r="C1660" t="inlineStr">
        <is>
          <t>BRGX</t>
        </is>
      </c>
      <c r="D1660" s="6" t="n">
        <v>46253</v>
      </c>
      <c r="E1660" t="inlineStr">
        <is>
          <t>CR</t>
        </is>
      </c>
      <c r="F1660" t="inlineStr">
        <is>
          <t>GBP</t>
        </is>
      </c>
      <c r="G1660" s="7" t="n">
        <v>369264793.599</v>
      </c>
      <c r="H1660" t="inlineStr">
        <is>
          <t>GBP</t>
        </is>
      </c>
      <c r="I1660" s="7" t="n">
        <v>369264793.599</v>
      </c>
      <c r="J1660" s="8" t="n">
        <v>46253.69576388889</v>
      </c>
      <c r="K1660" t="inlineStr">
        <is>
          <t>CF260819 01654</t>
        </is>
      </c>
      <c r="L1660" t="inlineStr">
        <is>
          <t>GL.NOSTRO.GBP.BRGX.009</t>
        </is>
      </c>
      <c r="M1660" t="inlineStr">
        <is>
          <t>Dunlin Trust</t>
        </is>
      </c>
      <c r="N1660" t="inlineStr">
        <is>
          <t>BRGXTRSY</t>
        </is>
      </c>
      <c r="O1660" t="inlineStr">
        <is>
          <t>NEW</t>
        </is>
      </c>
      <c r="Q1660" t="inlineStr">
        <is>
          <t>NETTER</t>
        </is>
      </c>
    </row>
    <row r="1661">
      <c r="A1661" t="inlineStr">
        <is>
          <t>953625291146</t>
        </is>
      </c>
      <c r="B1661" t="inlineStr">
        <is>
          <t>TCQ</t>
        </is>
      </c>
      <c r="C1661" t="inlineStr">
        <is>
          <t>BRGL</t>
        </is>
      </c>
      <c r="D1661" s="6" t="n">
        <v>46253</v>
      </c>
      <c r="E1661" t="inlineStr">
        <is>
          <t>CR</t>
        </is>
      </c>
      <c r="F1661" t="inlineStr">
        <is>
          <t>USD</t>
        </is>
      </c>
      <c r="G1661" s="7" t="n">
        <v>110074.258</v>
      </c>
      <c r="H1661" t="inlineStr">
        <is>
          <t>GBP</t>
        </is>
      </c>
      <c r="I1661" s="7" t="n">
        <v>86298.21799999999</v>
      </c>
      <c r="J1661" s="8" t="n">
        <v>46253.4878125</v>
      </c>
      <c r="K1661" t="inlineStr">
        <is>
          <t>CF260819 01655</t>
        </is>
      </c>
      <c r="L1661" t="inlineStr">
        <is>
          <t>GL.NOSTRO.USD.BRGL.003</t>
        </is>
      </c>
      <c r="M1661" t="inlineStr">
        <is>
          <t>Redstart Trust</t>
        </is>
      </c>
      <c r="N1661" t="inlineStr">
        <is>
          <t>BRGL</t>
        </is>
      </c>
      <c r="O1661" t="inlineStr">
        <is>
          <t>NEW</t>
        </is>
      </c>
      <c r="Q1661" t="inlineStr">
        <is>
          <t>NETTER</t>
        </is>
      </c>
    </row>
    <row r="1662">
      <c r="A1662" t="inlineStr">
        <is>
          <t>794226063698</t>
        </is>
      </c>
      <c r="B1662" t="inlineStr">
        <is>
          <t>TCG</t>
        </is>
      </c>
      <c r="C1662" t="inlineStr">
        <is>
          <t>BRMD</t>
        </is>
      </c>
      <c r="D1662" s="6" t="n">
        <v>46253</v>
      </c>
      <c r="E1662" t="inlineStr">
        <is>
          <t>DR</t>
        </is>
      </c>
      <c r="F1662" t="inlineStr">
        <is>
          <t>AED</t>
        </is>
      </c>
      <c r="G1662" s="7" t="n">
        <v>-27706330.778</v>
      </c>
      <c r="H1662" t="inlineStr">
        <is>
          <t>GBP</t>
        </is>
      </c>
      <c r="I1662" s="7" t="n">
        <v>-5901448.456</v>
      </c>
      <c r="J1662" s="8" t="n">
        <v>46253.62837962963</v>
      </c>
      <c r="K1662" t="inlineStr">
        <is>
          <t>CF260819 01656</t>
        </is>
      </c>
      <c r="L1662" t="inlineStr">
        <is>
          <t>GL.NOSTRO.AED.BRMD.002</t>
        </is>
      </c>
      <c r="M1662" t="inlineStr">
        <is>
          <t>Elmwood Trust</t>
        </is>
      </c>
      <c r="N1662" t="inlineStr">
        <is>
          <t>BRMD</t>
        </is>
      </c>
      <c r="O1662" t="inlineStr">
        <is>
          <t>NEW</t>
        </is>
      </c>
      <c r="Q1662" t="inlineStr">
        <is>
          <t>NETTER</t>
        </is>
      </c>
    </row>
    <row r="1663">
      <c r="A1663" t="inlineStr">
        <is>
          <t>150316825069</t>
        </is>
      </c>
      <c r="B1663" t="inlineStr">
        <is>
          <t>TCC</t>
        </is>
      </c>
      <c r="C1663" t="inlineStr">
        <is>
          <t>BRGX</t>
        </is>
      </c>
      <c r="D1663" s="6" t="n">
        <v>46253</v>
      </c>
      <c r="E1663" t="inlineStr">
        <is>
          <t>DR</t>
        </is>
      </c>
      <c r="F1663" t="inlineStr">
        <is>
          <t>GBP</t>
        </is>
      </c>
      <c r="G1663" s="7" t="n">
        <v>-6830711.8</v>
      </c>
      <c r="H1663" t="inlineStr">
        <is>
          <t>GBP</t>
        </is>
      </c>
      <c r="I1663" s="7" t="n">
        <v>-6830711.8</v>
      </c>
      <c r="J1663" s="8" t="n">
        <v>46253.59990740741</v>
      </c>
      <c r="K1663" t="inlineStr">
        <is>
          <t>CF260819 01657</t>
        </is>
      </c>
      <c r="L1663" t="inlineStr">
        <is>
          <t>GL.NOSTRO.GBP.BRGX.004</t>
        </is>
      </c>
      <c r="M1663" t="inlineStr">
        <is>
          <t>Pinehurst Bank</t>
        </is>
      </c>
      <c r="N1663" t="inlineStr">
        <is>
          <t>BRGXMM</t>
        </is>
      </c>
      <c r="O1663" t="inlineStr">
        <is>
          <t>NEW</t>
        </is>
      </c>
      <c r="Q1663" t="inlineStr">
        <is>
          <t>NETTER</t>
        </is>
      </c>
    </row>
    <row r="1664">
      <c r="A1664" t="inlineStr">
        <is>
          <t>898317028833</t>
        </is>
      </c>
      <c r="B1664" t="inlineStr">
        <is>
          <t>TCC</t>
        </is>
      </c>
      <c r="C1664" t="inlineStr">
        <is>
          <t>BRAA</t>
        </is>
      </c>
      <c r="D1664" s="6" t="n">
        <v>46253</v>
      </c>
      <c r="E1664" t="inlineStr">
        <is>
          <t>DR</t>
        </is>
      </c>
      <c r="F1664" t="inlineStr">
        <is>
          <t>GBP</t>
        </is>
      </c>
      <c r="G1664" s="7" t="n">
        <v>-347292398.585</v>
      </c>
      <c r="H1664" t="inlineStr">
        <is>
          <t>GBP</t>
        </is>
      </c>
      <c r="I1664" s="7" t="n">
        <v>-347292398.585</v>
      </c>
      <c r="J1664" s="8" t="n">
        <v>46253.53517361111</v>
      </c>
      <c r="K1664" t="inlineStr">
        <is>
          <t>CF260819 01658</t>
        </is>
      </c>
      <c r="L1664" t="inlineStr">
        <is>
          <t>GL.NOSTRO.GBP.BRAA.005</t>
        </is>
      </c>
      <c r="M1664" t="inlineStr">
        <is>
          <t>Elmwood Trust</t>
        </is>
      </c>
      <c r="N1664" t="inlineStr">
        <is>
          <t>BRAACASH</t>
        </is>
      </c>
      <c r="O1664" t="inlineStr">
        <is>
          <t>NEW</t>
        </is>
      </c>
      <c r="P1664" t="inlineStr">
        <is>
          <t>NT26081900684</t>
        </is>
      </c>
      <c r="Q1664" t="inlineStr">
        <is>
          <t>NETTER</t>
        </is>
      </c>
    </row>
    <row r="1665">
      <c r="A1665" t="inlineStr">
        <is>
          <t>968942362772</t>
        </is>
      </c>
      <c r="B1665" t="inlineStr">
        <is>
          <t>TCQ</t>
        </is>
      </c>
      <c r="C1665" t="inlineStr">
        <is>
          <t>BRYG</t>
        </is>
      </c>
      <c r="D1665" s="6" t="n">
        <v>46253</v>
      </c>
      <c r="E1665" t="inlineStr">
        <is>
          <t>CR</t>
        </is>
      </c>
      <c r="F1665" t="inlineStr">
        <is>
          <t>EUR</t>
        </is>
      </c>
      <c r="G1665" s="7" t="n">
        <v>48207569.791</v>
      </c>
      <c r="H1665" t="inlineStr">
        <is>
          <t>GBP</t>
        </is>
      </c>
      <c r="I1665" s="7" t="n">
        <v>41362094.881</v>
      </c>
      <c r="J1665" s="8" t="n">
        <v>46253.39519675926</v>
      </c>
      <c r="K1665" t="inlineStr">
        <is>
          <t>CF260819 01659</t>
        </is>
      </c>
      <c r="L1665" t="inlineStr">
        <is>
          <t>GL.NOSTRO.EUR.BRYG.002</t>
        </is>
      </c>
      <c r="M1665" t="inlineStr">
        <is>
          <t>Elmwood Settlement Bank</t>
        </is>
      </c>
      <c r="N1665" t="inlineStr">
        <is>
          <t>BRYGMM</t>
        </is>
      </c>
      <c r="O1665" t="inlineStr">
        <is>
          <t>NEW</t>
        </is>
      </c>
      <c r="Q1665" t="inlineStr">
        <is>
          <t>GROSS</t>
        </is>
      </c>
    </row>
    <row r="1666">
      <c r="A1666" t="inlineStr">
        <is>
          <t>359365220160</t>
        </is>
      </c>
      <c r="B1666" t="inlineStr">
        <is>
          <t>TCQ</t>
        </is>
      </c>
      <c r="C1666" t="inlineStr">
        <is>
          <t>BRGX</t>
        </is>
      </c>
      <c r="D1666" s="6" t="n">
        <v>46253</v>
      </c>
      <c r="E1666" t="inlineStr">
        <is>
          <t>CR</t>
        </is>
      </c>
      <c r="F1666" t="inlineStr">
        <is>
          <t>EUR</t>
        </is>
      </c>
      <c r="G1666" s="7" t="n">
        <v>9591504.982999999</v>
      </c>
      <c r="H1666" t="inlineStr">
        <is>
          <t>GBP</t>
        </is>
      </c>
      <c r="I1666" s="7" t="n">
        <v>8229511.275</v>
      </c>
      <c r="J1666" s="8" t="n">
        <v>46253.63082175926</v>
      </c>
      <c r="K1666" t="inlineStr">
        <is>
          <t>CF260819 01660</t>
        </is>
      </c>
      <c r="L1666" t="inlineStr">
        <is>
          <t>GL.NOSTRO.EUR.BRGX.001</t>
        </is>
      </c>
      <c r="M1666" t="inlineStr">
        <is>
          <t>Redstart Trust</t>
        </is>
      </c>
      <c r="N1666" t="inlineStr">
        <is>
          <t>BRGXMM</t>
        </is>
      </c>
      <c r="O1666" t="inlineStr">
        <is>
          <t>NEW</t>
        </is>
      </c>
      <c r="P1666" t="inlineStr">
        <is>
          <t>NT26081900668</t>
        </is>
      </c>
      <c r="Q1666" t="inlineStr">
        <is>
          <t>INTERNAL</t>
        </is>
      </c>
    </row>
    <row r="1667">
      <c r="A1667" t="inlineStr">
        <is>
          <t>621381112674</t>
        </is>
      </c>
      <c r="B1667" t="inlineStr">
        <is>
          <t>TCP</t>
        </is>
      </c>
      <c r="C1667" t="inlineStr">
        <is>
          <t>BRAA</t>
        </is>
      </c>
      <c r="D1667" s="6" t="n">
        <v>46253</v>
      </c>
      <c r="E1667" t="inlineStr">
        <is>
          <t>CR</t>
        </is>
      </c>
      <c r="F1667" t="inlineStr">
        <is>
          <t>PLN</t>
        </is>
      </c>
      <c r="G1667" s="7" t="n">
        <v>20625.097</v>
      </c>
      <c r="H1667" t="inlineStr">
        <is>
          <t>GBP</t>
        </is>
      </c>
      <c r="I1667" s="7" t="n">
        <v>4083.769</v>
      </c>
      <c r="J1667" s="8" t="n">
        <v>46253.17711805556</v>
      </c>
      <c r="K1667" t="inlineStr">
        <is>
          <t>CF260819 01661</t>
        </is>
      </c>
      <c r="L1667" t="inlineStr">
        <is>
          <t>GL.NOSTRO.PLN.BRAA.009</t>
        </is>
      </c>
      <c r="M1667" t="inlineStr">
        <is>
          <t>Pinehurst Clearing</t>
        </is>
      </c>
      <c r="N1667" t="inlineStr">
        <is>
          <t>BRAATRSY</t>
        </is>
      </c>
      <c r="O1667" t="inlineStr">
        <is>
          <t>NEW</t>
        </is>
      </c>
      <c r="Q1667" t="inlineStr">
        <is>
          <t>NETTER</t>
        </is>
      </c>
    </row>
    <row r="1668">
      <c r="A1668" t="inlineStr">
        <is>
          <t>132544340094</t>
        </is>
      </c>
      <c r="B1668" t="inlineStr">
        <is>
          <t>TCP</t>
        </is>
      </c>
      <c r="C1668" t="inlineStr">
        <is>
          <t>BRYG</t>
        </is>
      </c>
      <c r="D1668" s="6" t="n">
        <v>46253</v>
      </c>
      <c r="E1668" t="inlineStr">
        <is>
          <t>DR</t>
        </is>
      </c>
      <c r="F1668" t="inlineStr">
        <is>
          <t>CZK</t>
        </is>
      </c>
      <c r="G1668" s="7" t="n">
        <v>-110932919.793</v>
      </c>
      <c r="H1668" t="inlineStr">
        <is>
          <t>GBP</t>
        </is>
      </c>
      <c r="I1668" s="7" t="n">
        <v>-3760625.981</v>
      </c>
      <c r="J1668" s="8" t="n">
        <v>46253.66949074074</v>
      </c>
      <c r="K1668" t="inlineStr">
        <is>
          <t>CF260819 01662</t>
        </is>
      </c>
      <c r="L1668" t="inlineStr">
        <is>
          <t>GL.NOSTRO.CZK.BRYG.007</t>
        </is>
      </c>
      <c r="M1668" t="inlineStr">
        <is>
          <t>Mallow Clearing</t>
        </is>
      </c>
      <c r="N1668" t="inlineStr">
        <is>
          <t>BRYGMM</t>
        </is>
      </c>
      <c r="O1668" t="inlineStr">
        <is>
          <t>NEW</t>
        </is>
      </c>
      <c r="Q1668" t="inlineStr">
        <is>
          <t>NETTER</t>
        </is>
      </c>
    </row>
    <row r="1669">
      <c r="A1669" t="inlineStr">
        <is>
          <t>621381112674</t>
        </is>
      </c>
      <c r="B1669" t="inlineStr">
        <is>
          <t>TCC</t>
        </is>
      </c>
      <c r="C1669" t="inlineStr">
        <is>
          <t>BRAA</t>
        </is>
      </c>
      <c r="D1669" s="6" t="n">
        <v>46253</v>
      </c>
      <c r="E1669" t="inlineStr">
        <is>
          <t>CR</t>
        </is>
      </c>
      <c r="F1669" t="inlineStr">
        <is>
          <t>PLN</t>
        </is>
      </c>
      <c r="G1669" s="7" t="n">
        <v>171700796.725</v>
      </c>
      <c r="H1669" t="inlineStr">
        <is>
          <t>GBP</t>
        </is>
      </c>
      <c r="I1669" s="7" t="n">
        <v>33996757.752</v>
      </c>
      <c r="J1669" s="8" t="n">
        <v>46253.62467592592</v>
      </c>
      <c r="K1669" t="inlineStr">
        <is>
          <t>CF260819 01663</t>
        </is>
      </c>
      <c r="L1669" t="inlineStr">
        <is>
          <t>GL.NOSTRO.PLN.BRAA.008</t>
        </is>
      </c>
      <c r="M1669" t="inlineStr">
        <is>
          <t>Granite Bank</t>
        </is>
      </c>
      <c r="N1669" t="inlineStr">
        <is>
          <t>BRAACASH</t>
        </is>
      </c>
      <c r="O1669" t="inlineStr">
        <is>
          <t>NEW</t>
        </is>
      </c>
      <c r="Q1669" t="inlineStr">
        <is>
          <t>GROSS</t>
        </is>
      </c>
    </row>
    <row r="1670">
      <c r="A1670" t="inlineStr">
        <is>
          <t>359365220160</t>
        </is>
      </c>
      <c r="B1670" t="inlineStr">
        <is>
          <t>TCC</t>
        </is>
      </c>
      <c r="C1670" t="inlineStr">
        <is>
          <t>BRGX</t>
        </is>
      </c>
      <c r="D1670" s="6" t="n">
        <v>46253</v>
      </c>
      <c r="E1670" t="inlineStr">
        <is>
          <t>DR</t>
        </is>
      </c>
      <c r="F1670" t="inlineStr">
        <is>
          <t>EUR</t>
        </is>
      </c>
      <c r="G1670" s="7" t="n">
        <v>-40997495.618</v>
      </c>
      <c r="H1670" t="inlineStr">
        <is>
          <t>GBP</t>
        </is>
      </c>
      <c r="I1670" s="7" t="n">
        <v>-35175851.24</v>
      </c>
      <c r="J1670" s="8" t="n">
        <v>46253.37400462963</v>
      </c>
      <c r="K1670" t="inlineStr">
        <is>
          <t>CF260819 01664</t>
        </is>
      </c>
      <c r="L1670" t="inlineStr">
        <is>
          <t>GL.NOSTRO.EUR.BRGX.003</t>
        </is>
      </c>
      <c r="M1670" t="inlineStr">
        <is>
          <t>Granite Bank</t>
        </is>
      </c>
      <c r="N1670" t="inlineStr">
        <is>
          <t>BRGXCASH</t>
        </is>
      </c>
      <c r="O1670" t="inlineStr">
        <is>
          <t>NEW</t>
        </is>
      </c>
      <c r="Q1670" t="inlineStr">
        <is>
          <t>NETTER</t>
        </is>
      </c>
    </row>
    <row r="1671">
      <c r="A1671" t="inlineStr">
        <is>
          <t>468341071172</t>
        </is>
      </c>
      <c r="B1671" t="inlineStr">
        <is>
          <t>TCG</t>
        </is>
      </c>
      <c r="C1671" t="inlineStr">
        <is>
          <t>BRCC</t>
        </is>
      </c>
      <c r="D1671" s="6" t="n">
        <v>46253</v>
      </c>
      <c r="E1671" t="inlineStr">
        <is>
          <t>DR</t>
        </is>
      </c>
      <c r="F1671" t="inlineStr">
        <is>
          <t>EUR</t>
        </is>
      </c>
      <c r="G1671" s="7" t="n">
        <v>-1.162</v>
      </c>
      <c r="H1671" t="inlineStr">
        <is>
          <t>GBP</t>
        </is>
      </c>
      <c r="I1671" s="7" t="n">
        <v>-0.997</v>
      </c>
      <c r="J1671" s="8" t="n">
        <v>46253.73612268519</v>
      </c>
      <c r="K1671" t="inlineStr">
        <is>
          <t>CF260819 01665</t>
        </is>
      </c>
      <c r="L1671" t="inlineStr">
        <is>
          <t>GL.NOSTRO.EUR.BRCC.004</t>
        </is>
      </c>
      <c r="M1671" t="inlineStr">
        <is>
          <t>Vetchling Bank</t>
        </is>
      </c>
      <c r="N1671" t="inlineStr">
        <is>
          <t>BRCCTRSY</t>
        </is>
      </c>
      <c r="O1671" t="inlineStr">
        <is>
          <t>NEW</t>
        </is>
      </c>
      <c r="Q1671" t="inlineStr">
        <is>
          <t>GROSS</t>
        </is>
      </c>
    </row>
    <row r="1672">
      <c r="A1672" t="inlineStr">
        <is>
          <t>468341071172</t>
        </is>
      </c>
      <c r="B1672" t="inlineStr">
        <is>
          <t>TCC</t>
        </is>
      </c>
      <c r="C1672" t="inlineStr">
        <is>
          <t>BRCC</t>
        </is>
      </c>
      <c r="D1672" s="6" t="n">
        <v>46253</v>
      </c>
      <c r="E1672" t="inlineStr">
        <is>
          <t>CR</t>
        </is>
      </c>
      <c r="F1672" t="inlineStr">
        <is>
          <t>EUR</t>
        </is>
      </c>
      <c r="G1672" s="7" t="n">
        <v>10370.413</v>
      </c>
      <c r="H1672" t="inlineStr">
        <is>
          <t>GBP</t>
        </is>
      </c>
      <c r="I1672" s="7" t="n">
        <v>8897.814</v>
      </c>
      <c r="J1672" s="8" t="n">
        <v>46253.188125</v>
      </c>
      <c r="K1672" t="inlineStr">
        <is>
          <t>CF260819 01666</t>
        </is>
      </c>
      <c r="L1672" t="inlineStr">
        <is>
          <t>GL.NOSTRO.EUR.BRCC.007</t>
        </is>
      </c>
      <c r="M1672" t="inlineStr">
        <is>
          <t>Granite Clearing</t>
        </is>
      </c>
      <c r="N1672" t="inlineStr">
        <is>
          <t>BRCCTRSY</t>
        </is>
      </c>
      <c r="O1672" t="inlineStr">
        <is>
          <t>NEW</t>
        </is>
      </c>
      <c r="Q1672" t="inlineStr">
        <is>
          <t>GROSS</t>
        </is>
      </c>
    </row>
    <row r="1673">
      <c r="A1673" t="inlineStr">
        <is>
          <t>468341071172</t>
        </is>
      </c>
      <c r="B1673" t="inlineStr">
        <is>
          <t>TCQ</t>
        </is>
      </c>
      <c r="C1673" t="inlineStr">
        <is>
          <t>BRCC</t>
        </is>
      </c>
      <c r="D1673" s="6" t="n">
        <v>46253</v>
      </c>
      <c r="E1673" t="inlineStr">
        <is>
          <t>DR</t>
        </is>
      </c>
      <c r="F1673" t="inlineStr">
        <is>
          <t>EUR</t>
        </is>
      </c>
      <c r="G1673" s="7" t="n">
        <v>-119839908.783</v>
      </c>
      <c r="H1673" t="inlineStr">
        <is>
          <t>GBP</t>
        </is>
      </c>
      <c r="I1673" s="7" t="n">
        <v>-102822641.736</v>
      </c>
      <c r="J1673" s="8" t="n">
        <v>46253.13537037037</v>
      </c>
      <c r="K1673" t="inlineStr">
        <is>
          <t>CF260819 01667</t>
        </is>
      </c>
      <c r="L1673" t="inlineStr">
        <is>
          <t>GL.NOSTRO.EUR.BRCC.002</t>
        </is>
      </c>
      <c r="M1673" t="inlineStr">
        <is>
          <t>Yarrow Clearing</t>
        </is>
      </c>
      <c r="N1673" t="inlineStr">
        <is>
          <t>BRCCTRSY</t>
        </is>
      </c>
      <c r="O1673" t="inlineStr">
        <is>
          <t>NEW</t>
        </is>
      </c>
      <c r="Q1673" t="inlineStr">
        <is>
          <t>INTERNAL</t>
        </is>
      </c>
    </row>
    <row r="1674">
      <c r="A1674" t="inlineStr">
        <is>
          <t>700726936098</t>
        </is>
      </c>
      <c r="B1674" t="inlineStr">
        <is>
          <t>TCC</t>
        </is>
      </c>
      <c r="C1674" t="inlineStr">
        <is>
          <t>BRMD</t>
        </is>
      </c>
      <c r="D1674" s="6" t="n">
        <v>46253</v>
      </c>
      <c r="E1674" t="inlineStr">
        <is>
          <t>DR</t>
        </is>
      </c>
      <c r="F1674" t="inlineStr">
        <is>
          <t>SAR</t>
        </is>
      </c>
      <c r="G1674" s="7" t="n">
        <v>-115995480.665</v>
      </c>
      <c r="H1674" t="inlineStr">
        <is>
          <t>GBP</t>
        </is>
      </c>
      <c r="I1674" s="7" t="n">
        <v>-24243055.459</v>
      </c>
      <c r="J1674" s="8" t="n">
        <v>46253.39711805555</v>
      </c>
      <c r="K1674" t="inlineStr">
        <is>
          <t>CF260819 01668</t>
        </is>
      </c>
      <c r="L1674" t="inlineStr">
        <is>
          <t>GL.NOSTRO.SAR.BRMD.005</t>
        </is>
      </c>
      <c r="M1674" t="inlineStr">
        <is>
          <t>Vetchling Commercial Bank</t>
        </is>
      </c>
      <c r="N1674" t="inlineStr">
        <is>
          <t>BRMDCASH</t>
        </is>
      </c>
      <c r="O1674" t="inlineStr">
        <is>
          <t>AMEND</t>
        </is>
      </c>
      <c r="Q1674" t="inlineStr">
        <is>
          <t>GROSS</t>
        </is>
      </c>
    </row>
    <row r="1675">
      <c r="A1675" t="inlineStr">
        <is>
          <t>824840705580</t>
        </is>
      </c>
      <c r="B1675" t="inlineStr">
        <is>
          <t>TCC</t>
        </is>
      </c>
      <c r="C1675" t="inlineStr">
        <is>
          <t>BRGL</t>
        </is>
      </c>
      <c r="D1675" s="6" t="n">
        <v>46253</v>
      </c>
      <c r="E1675" t="inlineStr">
        <is>
          <t>CR</t>
        </is>
      </c>
      <c r="F1675" t="inlineStr">
        <is>
          <t>EUR</t>
        </is>
      </c>
      <c r="G1675" s="7" t="n">
        <v>4496450.608</v>
      </c>
      <c r="H1675" t="inlineStr">
        <is>
          <t>GBP</t>
        </is>
      </c>
      <c r="I1675" s="7" t="n">
        <v>3857954.622</v>
      </c>
      <c r="J1675" s="8" t="n">
        <v>46253.36458333334</v>
      </c>
      <c r="K1675" t="inlineStr">
        <is>
          <t>CF260819 01669</t>
        </is>
      </c>
      <c r="L1675" t="inlineStr">
        <is>
          <t>GL.NOSTRO.EUR.BRGL.006</t>
        </is>
      </c>
      <c r="M1675" t="inlineStr">
        <is>
          <t>Wrenfield Commercial Bank</t>
        </is>
      </c>
      <c r="N1675" t="inlineStr">
        <is>
          <t>BRGLMM</t>
        </is>
      </c>
      <c r="O1675" t="inlineStr">
        <is>
          <t>NEW</t>
        </is>
      </c>
      <c r="P1675" t="inlineStr">
        <is>
          <t>NT26081900663</t>
        </is>
      </c>
      <c r="Q1675" t="inlineStr">
        <is>
          <t>GROSS</t>
        </is>
      </c>
    </row>
    <row r="1676">
      <c r="A1676" t="inlineStr">
        <is>
          <t>132544340094</t>
        </is>
      </c>
      <c r="B1676" t="inlineStr">
        <is>
          <t>TCQ</t>
        </is>
      </c>
      <c r="C1676" t="inlineStr">
        <is>
          <t>BRYG</t>
        </is>
      </c>
      <c r="D1676" s="6" t="n">
        <v>46253</v>
      </c>
      <c r="E1676" t="inlineStr">
        <is>
          <t>DR</t>
        </is>
      </c>
      <c r="F1676" t="inlineStr">
        <is>
          <t>CZK</t>
        </is>
      </c>
      <c r="G1676" s="7" t="n">
        <v>-44855999.806</v>
      </c>
      <c r="H1676" t="inlineStr">
        <is>
          <t>GBP</t>
        </is>
      </c>
      <c r="I1676" s="7" t="n">
        <v>-1520618.393</v>
      </c>
      <c r="J1676" s="8" t="n">
        <v>46253.53226851852</v>
      </c>
      <c r="K1676" t="inlineStr">
        <is>
          <t>CF260819 01670</t>
        </is>
      </c>
      <c r="L1676" t="inlineStr">
        <is>
          <t>GL.NOSTRO.CZK.BRYG.009</t>
        </is>
      </c>
      <c r="M1676" t="inlineStr">
        <is>
          <t>Vetchling Bank</t>
        </is>
      </c>
      <c r="N1676" t="inlineStr">
        <is>
          <t>BRYG</t>
        </is>
      </c>
      <c r="O1676" t="inlineStr">
        <is>
          <t>NEW</t>
        </is>
      </c>
      <c r="Q1676" t="inlineStr">
        <is>
          <t>GROSS</t>
        </is>
      </c>
    </row>
    <row r="1677">
      <c r="A1677" t="inlineStr">
        <is>
          <t>968942362772</t>
        </is>
      </c>
      <c r="B1677" t="inlineStr">
        <is>
          <t>TCG</t>
        </is>
      </c>
      <c r="C1677" t="inlineStr">
        <is>
          <t>BRYG</t>
        </is>
      </c>
      <c r="D1677" s="6" t="n">
        <v>46253</v>
      </c>
      <c r="E1677" t="inlineStr">
        <is>
          <t>DR</t>
        </is>
      </c>
      <c r="F1677" t="inlineStr">
        <is>
          <t>EUR</t>
        </is>
      </c>
      <c r="G1677" s="7" t="n">
        <v>-48137198.499</v>
      </c>
      <c r="H1677" t="inlineStr">
        <is>
          <t>GBP</t>
        </is>
      </c>
      <c r="I1677" s="7" t="n">
        <v>-41301716.312</v>
      </c>
      <c r="J1677" s="8" t="n">
        <v>46253.63061342593</v>
      </c>
      <c r="K1677" t="inlineStr">
        <is>
          <t>CF260819 01671</t>
        </is>
      </c>
      <c r="L1677" t="inlineStr">
        <is>
          <t>GL.NOSTRO.EUR.BRYG.004</t>
        </is>
      </c>
      <c r="M1677" t="inlineStr">
        <is>
          <t>Sablewood Clearing</t>
        </is>
      </c>
      <c r="N1677" t="inlineStr">
        <is>
          <t>BRYGCASH</t>
        </is>
      </c>
      <c r="O1677" t="inlineStr">
        <is>
          <t>NEW</t>
        </is>
      </c>
      <c r="P1677" t="inlineStr">
        <is>
          <t>NT26081900668</t>
        </is>
      </c>
      <c r="Q1677" t="inlineStr">
        <is>
          <t>NETTER</t>
        </is>
      </c>
    </row>
    <row r="1678">
      <c r="A1678" t="inlineStr">
        <is>
          <t>468341071172</t>
        </is>
      </c>
      <c r="B1678" t="inlineStr">
        <is>
          <t>TCQ</t>
        </is>
      </c>
      <c r="C1678" t="inlineStr">
        <is>
          <t>BRCC</t>
        </is>
      </c>
      <c r="D1678" s="6" t="n">
        <v>46253</v>
      </c>
      <c r="E1678" t="inlineStr">
        <is>
          <t>CR</t>
        </is>
      </c>
      <c r="F1678" t="inlineStr">
        <is>
          <t>EUR</t>
        </is>
      </c>
      <c r="G1678" s="7" t="n">
        <v>160011577.084</v>
      </c>
      <c r="H1678" t="inlineStr">
        <is>
          <t>GBP</t>
        </is>
      </c>
      <c r="I1678" s="7" t="n">
        <v>137289933.138</v>
      </c>
      <c r="J1678" s="8" t="n">
        <v>46253.83010416666</v>
      </c>
      <c r="K1678" t="inlineStr">
        <is>
          <t>CF260819 01672</t>
        </is>
      </c>
      <c r="L1678" t="inlineStr">
        <is>
          <t>GL.NOSTRO.EUR.BRCC.005</t>
        </is>
      </c>
      <c r="M1678" t="inlineStr">
        <is>
          <t>Elmwood Settlement Bank</t>
        </is>
      </c>
      <c r="N1678" t="inlineStr">
        <is>
          <t>BRCCCASH</t>
        </is>
      </c>
      <c r="O1678" t="inlineStr">
        <is>
          <t>NEW</t>
        </is>
      </c>
      <c r="Q1678" t="inlineStr">
        <is>
          <t>INTERNAL</t>
        </is>
      </c>
    </row>
    <row r="1679">
      <c r="A1679" t="inlineStr">
        <is>
          <t>898317028833</t>
        </is>
      </c>
      <c r="B1679" t="inlineStr">
        <is>
          <t>TCQ</t>
        </is>
      </c>
      <c r="C1679" t="inlineStr">
        <is>
          <t>BRAA</t>
        </is>
      </c>
      <c r="D1679" s="6" t="n">
        <v>46253</v>
      </c>
      <c r="E1679" t="inlineStr">
        <is>
          <t>DR</t>
        </is>
      </c>
      <c r="F1679" t="inlineStr">
        <is>
          <t>GBP</t>
        </is>
      </c>
      <c r="G1679" s="7" t="n">
        <v>-41787.558</v>
      </c>
      <c r="H1679" t="inlineStr">
        <is>
          <t>GBP</t>
        </is>
      </c>
      <c r="I1679" s="7" t="n">
        <v>-41787.558</v>
      </c>
      <c r="J1679" s="8" t="n">
        <v>46253.34886574074</v>
      </c>
      <c r="K1679" t="inlineStr">
        <is>
          <t>CF260819 01673</t>
        </is>
      </c>
      <c r="L1679" t="inlineStr">
        <is>
          <t>GL.NOSTRO.GBP.BRAA.007</t>
        </is>
      </c>
      <c r="M1679" t="inlineStr">
        <is>
          <t>Vetchling Commercial Bank</t>
        </is>
      </c>
      <c r="N1679" t="inlineStr">
        <is>
          <t>BRAA</t>
        </is>
      </c>
      <c r="O1679" t="inlineStr">
        <is>
          <t>NEW</t>
        </is>
      </c>
      <c r="Q1679" t="inlineStr">
        <is>
          <t>INTERNAL</t>
        </is>
      </c>
    </row>
    <row r="1680">
      <c r="A1680" t="inlineStr">
        <is>
          <t>824840705580</t>
        </is>
      </c>
      <c r="B1680" t="inlineStr">
        <is>
          <t>TCG</t>
        </is>
      </c>
      <c r="C1680" t="inlineStr">
        <is>
          <t>BRGL</t>
        </is>
      </c>
      <c r="D1680" s="6" t="n">
        <v>46253</v>
      </c>
      <c r="E1680" t="inlineStr">
        <is>
          <t>CR</t>
        </is>
      </c>
      <c r="F1680" t="inlineStr">
        <is>
          <t>EUR</t>
        </is>
      </c>
      <c r="G1680" s="7" t="n">
        <v>2460.74</v>
      </c>
      <c r="H1680" t="inlineStr">
        <is>
          <t>GBP</t>
        </is>
      </c>
      <c r="I1680" s="7" t="n">
        <v>2111.315</v>
      </c>
      <c r="J1680" s="8" t="n">
        <v>46253.68481481481</v>
      </c>
      <c r="K1680" t="inlineStr">
        <is>
          <t>CF260819 01674</t>
        </is>
      </c>
      <c r="L1680" t="inlineStr">
        <is>
          <t>GL.NOSTRO.EUR.BRGL.001</t>
        </is>
      </c>
      <c r="M1680" t="inlineStr">
        <is>
          <t>Yarrow Commercial Bank</t>
        </is>
      </c>
      <c r="N1680" t="inlineStr">
        <is>
          <t>BRGL</t>
        </is>
      </c>
      <c r="O1680" t="inlineStr">
        <is>
          <t>NEW</t>
        </is>
      </c>
      <c r="P1680" t="inlineStr">
        <is>
          <t>NT26081900695</t>
        </is>
      </c>
      <c r="Q1680" t="inlineStr">
        <is>
          <t>GROSS</t>
        </is>
      </c>
    </row>
    <row r="1681">
      <c r="A1681" t="inlineStr">
        <is>
          <t>824840705580</t>
        </is>
      </c>
      <c r="B1681" t="inlineStr">
        <is>
          <t>TCP</t>
        </is>
      </c>
      <c r="C1681" t="inlineStr">
        <is>
          <t>BRGL</t>
        </is>
      </c>
      <c r="D1681" s="6" t="n">
        <v>46253</v>
      </c>
      <c r="E1681" t="inlineStr">
        <is>
          <t>DR</t>
        </is>
      </c>
      <c r="F1681" t="inlineStr">
        <is>
          <t>EUR</t>
        </is>
      </c>
      <c r="G1681" s="7" t="n">
        <v>-16128.107</v>
      </c>
      <c r="H1681" t="inlineStr">
        <is>
          <t>GBP</t>
        </is>
      </c>
      <c r="I1681" s="7" t="n">
        <v>-13837.916</v>
      </c>
      <c r="J1681" s="8" t="n">
        <v>46253.38107638889</v>
      </c>
      <c r="K1681" t="inlineStr">
        <is>
          <t>CF260819 01675</t>
        </is>
      </c>
      <c r="L1681" t="inlineStr">
        <is>
          <t>GL.NOSTRO.EUR.BRGL.004</t>
        </is>
      </c>
      <c r="M1681" t="inlineStr">
        <is>
          <t>Mallow Commercial Bank</t>
        </is>
      </c>
      <c r="N1681" t="inlineStr">
        <is>
          <t>BRGLMM</t>
        </is>
      </c>
      <c r="O1681" t="inlineStr">
        <is>
          <t>NEW</t>
        </is>
      </c>
      <c r="Q1681" t="inlineStr">
        <is>
          <t>NETTER</t>
        </is>
      </c>
    </row>
    <row r="1682">
      <c r="A1682" t="inlineStr">
        <is>
          <t>621381112674</t>
        </is>
      </c>
      <c r="B1682" t="inlineStr">
        <is>
          <t>TCQ</t>
        </is>
      </c>
      <c r="C1682" t="inlineStr">
        <is>
          <t>BRAA</t>
        </is>
      </c>
      <c r="D1682" s="6" t="n">
        <v>46253</v>
      </c>
      <c r="E1682" t="inlineStr">
        <is>
          <t>CR</t>
        </is>
      </c>
      <c r="F1682" t="inlineStr">
        <is>
          <t>PLN</t>
        </is>
      </c>
      <c r="G1682" s="7" t="n">
        <v>208542018.443</v>
      </c>
      <c r="H1682" t="inlineStr">
        <is>
          <t>GBP</t>
        </is>
      </c>
      <c r="I1682" s="7" t="n">
        <v>41291319.652</v>
      </c>
      <c r="J1682" s="8" t="n">
        <v>46253.48517361111</v>
      </c>
      <c r="K1682" t="inlineStr">
        <is>
          <t>CF260819 01676</t>
        </is>
      </c>
      <c r="L1682" t="inlineStr">
        <is>
          <t>GL.NOSTRO.PLN.BRAA.002</t>
        </is>
      </c>
      <c r="M1682" t="inlineStr">
        <is>
          <t>Mallow Trust</t>
        </is>
      </c>
      <c r="N1682" t="inlineStr">
        <is>
          <t>BRAA</t>
        </is>
      </c>
      <c r="O1682" t="inlineStr">
        <is>
          <t>NEW</t>
        </is>
      </c>
      <c r="Q1682" t="inlineStr">
        <is>
          <t>GROSS</t>
        </is>
      </c>
    </row>
    <row r="1683">
      <c r="A1683" t="inlineStr">
        <is>
          <t>499062838623</t>
        </is>
      </c>
      <c r="B1683" t="inlineStr">
        <is>
          <t>TCX</t>
        </is>
      </c>
      <c r="C1683" t="inlineStr">
        <is>
          <t>BRBX</t>
        </is>
      </c>
      <c r="D1683" s="6" t="n">
        <v>46253</v>
      </c>
      <c r="E1683" t="inlineStr">
        <is>
          <t>CR</t>
        </is>
      </c>
      <c r="F1683" t="inlineStr">
        <is>
          <t>USD</t>
        </is>
      </c>
      <c r="G1683" s="7" t="n">
        <v>2370027.105</v>
      </c>
      <c r="H1683" t="inlineStr">
        <is>
          <t>GBP</t>
        </is>
      </c>
      <c r="I1683" s="7" t="n">
        <v>1858101.25</v>
      </c>
      <c r="J1683" s="8" t="n">
        <v>46253.34195601852</v>
      </c>
      <c r="K1683" t="inlineStr">
        <is>
          <t>CF260819 01677</t>
        </is>
      </c>
      <c r="L1683" t="inlineStr">
        <is>
          <t>GL.NOSTRO.USD.BRBX.008</t>
        </is>
      </c>
      <c r="M1683" t="inlineStr">
        <is>
          <t>Mallow Trust</t>
        </is>
      </c>
      <c r="N1683" t="inlineStr">
        <is>
          <t>BRBXTRSY</t>
        </is>
      </c>
      <c r="O1683" t="inlineStr">
        <is>
          <t>NEW</t>
        </is>
      </c>
      <c r="P1683" t="inlineStr">
        <is>
          <t>NT26081900666</t>
        </is>
      </c>
      <c r="Q1683" t="inlineStr">
        <is>
          <t>NETTER</t>
        </is>
      </c>
    </row>
    <row r="1684">
      <c r="A1684" t="inlineStr">
        <is>
          <t>468341071172</t>
        </is>
      </c>
      <c r="B1684" t="inlineStr">
        <is>
          <t>TCC</t>
        </is>
      </c>
      <c r="C1684" t="inlineStr">
        <is>
          <t>BRCC</t>
        </is>
      </c>
      <c r="D1684" s="6" t="n">
        <v>46253</v>
      </c>
      <c r="E1684" t="inlineStr">
        <is>
          <t>DR</t>
        </is>
      </c>
      <c r="F1684" t="inlineStr">
        <is>
          <t>EUR</t>
        </is>
      </c>
      <c r="G1684" s="7" t="n">
        <v>-18307328.348</v>
      </c>
      <c r="H1684" t="inlineStr">
        <is>
          <t>GBP</t>
        </is>
      </c>
      <c r="I1684" s="7" t="n">
        <v>-15707687.723</v>
      </c>
      <c r="J1684" s="8" t="n">
        <v>46253.4625</v>
      </c>
      <c r="K1684" t="inlineStr">
        <is>
          <t>CF260819 01678</t>
        </is>
      </c>
      <c r="L1684" t="inlineStr">
        <is>
          <t>GL.NOSTRO.EUR.BRCC.002</t>
        </is>
      </c>
      <c r="M1684" t="inlineStr">
        <is>
          <t>Vetchling Bank</t>
        </is>
      </c>
      <c r="N1684" t="inlineStr">
        <is>
          <t>BRCCMM</t>
        </is>
      </c>
      <c r="O1684" t="inlineStr">
        <is>
          <t>NEW</t>
        </is>
      </c>
      <c r="P1684" t="inlineStr">
        <is>
          <t>NT26081900667</t>
        </is>
      </c>
      <c r="Q1684" t="inlineStr">
        <is>
          <t>NETTER</t>
        </is>
      </c>
    </row>
    <row r="1685">
      <c r="A1685" t="inlineStr">
        <is>
          <t>499062838623</t>
        </is>
      </c>
      <c r="B1685" t="inlineStr">
        <is>
          <t>TCC</t>
        </is>
      </c>
      <c r="C1685" t="inlineStr">
        <is>
          <t>BRBX</t>
        </is>
      </c>
      <c r="D1685" s="6" t="n">
        <v>46253</v>
      </c>
      <c r="E1685" t="inlineStr">
        <is>
          <t>DR</t>
        </is>
      </c>
      <c r="F1685" t="inlineStr">
        <is>
          <t>USD</t>
        </is>
      </c>
      <c r="G1685" s="7" t="n">
        <v>-269706.853</v>
      </c>
      <c r="H1685" t="inlineStr">
        <is>
          <t>GBP</t>
        </is>
      </c>
      <c r="I1685" s="7" t="n">
        <v>-211450.173</v>
      </c>
      <c r="J1685" s="8" t="n">
        <v>46253.39837962963</v>
      </c>
      <c r="K1685" t="inlineStr">
        <is>
          <t>CF260819 01679</t>
        </is>
      </c>
      <c r="L1685" t="inlineStr">
        <is>
          <t>GL.NOSTRO.USD.BRBX.002</t>
        </is>
      </c>
      <c r="M1685" t="inlineStr">
        <is>
          <t>Nightjar Trust</t>
        </is>
      </c>
      <c r="N1685" t="inlineStr">
        <is>
          <t>BRBXCASH</t>
        </is>
      </c>
      <c r="O1685" t="inlineStr">
        <is>
          <t>NEW</t>
        </is>
      </c>
      <c r="P1685" t="inlineStr">
        <is>
          <t>NT26081900681</t>
        </is>
      </c>
      <c r="Q1685" t="inlineStr">
        <is>
          <t>GROSS</t>
        </is>
      </c>
    </row>
    <row r="1686">
      <c r="A1686" t="inlineStr">
        <is>
          <t>910703979141</t>
        </is>
      </c>
      <c r="B1686" t="inlineStr">
        <is>
          <t>TCP</t>
        </is>
      </c>
      <c r="C1686" t="inlineStr">
        <is>
          <t>BRCC</t>
        </is>
      </c>
      <c r="D1686" s="6" t="n">
        <v>46253</v>
      </c>
      <c r="E1686" t="inlineStr">
        <is>
          <t>DR</t>
        </is>
      </c>
      <c r="F1686" t="inlineStr">
        <is>
          <t>CHF</t>
        </is>
      </c>
      <c r="G1686" s="7" t="n">
        <v>-261246992.931</v>
      </c>
      <c r="H1686" t="inlineStr">
        <is>
          <t>GBP</t>
        </is>
      </c>
      <c r="I1686" s="7" t="n">
        <v>-234338552.659</v>
      </c>
      <c r="J1686" s="8" t="n">
        <v>46253.33068287037</v>
      </c>
      <c r="K1686" t="inlineStr">
        <is>
          <t>CF260819 01680</t>
        </is>
      </c>
      <c r="L1686" t="inlineStr">
        <is>
          <t>GL.NOSTRO.CHF.BRCC.001</t>
        </is>
      </c>
      <c r="M1686" t="inlineStr">
        <is>
          <t>Granite Bank</t>
        </is>
      </c>
      <c r="N1686" t="inlineStr">
        <is>
          <t>BRCCCASH</t>
        </is>
      </c>
      <c r="O1686" t="inlineStr">
        <is>
          <t>NEW</t>
        </is>
      </c>
      <c r="Q1686" t="inlineStr">
        <is>
          <t>GROSS</t>
        </is>
      </c>
    </row>
    <row r="1687">
      <c r="A1687" t="inlineStr">
        <is>
          <t>968942362772</t>
        </is>
      </c>
      <c r="B1687" t="inlineStr">
        <is>
          <t>TCP</t>
        </is>
      </c>
      <c r="C1687" t="inlineStr">
        <is>
          <t>BRYG</t>
        </is>
      </c>
      <c r="D1687" s="6" t="n">
        <v>46253</v>
      </c>
      <c r="E1687" t="inlineStr">
        <is>
          <t>DR</t>
        </is>
      </c>
      <c r="F1687" t="inlineStr">
        <is>
          <t>EUR</t>
        </is>
      </c>
      <c r="G1687" s="7" t="n">
        <v>-28874211.067</v>
      </c>
      <c r="H1687" t="inlineStr">
        <is>
          <t>GBP</t>
        </is>
      </c>
      <c r="I1687" s="7" t="n">
        <v>-24774073.095</v>
      </c>
      <c r="J1687" s="8" t="n">
        <v>46253.61927083333</v>
      </c>
      <c r="K1687" t="inlineStr">
        <is>
          <t>CF260819 01681</t>
        </is>
      </c>
      <c r="L1687" t="inlineStr">
        <is>
          <t>GL.NOSTRO.EUR.BRYG.006</t>
        </is>
      </c>
      <c r="M1687" t="inlineStr">
        <is>
          <t>Ironbark Trust</t>
        </is>
      </c>
      <c r="N1687" t="inlineStr">
        <is>
          <t>BRYG</t>
        </is>
      </c>
      <c r="O1687" t="inlineStr">
        <is>
          <t>NEW</t>
        </is>
      </c>
      <c r="P1687" t="inlineStr">
        <is>
          <t>NT26081900669</t>
        </is>
      </c>
      <c r="Q1687" t="inlineStr">
        <is>
          <t>NETTER</t>
        </is>
      </c>
    </row>
    <row r="1688">
      <c r="A1688" t="inlineStr">
        <is>
          <t>794226063698</t>
        </is>
      </c>
      <c r="B1688" t="inlineStr">
        <is>
          <t>TCG</t>
        </is>
      </c>
      <c r="C1688" t="inlineStr">
        <is>
          <t>BRMD</t>
        </is>
      </c>
      <c r="D1688" s="6" t="n">
        <v>46253</v>
      </c>
      <c r="E1688" t="inlineStr">
        <is>
          <t>DR</t>
        </is>
      </c>
      <c r="F1688" t="inlineStr">
        <is>
          <t>AED</t>
        </is>
      </c>
      <c r="G1688" s="7" t="n">
        <v>-804839.373</v>
      </c>
      <c r="H1688" t="inlineStr">
        <is>
          <t>GBP</t>
        </is>
      </c>
      <c r="I1688" s="7" t="n">
        <v>-171430.786</v>
      </c>
      <c r="J1688" s="8" t="n">
        <v>46253.28806712963</v>
      </c>
      <c r="K1688" t="inlineStr">
        <is>
          <t>CF260819 01682</t>
        </is>
      </c>
      <c r="L1688" t="inlineStr">
        <is>
          <t>GL.NOSTRO.AED.BRMD.003</t>
        </is>
      </c>
      <c r="M1688" t="inlineStr">
        <is>
          <t>Elmwood Bank</t>
        </is>
      </c>
      <c r="N1688" t="inlineStr">
        <is>
          <t>BRMD</t>
        </is>
      </c>
      <c r="O1688" t="inlineStr">
        <is>
          <t>NEW</t>
        </is>
      </c>
      <c r="P1688" t="inlineStr">
        <is>
          <t>NT26081900659</t>
        </is>
      </c>
      <c r="Q1688" t="inlineStr">
        <is>
          <t>GROSS</t>
        </is>
      </c>
    </row>
    <row r="1689">
      <c r="A1689" t="inlineStr">
        <is>
          <t>794226063698</t>
        </is>
      </c>
      <c r="B1689" t="inlineStr">
        <is>
          <t>TCC</t>
        </is>
      </c>
      <c r="C1689" t="inlineStr">
        <is>
          <t>BRMD</t>
        </is>
      </c>
      <c r="D1689" s="6" t="n">
        <v>46253</v>
      </c>
      <c r="E1689" t="inlineStr">
        <is>
          <t>CR</t>
        </is>
      </c>
      <c r="F1689" t="inlineStr">
        <is>
          <t>AED</t>
        </is>
      </c>
      <c r="G1689" s="7" t="n">
        <v>1.943</v>
      </c>
      <c r="H1689" t="inlineStr">
        <is>
          <t>GBP</t>
        </is>
      </c>
      <c r="I1689" s="7" t="n">
        <v>0.414</v>
      </c>
      <c r="J1689" s="8" t="n">
        <v>46253.38644675926</v>
      </c>
      <c r="K1689" t="inlineStr">
        <is>
          <t>CF260819 01683</t>
        </is>
      </c>
      <c r="L1689" t="inlineStr">
        <is>
          <t>GL.NOSTRO.AED.BRMD.009</t>
        </is>
      </c>
      <c r="M1689" t="inlineStr">
        <is>
          <t>Alder Trust</t>
        </is>
      </c>
      <c r="N1689" t="inlineStr">
        <is>
          <t>BRMD</t>
        </is>
      </c>
      <c r="O1689" t="inlineStr">
        <is>
          <t>NEW</t>
        </is>
      </c>
      <c r="Q1689" t="inlineStr">
        <is>
          <t>GROSS</t>
        </is>
      </c>
    </row>
    <row r="1690">
      <c r="A1690" t="inlineStr">
        <is>
          <t>120047354818</t>
        </is>
      </c>
      <c r="B1690" t="inlineStr">
        <is>
          <t>TCC</t>
        </is>
      </c>
      <c r="C1690" t="inlineStr">
        <is>
          <t>BRNK</t>
        </is>
      </c>
      <c r="D1690" s="6" t="n">
        <v>46253</v>
      </c>
      <c r="E1690" t="inlineStr">
        <is>
          <t>DR</t>
        </is>
      </c>
      <c r="F1690" t="inlineStr">
        <is>
          <t>USD</t>
        </is>
      </c>
      <c r="G1690" s="7" t="n">
        <v>-36978871.144</v>
      </c>
      <c r="H1690" t="inlineStr">
        <is>
          <t>GBP</t>
        </is>
      </c>
      <c r="I1690" s="7" t="n">
        <v>-28991434.977</v>
      </c>
      <c r="J1690" s="8" t="n">
        <v>46253.34439814815</v>
      </c>
      <c r="K1690" t="inlineStr">
        <is>
          <t>CF260819 01684</t>
        </is>
      </c>
      <c r="L1690" t="inlineStr">
        <is>
          <t>GL.NOSTRO.USD.BRNK.001</t>
        </is>
      </c>
      <c r="M1690" t="inlineStr">
        <is>
          <t>Ironbark Commercial Bank</t>
        </is>
      </c>
      <c r="N1690" t="inlineStr">
        <is>
          <t>BRNKMM</t>
        </is>
      </c>
      <c r="O1690" t="inlineStr">
        <is>
          <t>NEW</t>
        </is>
      </c>
      <c r="Q1690" t="inlineStr">
        <is>
          <t>GROSS</t>
        </is>
      </c>
    </row>
    <row r="1691">
      <c r="A1691" t="inlineStr">
        <is>
          <t>499062838623</t>
        </is>
      </c>
      <c r="B1691" t="inlineStr">
        <is>
          <t>TCP</t>
        </is>
      </c>
      <c r="C1691" t="inlineStr">
        <is>
          <t>BRBX</t>
        </is>
      </c>
      <c r="D1691" s="6" t="n">
        <v>46253</v>
      </c>
      <c r="E1691" t="inlineStr">
        <is>
          <t>DR</t>
        </is>
      </c>
      <c r="F1691" t="inlineStr">
        <is>
          <t>USD</t>
        </is>
      </c>
      <c r="G1691" s="7" t="n">
        <v>-292103783.023</v>
      </c>
      <c r="H1691" t="inlineStr">
        <is>
          <t>GBP</t>
        </is>
      </c>
      <c r="I1691" s="7" t="n">
        <v>-229009365.89</v>
      </c>
      <c r="J1691" s="8" t="n">
        <v>46253.5209837963</v>
      </c>
      <c r="K1691" t="inlineStr">
        <is>
          <t>CF260819 01685</t>
        </is>
      </c>
      <c r="L1691" t="inlineStr">
        <is>
          <t>GL.NOSTRO.USD.BRBX.001</t>
        </is>
      </c>
      <c r="M1691" t="inlineStr">
        <is>
          <t>Wrenfield Settlement Bank</t>
        </is>
      </c>
      <c r="N1691" t="inlineStr">
        <is>
          <t>BRBXCASH</t>
        </is>
      </c>
      <c r="O1691" t="inlineStr">
        <is>
          <t>NEW</t>
        </is>
      </c>
      <c r="Q1691" t="inlineStr">
        <is>
          <t>NETTER</t>
        </is>
      </c>
    </row>
    <row r="1692">
      <c r="A1692" t="inlineStr">
        <is>
          <t>927538182434</t>
        </is>
      </c>
      <c r="B1692" t="inlineStr">
        <is>
          <t>TCQ</t>
        </is>
      </c>
      <c r="C1692" t="inlineStr">
        <is>
          <t>BRNK</t>
        </is>
      </c>
      <c r="D1692" s="6" t="n">
        <v>46253</v>
      </c>
      <c r="E1692" t="inlineStr">
        <is>
          <t>CR</t>
        </is>
      </c>
      <c r="F1692" t="inlineStr">
        <is>
          <t>CNY</t>
        </is>
      </c>
      <c r="G1692" s="7" t="n">
        <v>3705318.905</v>
      </c>
      <c r="H1692" t="inlineStr">
        <is>
          <t>GBP</t>
        </is>
      </c>
      <c r="I1692" s="7" t="n">
        <v>403879.761</v>
      </c>
      <c r="J1692" s="8" t="n">
        <v>46253.58961805556</v>
      </c>
      <c r="K1692" t="inlineStr">
        <is>
          <t>CF260819 01686</t>
        </is>
      </c>
      <c r="L1692" t="inlineStr">
        <is>
          <t>GL.NOSTRO.CNY.BRNK.009</t>
        </is>
      </c>
      <c r="M1692" t="inlineStr">
        <is>
          <t>Alder Trust</t>
        </is>
      </c>
      <c r="N1692" t="inlineStr">
        <is>
          <t>BRNKMM</t>
        </is>
      </c>
      <c r="O1692" t="inlineStr">
        <is>
          <t>NEW</t>
        </is>
      </c>
      <c r="P1692" t="inlineStr">
        <is>
          <t>NT26081900679</t>
        </is>
      </c>
      <c r="Q1692" t="inlineStr">
        <is>
          <t>NETTER</t>
        </is>
      </c>
    </row>
    <row r="1693">
      <c r="A1693" t="inlineStr">
        <is>
          <t>150316825069</t>
        </is>
      </c>
      <c r="B1693" t="inlineStr">
        <is>
          <t>TCQ</t>
        </is>
      </c>
      <c r="C1693" t="inlineStr">
        <is>
          <t>BRGX</t>
        </is>
      </c>
      <c r="D1693" s="6" t="n">
        <v>46253</v>
      </c>
      <c r="E1693" t="inlineStr">
        <is>
          <t>CR</t>
        </is>
      </c>
      <c r="F1693" t="inlineStr">
        <is>
          <t>GBP</t>
        </is>
      </c>
      <c r="G1693" s="7" t="n">
        <v>4825976.219</v>
      </c>
      <c r="H1693" t="inlineStr">
        <is>
          <t>GBP</t>
        </is>
      </c>
      <c r="I1693" s="7" t="n">
        <v>4825976.219</v>
      </c>
      <c r="J1693" s="8" t="n">
        <v>46253.04325231481</v>
      </c>
      <c r="K1693" t="inlineStr">
        <is>
          <t>CF260819 01687</t>
        </is>
      </c>
      <c r="L1693" t="inlineStr">
        <is>
          <t>GL.NOSTRO.GBP.BRGX.001</t>
        </is>
      </c>
      <c r="M1693" t="inlineStr">
        <is>
          <t>Cedar Commercial Bank</t>
        </is>
      </c>
      <c r="N1693" t="inlineStr">
        <is>
          <t>BRGXMM</t>
        </is>
      </c>
      <c r="O1693" t="inlineStr">
        <is>
          <t>NEW</t>
        </is>
      </c>
      <c r="P1693" t="inlineStr">
        <is>
          <t>NT26081900670</t>
        </is>
      </c>
      <c r="Q1693" t="inlineStr">
        <is>
          <t>NETTER</t>
        </is>
      </c>
    </row>
    <row r="1694">
      <c r="A1694" t="inlineStr">
        <is>
          <t>621381112674</t>
        </is>
      </c>
      <c r="B1694" t="inlineStr">
        <is>
          <t>TCX</t>
        </is>
      </c>
      <c r="C1694" t="inlineStr">
        <is>
          <t>BRAA</t>
        </is>
      </c>
      <c r="D1694" s="6" t="n">
        <v>46253</v>
      </c>
      <c r="E1694" t="inlineStr">
        <is>
          <t>DR</t>
        </is>
      </c>
      <c r="F1694" t="inlineStr">
        <is>
          <t>PLN</t>
        </is>
      </c>
      <c r="G1694" s="7" t="n">
        <v>-22357443.233</v>
      </c>
      <c r="H1694" t="inlineStr">
        <is>
          <t>GBP</t>
        </is>
      </c>
      <c r="I1694" s="7" t="n">
        <v>-4426773.76</v>
      </c>
      <c r="J1694" s="8" t="n">
        <v>46253.61568287037</v>
      </c>
      <c r="K1694" t="inlineStr">
        <is>
          <t>CF260819 01688</t>
        </is>
      </c>
      <c r="L1694" t="inlineStr">
        <is>
          <t>GL.NOSTRO.PLN.BRAA.001</t>
        </is>
      </c>
      <c r="M1694" t="inlineStr">
        <is>
          <t>Thornbury Bank</t>
        </is>
      </c>
      <c r="N1694" t="inlineStr">
        <is>
          <t>BRAATRSY</t>
        </is>
      </c>
      <c r="O1694" t="inlineStr">
        <is>
          <t>NEW</t>
        </is>
      </c>
      <c r="Q1694" t="inlineStr">
        <is>
          <t>GROSS</t>
        </is>
      </c>
    </row>
    <row r="1695">
      <c r="A1695" t="inlineStr">
        <is>
          <t>150316825069</t>
        </is>
      </c>
      <c r="B1695" t="inlineStr">
        <is>
          <t>TCQ</t>
        </is>
      </c>
      <c r="C1695" t="inlineStr">
        <is>
          <t>BRGX</t>
        </is>
      </c>
      <c r="D1695" s="6" t="n">
        <v>46253</v>
      </c>
      <c r="E1695" t="inlineStr">
        <is>
          <t>CR</t>
        </is>
      </c>
      <c r="F1695" t="inlineStr">
        <is>
          <t>GBP</t>
        </is>
      </c>
      <c r="G1695" s="7" t="n">
        <v>609294750.626</v>
      </c>
      <c r="H1695" t="inlineStr">
        <is>
          <t>GBP</t>
        </is>
      </c>
      <c r="I1695" s="7" t="n">
        <v>609294750.626</v>
      </c>
      <c r="J1695" s="8" t="n">
        <v>46253.3890625</v>
      </c>
      <c r="K1695" t="inlineStr">
        <is>
          <t>CF260819 01689</t>
        </is>
      </c>
      <c r="L1695" t="inlineStr">
        <is>
          <t>GL.NOSTRO.GBP.BRGX.004</t>
        </is>
      </c>
      <c r="M1695" t="inlineStr">
        <is>
          <t>Juniper Bank</t>
        </is>
      </c>
      <c r="N1695" t="inlineStr">
        <is>
          <t>BRGXTRSY</t>
        </is>
      </c>
      <c r="O1695" t="inlineStr">
        <is>
          <t>NEW</t>
        </is>
      </c>
      <c r="P1695" t="inlineStr">
        <is>
          <t>NT26081900693</t>
        </is>
      </c>
      <c r="Q1695" t="inlineStr">
        <is>
          <t>INTERNAL</t>
        </is>
      </c>
    </row>
    <row r="1696">
      <c r="A1696" t="inlineStr">
        <is>
          <t>898317028833</t>
        </is>
      </c>
      <c r="B1696" t="inlineStr">
        <is>
          <t>TCQ</t>
        </is>
      </c>
      <c r="C1696" t="inlineStr">
        <is>
          <t>BRAA</t>
        </is>
      </c>
      <c r="D1696" s="6" t="n">
        <v>46253</v>
      </c>
      <c r="E1696" t="inlineStr">
        <is>
          <t>CR</t>
        </is>
      </c>
      <c r="F1696" t="inlineStr">
        <is>
          <t>GBP</t>
        </is>
      </c>
      <c r="G1696" s="7" t="n">
        <v>268026240.673</v>
      </c>
      <c r="H1696" t="inlineStr">
        <is>
          <t>GBP</t>
        </is>
      </c>
      <c r="I1696" s="7" t="n">
        <v>268026240.673</v>
      </c>
      <c r="J1696" s="8" t="n">
        <v>46253.42936342592</v>
      </c>
      <c r="K1696" t="inlineStr">
        <is>
          <t>CF260819 01690</t>
        </is>
      </c>
      <c r="L1696" t="inlineStr">
        <is>
          <t>GL.NOSTRO.GBP.BRAA.008</t>
        </is>
      </c>
      <c r="M1696" t="inlineStr">
        <is>
          <t>Sablewood Settlement Bank</t>
        </is>
      </c>
      <c r="N1696" t="inlineStr">
        <is>
          <t>BRAA</t>
        </is>
      </c>
      <c r="O1696" t="inlineStr">
        <is>
          <t>AMEND</t>
        </is>
      </c>
      <c r="P1696" t="inlineStr">
        <is>
          <t>NT26081900658</t>
        </is>
      </c>
      <c r="Q1696" t="inlineStr">
        <is>
          <t>GROSS</t>
        </is>
      </c>
    </row>
    <row r="1697">
      <c r="A1697" t="inlineStr">
        <is>
          <t>150316825069</t>
        </is>
      </c>
      <c r="B1697" t="inlineStr">
        <is>
          <t>TCG</t>
        </is>
      </c>
      <c r="C1697" t="inlineStr">
        <is>
          <t>BRGX</t>
        </is>
      </c>
      <c r="D1697" s="6" t="n">
        <v>46253</v>
      </c>
      <c r="E1697" t="inlineStr">
        <is>
          <t>CR</t>
        </is>
      </c>
      <c r="F1697" t="inlineStr">
        <is>
          <t>GBP</t>
        </is>
      </c>
      <c r="G1697" s="7" t="n">
        <v>134352245.914</v>
      </c>
      <c r="H1697" t="inlineStr">
        <is>
          <t>GBP</t>
        </is>
      </c>
      <c r="I1697" s="7" t="n">
        <v>134352245.914</v>
      </c>
      <c r="J1697" s="8" t="n">
        <v>46253.45982638889</v>
      </c>
      <c r="K1697" t="inlineStr">
        <is>
          <t>CF260819 01691</t>
        </is>
      </c>
      <c r="L1697" t="inlineStr">
        <is>
          <t>GL.NOSTRO.GBP.BRGX.002</t>
        </is>
      </c>
      <c r="M1697" t="inlineStr">
        <is>
          <t>Elmwood Settlement Bank</t>
        </is>
      </c>
      <c r="N1697" t="inlineStr">
        <is>
          <t>BRGXMM</t>
        </is>
      </c>
      <c r="O1697" t="inlineStr">
        <is>
          <t>NEW</t>
        </is>
      </c>
      <c r="P1697" t="inlineStr">
        <is>
          <t>NT26081900695</t>
        </is>
      </c>
      <c r="Q1697" t="inlineStr">
        <is>
          <t>NETTER</t>
        </is>
      </c>
    </row>
    <row r="1698">
      <c r="A1698" t="inlineStr">
        <is>
          <t>910703979141</t>
        </is>
      </c>
      <c r="B1698" t="inlineStr">
        <is>
          <t>TCG</t>
        </is>
      </c>
      <c r="C1698" t="inlineStr">
        <is>
          <t>BRCC</t>
        </is>
      </c>
      <c r="D1698" s="6" t="n">
        <v>46253</v>
      </c>
      <c r="E1698" t="inlineStr">
        <is>
          <t>DR</t>
        </is>
      </c>
      <c r="F1698" t="inlineStr">
        <is>
          <t>CHF</t>
        </is>
      </c>
      <c r="G1698" s="7" t="n">
        <v>-10826.92</v>
      </c>
      <c r="H1698" t="inlineStr">
        <is>
          <t>GBP</t>
        </is>
      </c>
      <c r="I1698" s="7" t="n">
        <v>-9711.746999999999</v>
      </c>
      <c r="J1698" s="8" t="n">
        <v>46253.14905092592</v>
      </c>
      <c r="K1698" t="inlineStr">
        <is>
          <t>CF260819 01692</t>
        </is>
      </c>
      <c r="L1698" t="inlineStr">
        <is>
          <t>GL.NOSTRO.CHF.BRCC.003</t>
        </is>
      </c>
      <c r="M1698" t="inlineStr">
        <is>
          <t>Larkspur Clearing</t>
        </is>
      </c>
      <c r="N1698" t="inlineStr">
        <is>
          <t>BRCCTRSY</t>
        </is>
      </c>
      <c r="O1698" t="inlineStr">
        <is>
          <t>NEW</t>
        </is>
      </c>
      <c r="Q1698" t="inlineStr">
        <is>
          <t>NETTER</t>
        </is>
      </c>
    </row>
    <row r="1699">
      <c r="A1699" t="inlineStr">
        <is>
          <t>824840705580</t>
        </is>
      </c>
      <c r="B1699" t="inlineStr">
        <is>
          <t>TCC</t>
        </is>
      </c>
      <c r="C1699" t="inlineStr">
        <is>
          <t>BRGL</t>
        </is>
      </c>
      <c r="D1699" s="6" t="n">
        <v>46253</v>
      </c>
      <c r="E1699" t="inlineStr">
        <is>
          <t>DR</t>
        </is>
      </c>
      <c r="F1699" t="inlineStr">
        <is>
          <t>EUR</t>
        </is>
      </c>
      <c r="G1699" s="7" t="n">
        <v>-6765183593.357</v>
      </c>
      <c r="H1699" t="inlineStr">
        <is>
          <t>GBP</t>
        </is>
      </c>
      <c r="I1699" s="7" t="n">
        <v>-5804527523.1</v>
      </c>
      <c r="J1699" s="8" t="n">
        <v>46253.43225694444</v>
      </c>
      <c r="K1699" t="inlineStr">
        <is>
          <t>CF260819 01693</t>
        </is>
      </c>
      <c r="L1699" t="inlineStr">
        <is>
          <t>GL.NOSTRO.EUR.BRGL.001</t>
        </is>
      </c>
      <c r="M1699" t="inlineStr">
        <is>
          <t>Granite Bank</t>
        </is>
      </c>
      <c r="N1699" t="inlineStr">
        <is>
          <t>BRGL</t>
        </is>
      </c>
      <c r="O1699" t="inlineStr">
        <is>
          <t>NEW</t>
        </is>
      </c>
      <c r="Q1699" t="inlineStr">
        <is>
          <t>GROSS</t>
        </is>
      </c>
    </row>
    <row r="1700">
      <c r="A1700" t="inlineStr">
        <is>
          <t>968942362772</t>
        </is>
      </c>
      <c r="B1700" t="inlineStr">
        <is>
          <t>TCQ</t>
        </is>
      </c>
      <c r="C1700" t="inlineStr">
        <is>
          <t>BRYG</t>
        </is>
      </c>
      <c r="D1700" s="6" t="n">
        <v>46253</v>
      </c>
      <c r="E1700" t="inlineStr">
        <is>
          <t>DR</t>
        </is>
      </c>
      <c r="F1700" t="inlineStr">
        <is>
          <t>EUR</t>
        </is>
      </c>
      <c r="G1700" s="7" t="n">
        <v>-1491809.222</v>
      </c>
      <c r="H1700" t="inlineStr">
        <is>
          <t>GBP</t>
        </is>
      </c>
      <c r="I1700" s="7" t="n">
        <v>-1279972.312</v>
      </c>
      <c r="J1700" s="8" t="n">
        <v>46253.27442129629</v>
      </c>
      <c r="K1700" t="inlineStr">
        <is>
          <t>CF260819 01694</t>
        </is>
      </c>
      <c r="L1700" t="inlineStr">
        <is>
          <t>GL.NOSTRO.EUR.BRYG.003</t>
        </is>
      </c>
      <c r="M1700" t="inlineStr">
        <is>
          <t>Vetchling Bank</t>
        </is>
      </c>
      <c r="N1700" t="inlineStr">
        <is>
          <t>BRYG</t>
        </is>
      </c>
      <c r="O1700" t="inlineStr">
        <is>
          <t>NEW</t>
        </is>
      </c>
      <c r="Q1700" t="inlineStr">
        <is>
          <t>GROSS</t>
        </is>
      </c>
    </row>
    <row r="1701">
      <c r="A1701" t="inlineStr">
        <is>
          <t>150316825069</t>
        </is>
      </c>
      <c r="B1701" t="inlineStr">
        <is>
          <t>TCQ</t>
        </is>
      </c>
      <c r="C1701" t="inlineStr">
        <is>
          <t>BRGX</t>
        </is>
      </c>
      <c r="D1701" s="6" t="n">
        <v>46253</v>
      </c>
      <c r="E1701" t="inlineStr">
        <is>
          <t>CR</t>
        </is>
      </c>
      <c r="F1701" t="inlineStr">
        <is>
          <t>GBP</t>
        </is>
      </c>
      <c r="G1701" s="7" t="n">
        <v>589848852.885</v>
      </c>
      <c r="H1701" t="inlineStr">
        <is>
          <t>GBP</t>
        </is>
      </c>
      <c r="I1701" s="7" t="n">
        <v>589848852.885</v>
      </c>
      <c r="J1701" s="8" t="n">
        <v>46253.4315625</v>
      </c>
      <c r="K1701" t="inlineStr">
        <is>
          <t>CF260819 01695</t>
        </is>
      </c>
      <c r="L1701" t="inlineStr">
        <is>
          <t>GL.NOSTRO.GBP.BRGX.008</t>
        </is>
      </c>
      <c r="M1701" t="inlineStr">
        <is>
          <t>Yarrow Bank</t>
        </is>
      </c>
      <c r="N1701" t="inlineStr">
        <is>
          <t>BRGXMM</t>
        </is>
      </c>
      <c r="O1701" t="inlineStr">
        <is>
          <t>NEW</t>
        </is>
      </c>
      <c r="Q1701" t="inlineStr">
        <is>
          <t>GROSS</t>
        </is>
      </c>
    </row>
    <row r="1702">
      <c r="A1702" t="inlineStr">
        <is>
          <t>700726936098</t>
        </is>
      </c>
      <c r="B1702" t="inlineStr">
        <is>
          <t>TCX</t>
        </is>
      </c>
      <c r="C1702" t="inlineStr">
        <is>
          <t>BRMD</t>
        </is>
      </c>
      <c r="D1702" s="6" t="n">
        <v>46253</v>
      </c>
      <c r="E1702" t="inlineStr">
        <is>
          <t>CR</t>
        </is>
      </c>
      <c r="F1702" t="inlineStr">
        <is>
          <t>SAR</t>
        </is>
      </c>
      <c r="G1702" s="7" t="n">
        <v>1024020.739</v>
      </c>
      <c r="H1702" t="inlineStr">
        <is>
          <t>GBP</t>
        </is>
      </c>
      <c r="I1702" s="7" t="n">
        <v>214020.334</v>
      </c>
      <c r="J1702" s="8" t="n">
        <v>46253.64024305555</v>
      </c>
      <c r="K1702" t="inlineStr">
        <is>
          <t>CF260819 01696</t>
        </is>
      </c>
      <c r="L1702" t="inlineStr">
        <is>
          <t>GL.NOSTRO.SAR.BRMD.009</t>
        </is>
      </c>
      <c r="M1702" t="inlineStr">
        <is>
          <t>Alder Trust</t>
        </is>
      </c>
      <c r="N1702" t="inlineStr">
        <is>
          <t>BRMD</t>
        </is>
      </c>
      <c r="O1702" t="inlineStr">
        <is>
          <t>NEW</t>
        </is>
      </c>
      <c r="Q1702" t="inlineStr">
        <is>
          <t>GROSS</t>
        </is>
      </c>
    </row>
    <row r="1703">
      <c r="A1703" t="inlineStr">
        <is>
          <t>726928343448</t>
        </is>
      </c>
      <c r="B1703" t="inlineStr">
        <is>
          <t>TCX</t>
        </is>
      </c>
      <c r="C1703" t="inlineStr">
        <is>
          <t>BRGX</t>
        </is>
      </c>
      <c r="D1703" s="6" t="n">
        <v>46253</v>
      </c>
      <c r="E1703" t="inlineStr">
        <is>
          <t>CR</t>
        </is>
      </c>
      <c r="F1703" t="inlineStr">
        <is>
          <t>EUR</t>
        </is>
      </c>
      <c r="G1703" s="7" t="n">
        <v>7153551.199</v>
      </c>
      <c r="H1703" t="inlineStr">
        <is>
          <t>GBP</t>
        </is>
      </c>
      <c r="I1703" s="7" t="n">
        <v>6137746.929</v>
      </c>
      <c r="J1703" s="8" t="n">
        <v>46253.2691087963</v>
      </c>
      <c r="K1703" t="inlineStr">
        <is>
          <t>CF260819 01697</t>
        </is>
      </c>
      <c r="L1703" t="inlineStr">
        <is>
          <t>GL.NOSTRO.EUR.BRGX.004</t>
        </is>
      </c>
      <c r="M1703" t="inlineStr">
        <is>
          <t>Yarrow Clearing</t>
        </is>
      </c>
      <c r="N1703" t="inlineStr">
        <is>
          <t>BRGX</t>
        </is>
      </c>
      <c r="O1703" t="inlineStr">
        <is>
          <t>NEW</t>
        </is>
      </c>
      <c r="P1703" t="inlineStr">
        <is>
          <t>NT26081900660</t>
        </is>
      </c>
      <c r="Q1703" t="inlineStr">
        <is>
          <t>NETTER</t>
        </is>
      </c>
    </row>
    <row r="1704">
      <c r="A1704" t="inlineStr">
        <is>
          <t>794226063698</t>
        </is>
      </c>
      <c r="B1704" t="inlineStr">
        <is>
          <t>TCC</t>
        </is>
      </c>
      <c r="C1704" t="inlineStr">
        <is>
          <t>BRMD</t>
        </is>
      </c>
      <c r="D1704" s="6" t="n">
        <v>46253</v>
      </c>
      <c r="E1704" t="inlineStr">
        <is>
          <t>CR</t>
        </is>
      </c>
      <c r="F1704" t="inlineStr">
        <is>
          <t>AED</t>
        </is>
      </c>
      <c r="G1704" s="7" t="n">
        <v>8148503.849</v>
      </c>
      <c r="H1704" t="inlineStr">
        <is>
          <t>GBP</t>
        </is>
      </c>
      <c r="I1704" s="7" t="n">
        <v>1735631.32</v>
      </c>
      <c r="J1704" s="8" t="n">
        <v>46253.55625</v>
      </c>
      <c r="K1704" t="inlineStr">
        <is>
          <t>CF260819 01698</t>
        </is>
      </c>
      <c r="L1704" t="inlineStr">
        <is>
          <t>GL.NOSTRO.AED.BRMD.003</t>
        </is>
      </c>
      <c r="M1704" t="inlineStr">
        <is>
          <t>Redstart Trust</t>
        </is>
      </c>
      <c r="N1704" t="inlineStr">
        <is>
          <t>BRMDTRSY</t>
        </is>
      </c>
      <c r="O1704" t="inlineStr">
        <is>
          <t>NEW</t>
        </is>
      </c>
      <c r="Q1704" t="inlineStr">
        <is>
          <t>GROSS</t>
        </is>
      </c>
    </row>
    <row r="1705">
      <c r="A1705" t="inlineStr">
        <is>
          <t>794226063698</t>
        </is>
      </c>
      <c r="B1705" t="inlineStr">
        <is>
          <t>TCX</t>
        </is>
      </c>
      <c r="C1705" t="inlineStr">
        <is>
          <t>BRMD</t>
        </is>
      </c>
      <c r="D1705" s="6" t="n">
        <v>46253</v>
      </c>
      <c r="E1705" t="inlineStr">
        <is>
          <t>DR</t>
        </is>
      </c>
      <c r="F1705" t="inlineStr">
        <is>
          <t>AED</t>
        </is>
      </c>
      <c r="G1705" s="7" t="n">
        <v>-28729.448</v>
      </c>
      <c r="H1705" t="inlineStr">
        <is>
          <t>GBP</t>
        </is>
      </c>
      <c r="I1705" s="7" t="n">
        <v>-6119.372</v>
      </c>
      <c r="J1705" s="8" t="n">
        <v>46253.69439814815</v>
      </c>
      <c r="K1705" t="inlineStr">
        <is>
          <t>CF260819 01699</t>
        </is>
      </c>
      <c r="L1705" t="inlineStr">
        <is>
          <t>GL.NOSTRO.AED.BRMD.007</t>
        </is>
      </c>
      <c r="M1705" t="inlineStr">
        <is>
          <t>Redstart Commercial Bank</t>
        </is>
      </c>
      <c r="N1705" t="inlineStr">
        <is>
          <t>BRMDCASH</t>
        </is>
      </c>
      <c r="O1705" t="inlineStr">
        <is>
          <t>NEW</t>
        </is>
      </c>
      <c r="Q1705" t="inlineStr">
        <is>
          <t>GROSS</t>
        </is>
      </c>
    </row>
    <row r="1706">
      <c r="A1706" t="inlineStr">
        <is>
          <t>150316825069</t>
        </is>
      </c>
      <c r="B1706" t="inlineStr">
        <is>
          <t>TCX</t>
        </is>
      </c>
      <c r="C1706" t="inlineStr">
        <is>
          <t>BRGX</t>
        </is>
      </c>
      <c r="D1706" s="6" t="n">
        <v>46253</v>
      </c>
      <c r="E1706" t="inlineStr">
        <is>
          <t>DR</t>
        </is>
      </c>
      <c r="F1706" t="inlineStr">
        <is>
          <t>GBP</t>
        </is>
      </c>
      <c r="G1706" s="7" t="n">
        <v>-23594917.773</v>
      </c>
      <c r="H1706" t="inlineStr">
        <is>
          <t>GBP</t>
        </is>
      </c>
      <c r="I1706" s="7" t="n">
        <v>-23594917.773</v>
      </c>
      <c r="J1706" s="8" t="n">
        <v>46253.60734953704</v>
      </c>
      <c r="K1706" t="inlineStr">
        <is>
          <t>CF260819 01700</t>
        </is>
      </c>
      <c r="L1706" t="inlineStr">
        <is>
          <t>GL.NOSTRO.GBP.BRGX.007</t>
        </is>
      </c>
      <c r="M1706" t="inlineStr">
        <is>
          <t>Yarrow Commercial Bank</t>
        </is>
      </c>
      <c r="N1706" t="inlineStr">
        <is>
          <t>BRGXTRSY</t>
        </is>
      </c>
      <c r="O1706" t="inlineStr">
        <is>
          <t>CANCEL</t>
        </is>
      </c>
      <c r="Q1706" t="inlineStr">
        <is>
          <t>NETTER</t>
        </is>
      </c>
    </row>
    <row r="1707">
      <c r="A1707" t="inlineStr">
        <is>
          <t>794226063698</t>
        </is>
      </c>
      <c r="B1707" t="inlineStr">
        <is>
          <t>TCG</t>
        </is>
      </c>
      <c r="C1707" t="inlineStr">
        <is>
          <t>BRMD</t>
        </is>
      </c>
      <c r="D1707" s="6" t="n">
        <v>46253</v>
      </c>
      <c r="E1707" t="inlineStr">
        <is>
          <t>DR</t>
        </is>
      </c>
      <c r="F1707" t="inlineStr">
        <is>
          <t>AED</t>
        </is>
      </c>
      <c r="G1707" s="7" t="n">
        <v>-9336454.312000001</v>
      </c>
      <c r="H1707" t="inlineStr">
        <is>
          <t>GBP</t>
        </is>
      </c>
      <c r="I1707" s="7" t="n">
        <v>-1988664.768</v>
      </c>
      <c r="J1707" s="8" t="n">
        <v>46253.44447916667</v>
      </c>
      <c r="K1707" t="inlineStr">
        <is>
          <t>CF260819 01701</t>
        </is>
      </c>
      <c r="L1707" t="inlineStr">
        <is>
          <t>GL.NOSTRO.AED.BRMD.004</t>
        </is>
      </c>
      <c r="M1707" t="inlineStr">
        <is>
          <t>Elmwood Settlement Bank</t>
        </is>
      </c>
      <c r="N1707" t="inlineStr">
        <is>
          <t>BRMDCASH</t>
        </is>
      </c>
      <c r="O1707" t="inlineStr">
        <is>
          <t>NEW</t>
        </is>
      </c>
      <c r="Q1707" t="inlineStr">
        <is>
          <t>NETTER</t>
        </is>
      </c>
    </row>
    <row r="1708">
      <c r="A1708" t="inlineStr">
        <is>
          <t>150316825069</t>
        </is>
      </c>
      <c r="B1708" t="inlineStr">
        <is>
          <t>TCC</t>
        </is>
      </c>
      <c r="C1708" t="inlineStr">
        <is>
          <t>BRGX</t>
        </is>
      </c>
      <c r="D1708" s="6" t="n">
        <v>46253</v>
      </c>
      <c r="E1708" t="inlineStr">
        <is>
          <t>CR</t>
        </is>
      </c>
      <c r="F1708" t="inlineStr">
        <is>
          <t>GBP</t>
        </is>
      </c>
      <c r="G1708" s="7" t="n">
        <v>276806694.032</v>
      </c>
      <c r="H1708" t="inlineStr">
        <is>
          <t>GBP</t>
        </is>
      </c>
      <c r="I1708" s="7" t="n">
        <v>276806694.032</v>
      </c>
      <c r="J1708" s="8" t="n">
        <v>46253.60144675926</v>
      </c>
      <c r="K1708" t="inlineStr">
        <is>
          <t>CF260819 01702</t>
        </is>
      </c>
      <c r="L1708" t="inlineStr">
        <is>
          <t>GL.NOSTRO.GBP.BRGX.004</t>
        </is>
      </c>
      <c r="M1708" t="inlineStr">
        <is>
          <t>Wrenfield Settlement Bank</t>
        </is>
      </c>
      <c r="N1708" t="inlineStr">
        <is>
          <t>BRGXMM</t>
        </is>
      </c>
      <c r="O1708" t="inlineStr">
        <is>
          <t>NEW</t>
        </is>
      </c>
      <c r="Q1708" t="inlineStr">
        <is>
          <t>GROSS</t>
        </is>
      </c>
    </row>
    <row r="1709">
      <c r="A1709" t="inlineStr">
        <is>
          <t>132544340094</t>
        </is>
      </c>
      <c r="B1709" t="inlineStr">
        <is>
          <t>TCQ</t>
        </is>
      </c>
      <c r="C1709" t="inlineStr">
        <is>
          <t>BRYG</t>
        </is>
      </c>
      <c r="D1709" s="6" t="n">
        <v>46253</v>
      </c>
      <c r="E1709" t="inlineStr">
        <is>
          <t>DR</t>
        </is>
      </c>
      <c r="F1709" t="inlineStr">
        <is>
          <t>CZK</t>
        </is>
      </c>
      <c r="G1709" s="7" t="n">
        <v>-49438649.474</v>
      </c>
      <c r="H1709" t="inlineStr">
        <is>
          <t>GBP</t>
        </is>
      </c>
      <c r="I1709" s="7" t="n">
        <v>-1675970.217</v>
      </c>
      <c r="J1709" s="8" t="n">
        <v>46253.44350694444</v>
      </c>
      <c r="K1709" t="inlineStr">
        <is>
          <t>CF260819 01703</t>
        </is>
      </c>
      <c r="L1709" t="inlineStr">
        <is>
          <t>GL.NOSTRO.CZK.BRYG.005</t>
        </is>
      </c>
      <c r="M1709" t="inlineStr">
        <is>
          <t>Zephyr Commercial Bank</t>
        </is>
      </c>
      <c r="N1709" t="inlineStr">
        <is>
          <t>BRYG</t>
        </is>
      </c>
      <c r="O1709" t="inlineStr">
        <is>
          <t>NEW</t>
        </is>
      </c>
      <c r="P1709" t="inlineStr">
        <is>
          <t>NT26081900694</t>
        </is>
      </c>
      <c r="Q1709" t="inlineStr">
        <is>
          <t>GROSS</t>
        </is>
      </c>
    </row>
    <row r="1710">
      <c r="A1710" t="inlineStr">
        <is>
          <t>150316825069</t>
        </is>
      </c>
      <c r="B1710" t="inlineStr">
        <is>
          <t>TCG</t>
        </is>
      </c>
      <c r="C1710" t="inlineStr">
        <is>
          <t>BRGX</t>
        </is>
      </c>
      <c r="D1710" s="6" t="n">
        <v>46253</v>
      </c>
      <c r="E1710" t="inlineStr">
        <is>
          <t>CR</t>
        </is>
      </c>
      <c r="F1710" t="inlineStr">
        <is>
          <t>GBP</t>
        </is>
      </c>
      <c r="G1710" s="7" t="n">
        <v>284774284.529</v>
      </c>
      <c r="H1710" t="inlineStr">
        <is>
          <t>GBP</t>
        </is>
      </c>
      <c r="I1710" s="7" t="n">
        <v>284774284.529</v>
      </c>
      <c r="J1710" s="8" t="n">
        <v>46253.35476851852</v>
      </c>
      <c r="K1710" t="inlineStr">
        <is>
          <t>CF260819 01704</t>
        </is>
      </c>
      <c r="L1710" t="inlineStr">
        <is>
          <t>GL.NOSTRO.GBP.BRGX.003</t>
        </is>
      </c>
      <c r="M1710" t="inlineStr">
        <is>
          <t>Redstart Trust</t>
        </is>
      </c>
      <c r="N1710" t="inlineStr">
        <is>
          <t>BRGXMM</t>
        </is>
      </c>
      <c r="O1710" t="inlineStr">
        <is>
          <t>NEW</t>
        </is>
      </c>
      <c r="Q1710" t="inlineStr">
        <is>
          <t>GROSS</t>
        </is>
      </c>
    </row>
    <row r="1711">
      <c r="A1711" t="inlineStr">
        <is>
          <t>910703979141</t>
        </is>
      </c>
      <c r="B1711" t="inlineStr">
        <is>
          <t>TCX</t>
        </is>
      </c>
      <c r="C1711" t="inlineStr">
        <is>
          <t>BRCC</t>
        </is>
      </c>
      <c r="D1711" s="6" t="n">
        <v>46253</v>
      </c>
      <c r="E1711" t="inlineStr">
        <is>
          <t>DR</t>
        </is>
      </c>
      <c r="F1711" t="inlineStr">
        <is>
          <t>CHF</t>
        </is>
      </c>
      <c r="G1711" s="7" t="n">
        <v>-14777364.898</v>
      </c>
      <c r="H1711" t="inlineStr">
        <is>
          <t>GBP</t>
        </is>
      </c>
      <c r="I1711" s="7" t="n">
        <v>-13255296.314</v>
      </c>
      <c r="J1711" s="8" t="n">
        <v>46253.62453703704</v>
      </c>
      <c r="K1711" t="inlineStr">
        <is>
          <t>CF260819 01705</t>
        </is>
      </c>
      <c r="L1711" t="inlineStr">
        <is>
          <t>GL.NOSTRO.CHF.BRCC.009</t>
        </is>
      </c>
      <c r="M1711" t="inlineStr">
        <is>
          <t>Pinehurst Settlement Bank</t>
        </is>
      </c>
      <c r="N1711" t="inlineStr">
        <is>
          <t>BRCCCASH</t>
        </is>
      </c>
      <c r="O1711" t="inlineStr">
        <is>
          <t>NEW</t>
        </is>
      </c>
      <c r="P1711" t="inlineStr">
        <is>
          <t>NT26081900695</t>
        </is>
      </c>
      <c r="Q1711" t="inlineStr">
        <is>
          <t>GROSS</t>
        </is>
      </c>
    </row>
    <row r="1712">
      <c r="A1712" t="inlineStr">
        <is>
          <t>726928343448</t>
        </is>
      </c>
      <c r="B1712" t="inlineStr">
        <is>
          <t>TCQ</t>
        </is>
      </c>
      <c r="C1712" t="inlineStr">
        <is>
          <t>BRGX</t>
        </is>
      </c>
      <c r="D1712" s="6" t="n">
        <v>46253</v>
      </c>
      <c r="E1712" t="inlineStr">
        <is>
          <t>CR</t>
        </is>
      </c>
      <c r="F1712" t="inlineStr">
        <is>
          <t>EUR</t>
        </is>
      </c>
      <c r="G1712" s="7" t="n">
        <v>171164393.933</v>
      </c>
      <c r="H1712" t="inlineStr">
        <is>
          <t>GBP</t>
        </is>
      </c>
      <c r="I1712" s="7" t="n">
        <v>146859049.995</v>
      </c>
      <c r="J1712" s="8" t="n">
        <v>46253.37635416666</v>
      </c>
      <c r="K1712" t="inlineStr">
        <is>
          <t>CF260819 01706</t>
        </is>
      </c>
      <c r="L1712" t="inlineStr">
        <is>
          <t>GL.NOSTRO.EUR.BRGX.007</t>
        </is>
      </c>
      <c r="M1712" t="inlineStr">
        <is>
          <t>Wrenfield Settlement Bank</t>
        </is>
      </c>
      <c r="N1712" t="inlineStr">
        <is>
          <t>BRGX</t>
        </is>
      </c>
      <c r="O1712" t="inlineStr">
        <is>
          <t>NEW</t>
        </is>
      </c>
      <c r="P1712" t="inlineStr">
        <is>
          <t>NT26081900688</t>
        </is>
      </c>
      <c r="Q1712" t="inlineStr">
        <is>
          <t>NETTER</t>
        </is>
      </c>
    </row>
    <row r="1713">
      <c r="A1713" t="inlineStr">
        <is>
          <t>359365220160</t>
        </is>
      </c>
      <c r="B1713" t="inlineStr">
        <is>
          <t>TCQ</t>
        </is>
      </c>
      <c r="C1713" t="inlineStr">
        <is>
          <t>BRGX</t>
        </is>
      </c>
      <c r="D1713" s="6" t="n">
        <v>46253</v>
      </c>
      <c r="E1713" t="inlineStr">
        <is>
          <t>DR</t>
        </is>
      </c>
      <c r="F1713" t="inlineStr">
        <is>
          <t>EUR</t>
        </is>
      </c>
      <c r="G1713" s="7" t="n">
        <v>-145050062.412</v>
      </c>
      <c r="H1713" t="inlineStr">
        <is>
          <t>GBP</t>
        </is>
      </c>
      <c r="I1713" s="7" t="n">
        <v>-124452953.549</v>
      </c>
      <c r="J1713" s="8" t="n">
        <v>46253.35013888889</v>
      </c>
      <c r="K1713" t="inlineStr">
        <is>
          <t>CF260819 01707</t>
        </is>
      </c>
      <c r="L1713" t="inlineStr">
        <is>
          <t>GL.NOSTRO.EUR.BRGX.004</t>
        </is>
      </c>
      <c r="M1713" t="inlineStr">
        <is>
          <t>Nightjar Bank</t>
        </is>
      </c>
      <c r="N1713" t="inlineStr">
        <is>
          <t>BRGXCASH</t>
        </is>
      </c>
      <c r="O1713" t="inlineStr">
        <is>
          <t>NEW</t>
        </is>
      </c>
      <c r="Q1713" t="inlineStr">
        <is>
          <t>GROSS</t>
        </is>
      </c>
    </row>
    <row r="1714">
      <c r="A1714" t="inlineStr">
        <is>
          <t>132544340094</t>
        </is>
      </c>
      <c r="B1714" t="inlineStr">
        <is>
          <t>TCX</t>
        </is>
      </c>
      <c r="C1714" t="inlineStr">
        <is>
          <t>BRYG</t>
        </is>
      </c>
      <c r="D1714" s="6" t="n">
        <v>46253</v>
      </c>
      <c r="E1714" t="inlineStr">
        <is>
          <t>DR</t>
        </is>
      </c>
      <c r="F1714" t="inlineStr">
        <is>
          <t>CZK</t>
        </is>
      </c>
      <c r="G1714" s="7" t="n">
        <v>-454073.328</v>
      </c>
      <c r="H1714" t="inlineStr">
        <is>
          <t>GBP</t>
        </is>
      </c>
      <c r="I1714" s="7" t="n">
        <v>-15393.086</v>
      </c>
      <c r="J1714" s="8" t="n">
        <v>46253.46365740741</v>
      </c>
      <c r="K1714" t="inlineStr">
        <is>
          <t>CF260819 01708</t>
        </is>
      </c>
      <c r="L1714" t="inlineStr">
        <is>
          <t>GL.NOSTRO.CZK.BRYG.008</t>
        </is>
      </c>
      <c r="M1714" t="inlineStr">
        <is>
          <t>Vetchling Bank</t>
        </is>
      </c>
      <c r="N1714" t="inlineStr">
        <is>
          <t>BRYG</t>
        </is>
      </c>
      <c r="O1714" t="inlineStr">
        <is>
          <t>NEW</t>
        </is>
      </c>
      <c r="P1714" t="inlineStr">
        <is>
          <t>NT26081900680</t>
        </is>
      </c>
      <c r="Q1714" t="inlineStr">
        <is>
          <t>GROSS</t>
        </is>
      </c>
    </row>
    <row r="1715">
      <c r="A1715" t="inlineStr">
        <is>
          <t>794226063698</t>
        </is>
      </c>
      <c r="B1715" t="inlineStr">
        <is>
          <t>TCX</t>
        </is>
      </c>
      <c r="C1715" t="inlineStr">
        <is>
          <t>BRMD</t>
        </is>
      </c>
      <c r="D1715" s="6" t="n">
        <v>46253</v>
      </c>
      <c r="E1715" t="inlineStr">
        <is>
          <t>DR</t>
        </is>
      </c>
      <c r="F1715" t="inlineStr">
        <is>
          <t>AED</t>
        </is>
      </c>
      <c r="G1715" s="7" t="n">
        <v>-17453268.034</v>
      </c>
      <c r="H1715" t="inlineStr">
        <is>
          <t>GBP</t>
        </is>
      </c>
      <c r="I1715" s="7" t="n">
        <v>-3717546.091</v>
      </c>
      <c r="J1715" s="8" t="n">
        <v>46253.7297337963</v>
      </c>
      <c r="K1715" t="inlineStr">
        <is>
          <t>CF260819 01709</t>
        </is>
      </c>
      <c r="L1715" t="inlineStr">
        <is>
          <t>GL.NOSTRO.AED.BRMD.003</t>
        </is>
      </c>
      <c r="M1715" t="inlineStr">
        <is>
          <t>Alder Clearing</t>
        </is>
      </c>
      <c r="N1715" t="inlineStr">
        <is>
          <t>BRMDMM</t>
        </is>
      </c>
      <c r="O1715" t="inlineStr">
        <is>
          <t>NEW</t>
        </is>
      </c>
      <c r="Q1715" t="inlineStr">
        <is>
          <t>NETTER</t>
        </is>
      </c>
    </row>
    <row r="1716">
      <c r="A1716" t="inlineStr">
        <is>
          <t>171857983160</t>
        </is>
      </c>
      <c r="B1716" t="inlineStr">
        <is>
          <t>TCX</t>
        </is>
      </c>
      <c r="C1716" t="inlineStr">
        <is>
          <t>BRBX</t>
        </is>
      </c>
      <c r="D1716" s="6" t="n">
        <v>46253</v>
      </c>
      <c r="E1716" t="inlineStr">
        <is>
          <t>DR</t>
        </is>
      </c>
      <c r="F1716" t="inlineStr">
        <is>
          <t>AUD</t>
        </is>
      </c>
      <c r="G1716" s="7" t="n">
        <v>-36575.792</v>
      </c>
      <c r="H1716" t="inlineStr">
        <is>
          <t>GBP</t>
        </is>
      </c>
      <c r="I1716" s="7" t="n">
        <v>-18763.381</v>
      </c>
      <c r="J1716" s="8" t="n">
        <v>46253.40190972222</v>
      </c>
      <c r="K1716" t="inlineStr">
        <is>
          <t>CF260819 01710</t>
        </is>
      </c>
      <c r="L1716" t="inlineStr">
        <is>
          <t>GL.NOSTRO.AUD.BRBX.009</t>
        </is>
      </c>
      <c r="M1716" t="inlineStr">
        <is>
          <t>Ironbark Commercial Bank</t>
        </is>
      </c>
      <c r="N1716" t="inlineStr">
        <is>
          <t>BRBX</t>
        </is>
      </c>
      <c r="O1716" t="inlineStr">
        <is>
          <t>AMEND</t>
        </is>
      </c>
      <c r="P1716" t="inlineStr">
        <is>
          <t>NT26081900677</t>
        </is>
      </c>
      <c r="Q1716" t="inlineStr">
        <is>
          <t>NETTER</t>
        </is>
      </c>
    </row>
    <row r="1717">
      <c r="A1717" t="inlineStr">
        <is>
          <t>499062838623</t>
        </is>
      </c>
      <c r="B1717" t="inlineStr">
        <is>
          <t>TCP</t>
        </is>
      </c>
      <c r="C1717" t="inlineStr">
        <is>
          <t>BRBX</t>
        </is>
      </c>
      <c r="D1717" s="6" t="n">
        <v>46253</v>
      </c>
      <c r="E1717" t="inlineStr">
        <is>
          <t>CR</t>
        </is>
      </c>
      <c r="F1717" t="inlineStr">
        <is>
          <t>USD</t>
        </is>
      </c>
      <c r="G1717" s="7" t="n">
        <v>7170177802.836</v>
      </c>
      <c r="H1717" t="inlineStr">
        <is>
          <t>GBP</t>
        </is>
      </c>
      <c r="I1717" s="7" t="n">
        <v>5621419397.423</v>
      </c>
      <c r="J1717" s="8" t="n">
        <v>46253.64712962963</v>
      </c>
      <c r="K1717" t="inlineStr">
        <is>
          <t>CF260819 01711</t>
        </is>
      </c>
      <c r="L1717" t="inlineStr">
        <is>
          <t>GL.NOSTRO.USD.BRBX.005</t>
        </is>
      </c>
      <c r="M1717" t="inlineStr">
        <is>
          <t>Harrow Clearing</t>
        </is>
      </c>
      <c r="N1717" t="inlineStr">
        <is>
          <t>BRBX</t>
        </is>
      </c>
      <c r="O1717" t="inlineStr">
        <is>
          <t>NEW</t>
        </is>
      </c>
      <c r="Q1717" t="inlineStr">
        <is>
          <t>NETTER</t>
        </is>
      </c>
    </row>
    <row r="1718">
      <c r="A1718" t="inlineStr">
        <is>
          <t>284925023085</t>
        </is>
      </c>
      <c r="B1718" t="inlineStr">
        <is>
          <t>TCG</t>
        </is>
      </c>
      <c r="C1718" t="inlineStr">
        <is>
          <t>BRMD</t>
        </is>
      </c>
      <c r="D1718" s="6" t="n">
        <v>46253</v>
      </c>
      <c r="E1718" t="inlineStr">
        <is>
          <t>DR</t>
        </is>
      </c>
      <c r="F1718" t="inlineStr">
        <is>
          <t>MXN</t>
        </is>
      </c>
      <c r="G1718" s="7" t="n">
        <v>-1687420055.801</v>
      </c>
      <c r="H1718" t="inlineStr">
        <is>
          <t>GBP</t>
        </is>
      </c>
      <c r="I1718" s="7" t="n">
        <v>-72221578.388</v>
      </c>
      <c r="J1718" s="8" t="n">
        <v>46253.60748842593</v>
      </c>
      <c r="K1718" t="inlineStr">
        <is>
          <t>CF260819 01712</t>
        </is>
      </c>
      <c r="L1718" t="inlineStr">
        <is>
          <t>GL.NOSTRO.MXN.BRMD.005</t>
        </is>
      </c>
      <c r="M1718" t="inlineStr">
        <is>
          <t>Ironbark Trust</t>
        </is>
      </c>
      <c r="N1718" t="inlineStr">
        <is>
          <t>BRMDTRSY</t>
        </is>
      </c>
      <c r="O1718" t="inlineStr">
        <is>
          <t>NEW</t>
        </is>
      </c>
      <c r="Q1718" t="inlineStr">
        <is>
          <t>NETTER</t>
        </is>
      </c>
    </row>
    <row r="1719">
      <c r="A1719" t="inlineStr">
        <is>
          <t>499062838623</t>
        </is>
      </c>
      <c r="B1719" t="inlineStr">
        <is>
          <t>TCX</t>
        </is>
      </c>
      <c r="C1719" t="inlineStr">
        <is>
          <t>BRBX</t>
        </is>
      </c>
      <c r="D1719" s="6" t="n">
        <v>46253</v>
      </c>
      <c r="E1719" t="inlineStr">
        <is>
          <t>CR</t>
        </is>
      </c>
      <c r="F1719" t="inlineStr">
        <is>
          <t>USD</t>
        </is>
      </c>
      <c r="G1719" s="7" t="n">
        <v>956855.963</v>
      </c>
      <c r="H1719" t="inlineStr">
        <is>
          <t>GBP</t>
        </is>
      </c>
      <c r="I1719" s="7" t="n">
        <v>750175.075</v>
      </c>
      <c r="J1719" s="8" t="n">
        <v>46253.59650462963</v>
      </c>
      <c r="K1719" t="inlineStr">
        <is>
          <t>CF260819 01713</t>
        </is>
      </c>
      <c r="L1719" t="inlineStr">
        <is>
          <t>GL.NOSTRO.USD.BRBX.006</t>
        </is>
      </c>
      <c r="M1719" t="inlineStr">
        <is>
          <t>Redstart Trust</t>
        </is>
      </c>
      <c r="N1719" t="inlineStr">
        <is>
          <t>BRBXCASH</t>
        </is>
      </c>
      <c r="O1719" t="inlineStr">
        <is>
          <t>NEW</t>
        </is>
      </c>
      <c r="Q1719" t="inlineStr">
        <is>
          <t>GROSS</t>
        </is>
      </c>
    </row>
    <row r="1720">
      <c r="A1720" t="inlineStr">
        <is>
          <t>726928343448</t>
        </is>
      </c>
      <c r="B1720" t="inlineStr">
        <is>
          <t>TCP</t>
        </is>
      </c>
      <c r="C1720" t="inlineStr">
        <is>
          <t>BRGX</t>
        </is>
      </c>
      <c r="D1720" s="6" t="n">
        <v>46253</v>
      </c>
      <c r="E1720" t="inlineStr">
        <is>
          <t>DR</t>
        </is>
      </c>
      <c r="F1720" t="inlineStr">
        <is>
          <t>EUR</t>
        </is>
      </c>
      <c r="G1720" s="7" t="n">
        <v>-165654.804</v>
      </c>
      <c r="H1720" t="inlineStr">
        <is>
          <t>GBP</t>
        </is>
      </c>
      <c r="I1720" s="7" t="n">
        <v>-142131.822</v>
      </c>
      <c r="J1720" s="8" t="n">
        <v>46253.67699074074</v>
      </c>
      <c r="K1720" t="inlineStr">
        <is>
          <t>CF260819 01714</t>
        </is>
      </c>
      <c r="L1720" t="inlineStr">
        <is>
          <t>GL.NOSTRO.EUR.BRGX.004</t>
        </is>
      </c>
      <c r="M1720" t="inlineStr">
        <is>
          <t>Granite Clearing</t>
        </is>
      </c>
      <c r="N1720" t="inlineStr">
        <is>
          <t>BRGXMM</t>
        </is>
      </c>
      <c r="O1720" t="inlineStr">
        <is>
          <t>NEW</t>
        </is>
      </c>
      <c r="Q1720" t="inlineStr">
        <is>
          <t>NETTER</t>
        </is>
      </c>
    </row>
    <row r="1721">
      <c r="A1721" t="inlineStr">
        <is>
          <t>132544340094</t>
        </is>
      </c>
      <c r="B1721" t="inlineStr">
        <is>
          <t>TCC</t>
        </is>
      </c>
      <c r="C1721" t="inlineStr">
        <is>
          <t>BRYG</t>
        </is>
      </c>
      <c r="D1721" s="6" t="n">
        <v>46253</v>
      </c>
      <c r="E1721" t="inlineStr">
        <is>
          <t>CR</t>
        </is>
      </c>
      <c r="F1721" t="inlineStr">
        <is>
          <t>CZK</t>
        </is>
      </c>
      <c r="G1721" s="7" t="n">
        <v>2772202.607</v>
      </c>
      <c r="H1721" t="inlineStr">
        <is>
          <t>GBP</t>
        </is>
      </c>
      <c r="I1721" s="7" t="n">
        <v>93977.66800000001</v>
      </c>
      <c r="J1721" s="8" t="n">
        <v>46253.69753472223</v>
      </c>
      <c r="K1721" t="inlineStr">
        <is>
          <t>CF260819 01715</t>
        </is>
      </c>
      <c r="L1721" t="inlineStr">
        <is>
          <t>GL.NOSTRO.CZK.BRYG.001</t>
        </is>
      </c>
      <c r="M1721" t="inlineStr">
        <is>
          <t>Umberton Clearing</t>
        </is>
      </c>
      <c r="N1721" t="inlineStr">
        <is>
          <t>BRYGTRSY</t>
        </is>
      </c>
      <c r="O1721" t="inlineStr">
        <is>
          <t>AMEND</t>
        </is>
      </c>
      <c r="Q1721" t="inlineStr">
        <is>
          <t>INTERNAL</t>
        </is>
      </c>
    </row>
    <row r="1722">
      <c r="A1722" t="inlineStr">
        <is>
          <t>927538182434</t>
        </is>
      </c>
      <c r="B1722" t="inlineStr">
        <is>
          <t>TCQ</t>
        </is>
      </c>
      <c r="C1722" t="inlineStr">
        <is>
          <t>BRNK</t>
        </is>
      </c>
      <c r="D1722" s="6" t="n">
        <v>46253</v>
      </c>
      <c r="E1722" t="inlineStr">
        <is>
          <t>CR</t>
        </is>
      </c>
      <c r="F1722" t="inlineStr">
        <is>
          <t>CNY</t>
        </is>
      </c>
      <c r="G1722" s="7" t="n">
        <v>16229986.842</v>
      </c>
      <c r="H1722" t="inlineStr">
        <is>
          <t>GBP</t>
        </is>
      </c>
      <c r="I1722" s="7" t="n">
        <v>1769068.566</v>
      </c>
      <c r="J1722" s="8" t="n">
        <v>46253.3633449074</v>
      </c>
      <c r="K1722" t="inlineStr">
        <is>
          <t>CF260819 01716</t>
        </is>
      </c>
      <c r="L1722" t="inlineStr">
        <is>
          <t>GL.NOSTRO.CNY.BRNK.002</t>
        </is>
      </c>
      <c r="M1722" t="inlineStr">
        <is>
          <t>Harrow Clearing</t>
        </is>
      </c>
      <c r="N1722" t="inlineStr">
        <is>
          <t>BRNKTRSY</t>
        </is>
      </c>
      <c r="O1722" t="inlineStr">
        <is>
          <t>NEW</t>
        </is>
      </c>
      <c r="P1722" t="inlineStr">
        <is>
          <t>NT26081900657</t>
        </is>
      </c>
      <c r="Q1722" t="inlineStr">
        <is>
          <t>GROSS</t>
        </is>
      </c>
    </row>
    <row r="1723">
      <c r="A1723" t="inlineStr">
        <is>
          <t>968942362772</t>
        </is>
      </c>
      <c r="B1723" t="inlineStr">
        <is>
          <t>TCP</t>
        </is>
      </c>
      <c r="C1723" t="inlineStr">
        <is>
          <t>BRYG</t>
        </is>
      </c>
      <c r="D1723" s="6" t="n">
        <v>46253</v>
      </c>
      <c r="E1723" t="inlineStr">
        <is>
          <t>CR</t>
        </is>
      </c>
      <c r="F1723" t="inlineStr">
        <is>
          <t>EUR</t>
        </is>
      </c>
      <c r="G1723" s="7" t="n">
        <v>10315339.137</v>
      </c>
      <c r="H1723" t="inlineStr">
        <is>
          <t>GBP</t>
        </is>
      </c>
      <c r="I1723" s="7" t="n">
        <v>8850560.98</v>
      </c>
      <c r="J1723" s="8" t="n">
        <v>46253.79810185185</v>
      </c>
      <c r="K1723" t="inlineStr">
        <is>
          <t>CF260819 01717</t>
        </is>
      </c>
      <c r="L1723" t="inlineStr">
        <is>
          <t>GL.NOSTRO.EUR.BRYG.001</t>
        </is>
      </c>
      <c r="M1723" t="inlineStr">
        <is>
          <t>Sablewood Settlement Bank</t>
        </is>
      </c>
      <c r="N1723" t="inlineStr">
        <is>
          <t>BRYGMM</t>
        </is>
      </c>
      <c r="O1723" t="inlineStr">
        <is>
          <t>NEW</t>
        </is>
      </c>
      <c r="Q1723" t="inlineStr">
        <is>
          <t>GROSS</t>
        </is>
      </c>
    </row>
    <row r="1724">
      <c r="A1724" t="inlineStr">
        <is>
          <t>794226063698</t>
        </is>
      </c>
      <c r="B1724" t="inlineStr">
        <is>
          <t>TCC</t>
        </is>
      </c>
      <c r="C1724" t="inlineStr">
        <is>
          <t>BRMD</t>
        </is>
      </c>
      <c r="D1724" s="6" t="n">
        <v>46253</v>
      </c>
      <c r="E1724" t="inlineStr">
        <is>
          <t>DR</t>
        </is>
      </c>
      <c r="F1724" t="inlineStr">
        <is>
          <t>AED</t>
        </is>
      </c>
      <c r="G1724" s="7" t="n">
        <v>-7842864.18</v>
      </c>
      <c r="H1724" t="inlineStr">
        <is>
          <t>GBP</t>
        </is>
      </c>
      <c r="I1724" s="7" t="n">
        <v>-1670530.07</v>
      </c>
      <c r="J1724" s="8" t="n">
        <v>46253.42789351852</v>
      </c>
      <c r="K1724" t="inlineStr">
        <is>
          <t>CF260819 01718</t>
        </is>
      </c>
      <c r="L1724" t="inlineStr">
        <is>
          <t>GL.NOSTRO.AED.BRMD.007</t>
        </is>
      </c>
      <c r="M1724" t="inlineStr">
        <is>
          <t>Dunlin Bank</t>
        </is>
      </c>
      <c r="N1724" t="inlineStr">
        <is>
          <t>BRMDTRSY</t>
        </is>
      </c>
      <c r="O1724" t="inlineStr">
        <is>
          <t>NEW</t>
        </is>
      </c>
      <c r="Q1724" t="inlineStr">
        <is>
          <t>NETTER</t>
        </is>
      </c>
    </row>
    <row r="1725">
      <c r="A1725" t="inlineStr">
        <is>
          <t>794226063698</t>
        </is>
      </c>
      <c r="B1725" t="inlineStr">
        <is>
          <t>TCQ</t>
        </is>
      </c>
      <c r="C1725" t="inlineStr">
        <is>
          <t>BRMD</t>
        </is>
      </c>
      <c r="D1725" s="6" t="n">
        <v>46253</v>
      </c>
      <c r="E1725" t="inlineStr">
        <is>
          <t>DR</t>
        </is>
      </c>
      <c r="F1725" t="inlineStr">
        <is>
          <t>AED</t>
        </is>
      </c>
      <c r="G1725" s="7" t="n">
        <v>-1328098.174</v>
      </c>
      <c r="H1725" t="inlineStr">
        <is>
          <t>GBP</t>
        </is>
      </c>
      <c r="I1725" s="7" t="n">
        <v>-282884.911</v>
      </c>
      <c r="J1725" s="8" t="n">
        <v>46253.6628587963</v>
      </c>
      <c r="K1725" t="inlineStr">
        <is>
          <t>CF260819 01719</t>
        </is>
      </c>
      <c r="L1725" t="inlineStr">
        <is>
          <t>GL.NOSTRO.AED.BRMD.004</t>
        </is>
      </c>
      <c r="M1725" t="inlineStr">
        <is>
          <t>Mallow Trust</t>
        </is>
      </c>
      <c r="N1725" t="inlineStr">
        <is>
          <t>BRMDTRSY</t>
        </is>
      </c>
      <c r="O1725" t="inlineStr">
        <is>
          <t>NEW</t>
        </is>
      </c>
      <c r="P1725" t="inlineStr">
        <is>
          <t>NT26081900687</t>
        </is>
      </c>
      <c r="Q1725" t="inlineStr">
        <is>
          <t>GROSS</t>
        </is>
      </c>
    </row>
    <row r="1726">
      <c r="A1726" t="inlineStr">
        <is>
          <t>726928343448</t>
        </is>
      </c>
      <c r="B1726" t="inlineStr">
        <is>
          <t>TCG</t>
        </is>
      </c>
      <c r="C1726" t="inlineStr">
        <is>
          <t>BRGX</t>
        </is>
      </c>
      <c r="D1726" s="6" t="n">
        <v>46253</v>
      </c>
      <c r="E1726" t="inlineStr">
        <is>
          <t>CR</t>
        </is>
      </c>
      <c r="F1726" t="inlineStr">
        <is>
          <t>EUR</t>
        </is>
      </c>
      <c r="G1726" s="7" t="n">
        <v>681228674.878</v>
      </c>
      <c r="H1726" t="inlineStr">
        <is>
          <t>GBP</t>
        </is>
      </c>
      <c r="I1726" s="7" t="n">
        <v>584494203.045</v>
      </c>
      <c r="J1726" s="8" t="n">
        <v>46253.29582175926</v>
      </c>
      <c r="K1726" t="inlineStr">
        <is>
          <t>CF260819 01720</t>
        </is>
      </c>
      <c r="L1726" t="inlineStr">
        <is>
          <t>GL.NOSTRO.EUR.BRGX.002</t>
        </is>
      </c>
      <c r="M1726" t="inlineStr">
        <is>
          <t>Granite Clearing</t>
        </is>
      </c>
      <c r="N1726" t="inlineStr">
        <is>
          <t>BRGX</t>
        </is>
      </c>
      <c r="O1726" t="inlineStr">
        <is>
          <t>NEW</t>
        </is>
      </c>
      <c r="Q1726" t="inlineStr">
        <is>
          <t>GROSS</t>
        </is>
      </c>
    </row>
    <row r="1727">
      <c r="A1727" t="inlineStr">
        <is>
          <t>794226063698</t>
        </is>
      </c>
      <c r="B1727" t="inlineStr">
        <is>
          <t>TCG</t>
        </is>
      </c>
      <c r="C1727" t="inlineStr">
        <is>
          <t>BRMD</t>
        </is>
      </c>
      <c r="D1727" s="6" t="n">
        <v>46253</v>
      </c>
      <c r="E1727" t="inlineStr">
        <is>
          <t>CR</t>
        </is>
      </c>
      <c r="F1727" t="inlineStr">
        <is>
          <t>AED</t>
        </is>
      </c>
      <c r="G1727" s="7" t="n">
        <v>910872621.827</v>
      </c>
      <c r="H1727" t="inlineStr">
        <is>
          <t>GBP</t>
        </is>
      </c>
      <c r="I1727" s="7" t="n">
        <v>194015868.449</v>
      </c>
      <c r="J1727" s="8" t="n">
        <v>46253.60599537037</v>
      </c>
      <c r="K1727" t="inlineStr">
        <is>
          <t>CF260819 01721</t>
        </is>
      </c>
      <c r="L1727" t="inlineStr">
        <is>
          <t>GL.NOSTRO.AED.BRMD.009</t>
        </is>
      </c>
      <c r="M1727" t="inlineStr">
        <is>
          <t>Fernway Settlement Bank</t>
        </is>
      </c>
      <c r="N1727" t="inlineStr">
        <is>
          <t>BRMDMM</t>
        </is>
      </c>
      <c r="O1727" t="inlineStr">
        <is>
          <t>NEW</t>
        </is>
      </c>
      <c r="Q1727" t="inlineStr">
        <is>
          <t>NETTER</t>
        </is>
      </c>
    </row>
    <row r="1728">
      <c r="A1728" t="inlineStr">
        <is>
          <t>150316825069</t>
        </is>
      </c>
      <c r="B1728" t="inlineStr">
        <is>
          <t>TCC</t>
        </is>
      </c>
      <c r="C1728" t="inlineStr">
        <is>
          <t>BRGX</t>
        </is>
      </c>
      <c r="D1728" s="6" t="n">
        <v>46253</v>
      </c>
      <c r="E1728" t="inlineStr">
        <is>
          <t>DR</t>
        </is>
      </c>
      <c r="F1728" t="inlineStr">
        <is>
          <t>GBP</t>
        </is>
      </c>
      <c r="G1728" s="7" t="n">
        <v>-80980301.862</v>
      </c>
      <c r="H1728" t="inlineStr">
        <is>
          <t>GBP</t>
        </is>
      </c>
      <c r="I1728" s="7" t="n">
        <v>-80980301.862</v>
      </c>
      <c r="J1728" s="8" t="n">
        <v>46253.41310185185</v>
      </c>
      <c r="K1728" t="inlineStr">
        <is>
          <t>CF260819 01722</t>
        </is>
      </c>
      <c r="L1728" t="inlineStr">
        <is>
          <t>GL.NOSTRO.GBP.BRGX.001</t>
        </is>
      </c>
      <c r="M1728" t="inlineStr">
        <is>
          <t>Oriel Trust</t>
        </is>
      </c>
      <c r="N1728" t="inlineStr">
        <is>
          <t>BRGXCASH</t>
        </is>
      </c>
      <c r="O1728" t="inlineStr">
        <is>
          <t>NEW</t>
        </is>
      </c>
      <c r="Q1728" t="inlineStr">
        <is>
          <t>GROSS</t>
        </is>
      </c>
    </row>
    <row r="1729">
      <c r="A1729" t="inlineStr">
        <is>
          <t>150316825069</t>
        </is>
      </c>
      <c r="B1729" t="inlineStr">
        <is>
          <t>TCC</t>
        </is>
      </c>
      <c r="C1729" t="inlineStr">
        <is>
          <t>BRGX</t>
        </is>
      </c>
      <c r="D1729" s="6" t="n">
        <v>46253</v>
      </c>
      <c r="E1729" t="inlineStr">
        <is>
          <t>CR</t>
        </is>
      </c>
      <c r="F1729" t="inlineStr">
        <is>
          <t>GBP</t>
        </is>
      </c>
      <c r="G1729" s="7" t="n">
        <v>118.908</v>
      </c>
      <c r="H1729" t="inlineStr">
        <is>
          <t>GBP</t>
        </is>
      </c>
      <c r="I1729" s="7" t="n">
        <v>118.908</v>
      </c>
      <c r="J1729" s="8" t="n">
        <v>46253.21209490741</v>
      </c>
      <c r="K1729" t="inlineStr">
        <is>
          <t>CF260819 01723</t>
        </is>
      </c>
      <c r="L1729" t="inlineStr">
        <is>
          <t>GL.NOSTRO.GBP.BRGX.007</t>
        </is>
      </c>
      <c r="M1729" t="inlineStr">
        <is>
          <t>Juniper Settlement Bank</t>
        </is>
      </c>
      <c r="N1729" t="inlineStr">
        <is>
          <t>BRGX</t>
        </is>
      </c>
      <c r="O1729" t="inlineStr">
        <is>
          <t>NEW</t>
        </is>
      </c>
      <c r="P1729" t="inlineStr">
        <is>
          <t>NT26081900670</t>
        </is>
      </c>
      <c r="Q1729" t="inlineStr">
        <is>
          <t>NETTER</t>
        </is>
      </c>
    </row>
    <row r="1730">
      <c r="A1730" t="inlineStr">
        <is>
          <t>150316825069</t>
        </is>
      </c>
      <c r="B1730" t="inlineStr">
        <is>
          <t>TCC</t>
        </is>
      </c>
      <c r="C1730" t="inlineStr">
        <is>
          <t>BRGX</t>
        </is>
      </c>
      <c r="D1730" s="6" t="n">
        <v>46253</v>
      </c>
      <c r="E1730" t="inlineStr">
        <is>
          <t>DR</t>
        </is>
      </c>
      <c r="F1730" t="inlineStr">
        <is>
          <t>GBP</t>
        </is>
      </c>
      <c r="G1730" s="7" t="n">
        <v>-903142180.5470001</v>
      </c>
      <c r="H1730" t="inlineStr">
        <is>
          <t>GBP</t>
        </is>
      </c>
      <c r="I1730" s="7" t="n">
        <v>-903142180.5470001</v>
      </c>
      <c r="J1730" s="8" t="n">
        <v>46253.66459490741</v>
      </c>
      <c r="K1730" t="inlineStr">
        <is>
          <t>CF260819 01724</t>
        </is>
      </c>
      <c r="L1730" t="inlineStr">
        <is>
          <t>GL.NOSTRO.GBP.BRGX.007</t>
        </is>
      </c>
      <c r="M1730" t="inlineStr">
        <is>
          <t>Wrenfield Commercial Bank</t>
        </is>
      </c>
      <c r="N1730" t="inlineStr">
        <is>
          <t>BRGX</t>
        </is>
      </c>
      <c r="O1730" t="inlineStr">
        <is>
          <t>NEW</t>
        </is>
      </c>
      <c r="P1730" t="inlineStr">
        <is>
          <t>NT26081900689</t>
        </is>
      </c>
      <c r="Q1730" t="inlineStr">
        <is>
          <t>GROSS</t>
        </is>
      </c>
    </row>
    <row r="1731">
      <c r="A1731" t="inlineStr">
        <is>
          <t>499062838623</t>
        </is>
      </c>
      <c r="B1731" t="inlineStr">
        <is>
          <t>TCX</t>
        </is>
      </c>
      <c r="C1731" t="inlineStr">
        <is>
          <t>BRBX</t>
        </is>
      </c>
      <c r="D1731" s="6" t="n">
        <v>46253</v>
      </c>
      <c r="E1731" t="inlineStr">
        <is>
          <t>DR</t>
        </is>
      </c>
      <c r="F1731" t="inlineStr">
        <is>
          <t>USD</t>
        </is>
      </c>
      <c r="G1731" s="7" t="n">
        <v>-380339744.031</v>
      </c>
      <c r="H1731" t="inlineStr">
        <is>
          <t>GBP</t>
        </is>
      </c>
      <c r="I1731" s="7" t="n">
        <v>-298186359.32</v>
      </c>
      <c r="J1731" s="8" t="n">
        <v>46253.50145833333</v>
      </c>
      <c r="K1731" t="inlineStr">
        <is>
          <t>CF260819 01725</t>
        </is>
      </c>
      <c r="L1731" t="inlineStr">
        <is>
          <t>GL.NOSTRO.USD.BRBX.001</t>
        </is>
      </c>
      <c r="M1731" t="inlineStr">
        <is>
          <t>Cedar Commercial Bank</t>
        </is>
      </c>
      <c r="N1731" t="inlineStr">
        <is>
          <t>BRBX</t>
        </is>
      </c>
      <c r="O1731" t="inlineStr">
        <is>
          <t>NEW</t>
        </is>
      </c>
      <c r="P1731" t="inlineStr">
        <is>
          <t>NT26081900658</t>
        </is>
      </c>
      <c r="Q1731" t="inlineStr">
        <is>
          <t>GROSS</t>
        </is>
      </c>
    </row>
    <row r="1732">
      <c r="A1732" t="inlineStr">
        <is>
          <t>968942362772</t>
        </is>
      </c>
      <c r="B1732" t="inlineStr">
        <is>
          <t>TCC</t>
        </is>
      </c>
      <c r="C1732" t="inlineStr">
        <is>
          <t>BRYG</t>
        </is>
      </c>
      <c r="D1732" s="6" t="n">
        <v>46253</v>
      </c>
      <c r="E1732" t="inlineStr">
        <is>
          <t>CR</t>
        </is>
      </c>
      <c r="F1732" t="inlineStr">
        <is>
          <t>EUR</t>
        </is>
      </c>
      <c r="G1732" s="7" t="n">
        <v>663920792.605</v>
      </c>
      <c r="H1732" t="inlineStr">
        <is>
          <t>GBP</t>
        </is>
      </c>
      <c r="I1732" s="7" t="n">
        <v>569644040.0549999</v>
      </c>
      <c r="J1732" s="8" t="n">
        <v>46253.70310185185</v>
      </c>
      <c r="K1732" t="inlineStr">
        <is>
          <t>CF260819 01726</t>
        </is>
      </c>
      <c r="L1732" t="inlineStr">
        <is>
          <t>GL.NOSTRO.EUR.BRYG.004</t>
        </is>
      </c>
      <c r="M1732" t="inlineStr">
        <is>
          <t>Larkspur Clearing</t>
        </is>
      </c>
      <c r="N1732" t="inlineStr">
        <is>
          <t>BRYGCASH</t>
        </is>
      </c>
      <c r="O1732" t="inlineStr">
        <is>
          <t>NEW</t>
        </is>
      </c>
      <c r="P1732" t="inlineStr">
        <is>
          <t>NT26081900680</t>
        </is>
      </c>
      <c r="Q1732" t="inlineStr">
        <is>
          <t>NETTER</t>
        </is>
      </c>
    </row>
    <row r="1733">
      <c r="A1733" t="inlineStr">
        <is>
          <t>794226063698</t>
        </is>
      </c>
      <c r="B1733" t="inlineStr">
        <is>
          <t>TCC</t>
        </is>
      </c>
      <c r="C1733" t="inlineStr">
        <is>
          <t>BRMD</t>
        </is>
      </c>
      <c r="D1733" s="6" t="n">
        <v>46253</v>
      </c>
      <c r="E1733" t="inlineStr">
        <is>
          <t>CR</t>
        </is>
      </c>
      <c r="F1733" t="inlineStr">
        <is>
          <t>AED</t>
        </is>
      </c>
      <c r="G1733" s="7" t="n">
        <v>59575563.354</v>
      </c>
      <c r="H1733" t="inlineStr">
        <is>
          <t>GBP</t>
        </is>
      </c>
      <c r="I1733" s="7" t="n">
        <v>12689594.994</v>
      </c>
      <c r="J1733" s="8" t="n">
        <v>46253.43850694445</v>
      </c>
      <c r="K1733" t="inlineStr">
        <is>
          <t>CF260819 01727</t>
        </is>
      </c>
      <c r="L1733" t="inlineStr">
        <is>
          <t>GL.NOSTRO.AED.BRMD.006</t>
        </is>
      </c>
      <c r="M1733" t="inlineStr">
        <is>
          <t>Pinehurst Settlement Bank</t>
        </is>
      </c>
      <c r="N1733" t="inlineStr">
        <is>
          <t>BRMDMM</t>
        </is>
      </c>
      <c r="O1733" t="inlineStr">
        <is>
          <t>NEW</t>
        </is>
      </c>
      <c r="Q1733" t="inlineStr">
        <is>
          <t>GROSS</t>
        </is>
      </c>
    </row>
    <row r="1734">
      <c r="A1734" t="inlineStr">
        <is>
          <t>726928343448</t>
        </is>
      </c>
      <c r="B1734" t="inlineStr">
        <is>
          <t>TCC</t>
        </is>
      </c>
      <c r="C1734" t="inlineStr">
        <is>
          <t>BRGX</t>
        </is>
      </c>
      <c r="D1734" s="6" t="n">
        <v>46253</v>
      </c>
      <c r="E1734" t="inlineStr">
        <is>
          <t>DR</t>
        </is>
      </c>
      <c r="F1734" t="inlineStr">
        <is>
          <t>EUR</t>
        </is>
      </c>
      <c r="G1734" s="7" t="n">
        <v>-15839043.531</v>
      </c>
      <c r="H1734" t="inlineStr">
        <is>
          <t>GBP</t>
        </is>
      </c>
      <c r="I1734" s="7" t="n">
        <v>-13589899.35</v>
      </c>
      <c r="J1734" s="8" t="n">
        <v>46253.4959375</v>
      </c>
      <c r="K1734" t="inlineStr">
        <is>
          <t>CF260819 01728</t>
        </is>
      </c>
      <c r="L1734" t="inlineStr">
        <is>
          <t>GL.NOSTRO.EUR.BRGX.009</t>
        </is>
      </c>
      <c r="M1734" t="inlineStr">
        <is>
          <t>Pinehurst Settlement Bank</t>
        </is>
      </c>
      <c r="N1734" t="inlineStr">
        <is>
          <t>BRGXCASH</t>
        </is>
      </c>
      <c r="O1734" t="inlineStr">
        <is>
          <t>NEW</t>
        </is>
      </c>
      <c r="P1734" t="inlineStr">
        <is>
          <t>NT26081900695</t>
        </is>
      </c>
      <c r="Q1734" t="inlineStr">
        <is>
          <t>NETTER</t>
        </is>
      </c>
    </row>
    <row r="1735">
      <c r="A1735" t="inlineStr">
        <is>
          <t>953625291146</t>
        </is>
      </c>
      <c r="B1735" t="inlineStr">
        <is>
          <t>TCX</t>
        </is>
      </c>
      <c r="C1735" t="inlineStr">
        <is>
          <t>BRGL</t>
        </is>
      </c>
      <c r="D1735" s="6" t="n">
        <v>46253</v>
      </c>
      <c r="E1735" t="inlineStr">
        <is>
          <t>CR</t>
        </is>
      </c>
      <c r="F1735" t="inlineStr">
        <is>
          <t>USD</t>
        </is>
      </c>
      <c r="G1735" s="7" t="n">
        <v>3301613.529</v>
      </c>
      <c r="H1735" t="inlineStr">
        <is>
          <t>GBP</t>
        </is>
      </c>
      <c r="I1735" s="7" t="n">
        <v>2588465.007</v>
      </c>
      <c r="J1735" s="8" t="n">
        <v>46253.40542824074</v>
      </c>
      <c r="K1735" t="inlineStr">
        <is>
          <t>CF260819 01729</t>
        </is>
      </c>
      <c r="L1735" t="inlineStr">
        <is>
          <t>GL.NOSTRO.USD.BRGL.002</t>
        </is>
      </c>
      <c r="M1735" t="inlineStr">
        <is>
          <t>Oriel Trust</t>
        </is>
      </c>
      <c r="N1735" t="inlineStr">
        <is>
          <t>BRGLCASH</t>
        </is>
      </c>
      <c r="O1735" t="inlineStr">
        <is>
          <t>NEW</t>
        </is>
      </c>
      <c r="Q1735" t="inlineStr">
        <is>
          <t>NETTER</t>
        </is>
      </c>
    </row>
    <row r="1736">
      <c r="A1736" t="inlineStr">
        <is>
          <t>910703979141</t>
        </is>
      </c>
      <c r="B1736" t="inlineStr">
        <is>
          <t>TCQ</t>
        </is>
      </c>
      <c r="C1736" t="inlineStr">
        <is>
          <t>BRCC</t>
        </is>
      </c>
      <c r="D1736" s="6" t="n">
        <v>46253</v>
      </c>
      <c r="E1736" t="inlineStr">
        <is>
          <t>DR</t>
        </is>
      </c>
      <c r="F1736" t="inlineStr">
        <is>
          <t>CHF</t>
        </is>
      </c>
      <c r="G1736" s="7" t="n">
        <v>-919981849.818</v>
      </c>
      <c r="H1736" t="inlineStr">
        <is>
          <t>GBP</t>
        </is>
      </c>
      <c r="I1736" s="7" t="n">
        <v>-825223719.2869999</v>
      </c>
      <c r="J1736" s="8" t="n">
        <v>46253.61289351852</v>
      </c>
      <c r="K1736" t="inlineStr">
        <is>
          <t>CF260819 01730</t>
        </is>
      </c>
      <c r="L1736" t="inlineStr">
        <is>
          <t>GL.NOSTRO.CHF.BRCC.005</t>
        </is>
      </c>
      <c r="M1736" t="inlineStr">
        <is>
          <t>Alder Clearing</t>
        </is>
      </c>
      <c r="N1736" t="inlineStr">
        <is>
          <t>BRCCTRSY</t>
        </is>
      </c>
      <c r="O1736" t="inlineStr">
        <is>
          <t>AMEND</t>
        </is>
      </c>
      <c r="P1736" t="inlineStr">
        <is>
          <t>NT26081900680</t>
        </is>
      </c>
      <c r="Q1736" t="inlineStr">
        <is>
          <t>INTERNAL</t>
        </is>
      </c>
    </row>
    <row r="1737">
      <c r="A1737" t="inlineStr">
        <is>
          <t>953625291146</t>
        </is>
      </c>
      <c r="B1737" t="inlineStr">
        <is>
          <t>TCC</t>
        </is>
      </c>
      <c r="C1737" t="inlineStr">
        <is>
          <t>BRGL</t>
        </is>
      </c>
      <c r="D1737" s="6" t="n">
        <v>46253</v>
      </c>
      <c r="E1737" t="inlineStr">
        <is>
          <t>CR</t>
        </is>
      </c>
      <c r="F1737" t="inlineStr">
        <is>
          <t>USD</t>
        </is>
      </c>
      <c r="G1737" s="7" t="n">
        <v>214855.459</v>
      </c>
      <c r="H1737" t="inlineStr">
        <is>
          <t>GBP</t>
        </is>
      </c>
      <c r="I1737" s="7" t="n">
        <v>168446.68</v>
      </c>
      <c r="J1737" s="8" t="n">
        <v>46253.41446759259</v>
      </c>
      <c r="K1737" t="inlineStr">
        <is>
          <t>CF260819 01731</t>
        </is>
      </c>
      <c r="L1737" t="inlineStr">
        <is>
          <t>GL.NOSTRO.USD.BRGL.004</t>
        </is>
      </c>
      <c r="M1737" t="inlineStr">
        <is>
          <t>Sablewood Settlement Bank</t>
        </is>
      </c>
      <c r="N1737" t="inlineStr">
        <is>
          <t>BRGL</t>
        </is>
      </c>
      <c r="O1737" t="inlineStr">
        <is>
          <t>NEW</t>
        </is>
      </c>
      <c r="P1737" t="inlineStr">
        <is>
          <t>NT26081900679</t>
        </is>
      </c>
      <c r="Q1737" t="inlineStr">
        <is>
          <t>NETTER</t>
        </is>
      </c>
    </row>
    <row r="1738">
      <c r="A1738" t="inlineStr">
        <is>
          <t>359365220160</t>
        </is>
      </c>
      <c r="B1738" t="inlineStr">
        <is>
          <t>TCC</t>
        </is>
      </c>
      <c r="C1738" t="inlineStr">
        <is>
          <t>BRGX</t>
        </is>
      </c>
      <c r="D1738" s="6" t="n">
        <v>46253</v>
      </c>
      <c r="E1738" t="inlineStr">
        <is>
          <t>CR</t>
        </is>
      </c>
      <c r="F1738" t="inlineStr">
        <is>
          <t>EUR</t>
        </is>
      </c>
      <c r="G1738" s="7" t="n">
        <v>131.07</v>
      </c>
      <c r="H1738" t="inlineStr">
        <is>
          <t>GBP</t>
        </is>
      </c>
      <c r="I1738" s="7" t="n">
        <v>112.458</v>
      </c>
      <c r="J1738" s="8" t="n">
        <v>46253.60502314815</v>
      </c>
      <c r="K1738" t="inlineStr">
        <is>
          <t>CF260819 01732</t>
        </is>
      </c>
      <c r="L1738" t="inlineStr">
        <is>
          <t>GL.NOSTRO.EUR.BRGX.005</t>
        </is>
      </c>
      <c r="M1738" t="inlineStr">
        <is>
          <t>Sablewood Commercial Bank</t>
        </is>
      </c>
      <c r="N1738" t="inlineStr">
        <is>
          <t>BRGXTRSY</t>
        </is>
      </c>
      <c r="O1738" t="inlineStr">
        <is>
          <t>NEW</t>
        </is>
      </c>
      <c r="Q1738" t="inlineStr">
        <is>
          <t>NETTER</t>
        </is>
      </c>
    </row>
    <row r="1739">
      <c r="A1739" t="inlineStr">
        <is>
          <t>150316825069</t>
        </is>
      </c>
      <c r="B1739" t="inlineStr">
        <is>
          <t>TCQ</t>
        </is>
      </c>
      <c r="C1739" t="inlineStr">
        <is>
          <t>BRGX</t>
        </is>
      </c>
      <c r="D1739" s="6" t="n">
        <v>46253</v>
      </c>
      <c r="E1739" t="inlineStr">
        <is>
          <t>CR</t>
        </is>
      </c>
      <c r="F1739" t="inlineStr">
        <is>
          <t>GBP</t>
        </is>
      </c>
      <c r="G1739" s="7" t="n">
        <v>258910127.323</v>
      </c>
      <c r="H1739" t="inlineStr">
        <is>
          <t>GBP</t>
        </is>
      </c>
      <c r="I1739" s="7" t="n">
        <v>258910127.323</v>
      </c>
      <c r="J1739" s="8" t="n">
        <v>46253.45163194444</v>
      </c>
      <c r="K1739" t="inlineStr">
        <is>
          <t>CF260819 01733</t>
        </is>
      </c>
      <c r="L1739" t="inlineStr">
        <is>
          <t>GL.NOSTRO.GBP.BRGX.008</t>
        </is>
      </c>
      <c r="M1739" t="inlineStr">
        <is>
          <t>Elmwood Settlement Bank</t>
        </is>
      </c>
      <c r="N1739" t="inlineStr">
        <is>
          <t>BRGXCASH</t>
        </is>
      </c>
      <c r="O1739" t="inlineStr">
        <is>
          <t>NEW</t>
        </is>
      </c>
      <c r="Q1739" t="inlineStr">
        <is>
          <t>NETTER</t>
        </is>
      </c>
    </row>
    <row r="1740">
      <c r="A1740" t="inlineStr">
        <is>
          <t>132544340094</t>
        </is>
      </c>
      <c r="B1740" t="inlineStr">
        <is>
          <t>TCQ</t>
        </is>
      </c>
      <c r="C1740" t="inlineStr">
        <is>
          <t>BRYG</t>
        </is>
      </c>
      <c r="D1740" s="6" t="n">
        <v>46253</v>
      </c>
      <c r="E1740" t="inlineStr">
        <is>
          <t>DR</t>
        </is>
      </c>
      <c r="F1740" t="inlineStr">
        <is>
          <t>CZK</t>
        </is>
      </c>
      <c r="G1740" s="7" t="n">
        <v>-6315524.558</v>
      </c>
      <c r="H1740" t="inlineStr">
        <is>
          <t>GBP</t>
        </is>
      </c>
      <c r="I1740" s="7" t="n">
        <v>-214096.283</v>
      </c>
      <c r="J1740" s="8" t="n">
        <v>46253.38847222222</v>
      </c>
      <c r="K1740" t="inlineStr">
        <is>
          <t>CF260819 01734</t>
        </is>
      </c>
      <c r="L1740" t="inlineStr">
        <is>
          <t>GL.NOSTRO.CZK.BRYG.005</t>
        </is>
      </c>
      <c r="M1740" t="inlineStr">
        <is>
          <t>Harrow Clearing</t>
        </is>
      </c>
      <c r="N1740" t="inlineStr">
        <is>
          <t>BRYGCASH</t>
        </is>
      </c>
      <c r="O1740" t="inlineStr">
        <is>
          <t>NEW</t>
        </is>
      </c>
      <c r="Q1740" t="inlineStr">
        <is>
          <t>NETTER</t>
        </is>
      </c>
    </row>
    <row r="1741">
      <c r="A1741" t="inlineStr">
        <is>
          <t>794226063698</t>
        </is>
      </c>
      <c r="B1741" t="inlineStr">
        <is>
          <t>TCP</t>
        </is>
      </c>
      <c r="C1741" t="inlineStr">
        <is>
          <t>BRMD</t>
        </is>
      </c>
      <c r="D1741" s="6" t="n">
        <v>46253</v>
      </c>
      <c r="E1741" t="inlineStr">
        <is>
          <t>CR</t>
        </is>
      </c>
      <c r="F1741" t="inlineStr">
        <is>
          <t>AED</t>
        </is>
      </c>
      <c r="G1741" s="7" t="n">
        <v>588253.189</v>
      </c>
      <c r="H1741" t="inlineStr">
        <is>
          <t>GBP</t>
        </is>
      </c>
      <c r="I1741" s="7" t="n">
        <v>125297.929</v>
      </c>
      <c r="J1741" s="8" t="n">
        <v>46253.28230324074</v>
      </c>
      <c r="K1741" t="inlineStr">
        <is>
          <t>CF260819 01735</t>
        </is>
      </c>
      <c r="L1741" t="inlineStr">
        <is>
          <t>GL.NOSTRO.AED.BRMD.007</t>
        </is>
      </c>
      <c r="M1741" t="inlineStr">
        <is>
          <t>Dunlin Bank</t>
        </is>
      </c>
      <c r="N1741" t="inlineStr">
        <is>
          <t>BRMD</t>
        </is>
      </c>
      <c r="O1741" t="inlineStr">
        <is>
          <t>CANCEL</t>
        </is>
      </c>
      <c r="P1741" t="inlineStr">
        <is>
          <t>NT26081900685</t>
        </is>
      </c>
      <c r="Q1741" t="inlineStr">
        <is>
          <t>NETTER</t>
        </is>
      </c>
    </row>
    <row r="1742">
      <c r="A1742" t="inlineStr">
        <is>
          <t>132544340094</t>
        </is>
      </c>
      <c r="B1742" t="inlineStr">
        <is>
          <t>TCQ</t>
        </is>
      </c>
      <c r="C1742" t="inlineStr">
        <is>
          <t>BRYG</t>
        </is>
      </c>
      <c r="D1742" s="6" t="n">
        <v>46253</v>
      </c>
      <c r="E1742" t="inlineStr">
        <is>
          <t>CR</t>
        </is>
      </c>
      <c r="F1742" t="inlineStr">
        <is>
          <t>CZK</t>
        </is>
      </c>
      <c r="G1742" s="7" t="n">
        <v>73831191.108</v>
      </c>
      <c r="H1742" t="inlineStr">
        <is>
          <t>GBP</t>
        </is>
      </c>
      <c r="I1742" s="7" t="n">
        <v>2502877.379</v>
      </c>
      <c r="J1742" s="8" t="n">
        <v>46253.32611111111</v>
      </c>
      <c r="K1742" t="inlineStr">
        <is>
          <t>CF260819 01736</t>
        </is>
      </c>
      <c r="L1742" t="inlineStr">
        <is>
          <t>GL.NOSTRO.CZK.BRYG.007</t>
        </is>
      </c>
      <c r="M1742" t="inlineStr">
        <is>
          <t>Pinehurst Bank</t>
        </is>
      </c>
      <c r="N1742" t="inlineStr">
        <is>
          <t>BRYG</t>
        </is>
      </c>
      <c r="O1742" t="inlineStr">
        <is>
          <t>NEW</t>
        </is>
      </c>
      <c r="P1742" t="inlineStr">
        <is>
          <t>NT26081900658</t>
        </is>
      </c>
      <c r="Q1742" t="inlineStr">
        <is>
          <t>NETTER</t>
        </is>
      </c>
    </row>
    <row r="1743">
      <c r="A1743" t="inlineStr">
        <is>
          <t>284925023085</t>
        </is>
      </c>
      <c r="B1743" t="inlineStr">
        <is>
          <t>TCC</t>
        </is>
      </c>
      <c r="C1743" t="inlineStr">
        <is>
          <t>BRMD</t>
        </is>
      </c>
      <c r="D1743" s="6" t="n">
        <v>46253</v>
      </c>
      <c r="E1743" t="inlineStr">
        <is>
          <t>DR</t>
        </is>
      </c>
      <c r="F1743" t="inlineStr">
        <is>
          <t>MXN</t>
        </is>
      </c>
      <c r="G1743" s="7" t="n">
        <v>-33085304.708</v>
      </c>
      <c r="H1743" t="inlineStr">
        <is>
          <t>GBP</t>
        </is>
      </c>
      <c r="I1743" s="7" t="n">
        <v>-1416051.042</v>
      </c>
      <c r="J1743" s="8" t="n">
        <v>46253.40773148148</v>
      </c>
      <c r="K1743" t="inlineStr">
        <is>
          <t>CF260819 01737</t>
        </is>
      </c>
      <c r="L1743" t="inlineStr">
        <is>
          <t>GL.NOSTRO.MXN.BRMD.009</t>
        </is>
      </c>
      <c r="M1743" t="inlineStr">
        <is>
          <t>Zephyr Bank</t>
        </is>
      </c>
      <c r="N1743" t="inlineStr">
        <is>
          <t>BRMDMM</t>
        </is>
      </c>
      <c r="O1743" t="inlineStr">
        <is>
          <t>NEW</t>
        </is>
      </c>
      <c r="Q1743" t="inlineStr">
        <is>
          <t>GROSS</t>
        </is>
      </c>
    </row>
    <row r="1744">
      <c r="A1744" t="inlineStr">
        <is>
          <t>499062838623</t>
        </is>
      </c>
      <c r="B1744" t="inlineStr">
        <is>
          <t>TCG</t>
        </is>
      </c>
      <c r="C1744" t="inlineStr">
        <is>
          <t>BRBX</t>
        </is>
      </c>
      <c r="D1744" s="6" t="n">
        <v>46253</v>
      </c>
      <c r="E1744" t="inlineStr">
        <is>
          <t>DR</t>
        </is>
      </c>
      <c r="F1744" t="inlineStr">
        <is>
          <t>USD</t>
        </is>
      </c>
      <c r="G1744" s="7" t="n">
        <v>-80172107.594</v>
      </c>
      <c r="H1744" t="inlineStr">
        <is>
          <t>GBP</t>
        </is>
      </c>
      <c r="I1744" s="7" t="n">
        <v>-62854932.354</v>
      </c>
      <c r="J1744" s="8" t="n">
        <v>46253.63586805556</v>
      </c>
      <c r="K1744" t="inlineStr">
        <is>
          <t>CF260819 01738</t>
        </is>
      </c>
      <c r="L1744" t="inlineStr">
        <is>
          <t>GL.NOSTRO.USD.BRBX.006</t>
        </is>
      </c>
      <c r="M1744" t="inlineStr">
        <is>
          <t>Juniper Settlement Bank</t>
        </is>
      </c>
      <c r="N1744" t="inlineStr">
        <is>
          <t>BRBXCASH</t>
        </is>
      </c>
      <c r="O1744" t="inlineStr">
        <is>
          <t>NEW</t>
        </is>
      </c>
      <c r="P1744" t="inlineStr">
        <is>
          <t>NT26081900657</t>
        </is>
      </c>
      <c r="Q1744" t="inlineStr">
        <is>
          <t>NETTER</t>
        </is>
      </c>
    </row>
    <row r="1745">
      <c r="A1745" t="inlineStr">
        <is>
          <t>171857983160</t>
        </is>
      </c>
      <c r="B1745" t="inlineStr">
        <is>
          <t>TCP</t>
        </is>
      </c>
      <c r="C1745" t="inlineStr">
        <is>
          <t>BRBX</t>
        </is>
      </c>
      <c r="D1745" s="6" t="n">
        <v>46253</v>
      </c>
      <c r="E1745" t="inlineStr">
        <is>
          <t>CR</t>
        </is>
      </c>
      <c r="F1745" t="inlineStr">
        <is>
          <t>AUD</t>
        </is>
      </c>
      <c r="G1745" s="7" t="n">
        <v>87961498.492</v>
      </c>
      <c r="H1745" t="inlineStr">
        <is>
          <t>GBP</t>
        </is>
      </c>
      <c r="I1745" s="7" t="n">
        <v>45124248.726</v>
      </c>
      <c r="J1745" s="8" t="n">
        <v>46253.59908564815</v>
      </c>
      <c r="K1745" t="inlineStr">
        <is>
          <t>CF260819 01739</t>
        </is>
      </c>
      <c r="L1745" t="inlineStr">
        <is>
          <t>GL.NOSTRO.AUD.BRBX.002</t>
        </is>
      </c>
      <c r="M1745" t="inlineStr">
        <is>
          <t>Mallow Clearing</t>
        </is>
      </c>
      <c r="N1745" t="inlineStr">
        <is>
          <t>BRBXTRSY</t>
        </is>
      </c>
      <c r="O1745" t="inlineStr">
        <is>
          <t>NEW</t>
        </is>
      </c>
      <c r="P1745" t="inlineStr">
        <is>
          <t>NT26081900659</t>
        </is>
      </c>
      <c r="Q1745" t="inlineStr">
        <is>
          <t>GROSS</t>
        </is>
      </c>
    </row>
    <row r="1746">
      <c r="A1746" t="inlineStr">
        <is>
          <t>968942362772</t>
        </is>
      </c>
      <c r="B1746" t="inlineStr">
        <is>
          <t>TCQ</t>
        </is>
      </c>
      <c r="C1746" t="inlineStr">
        <is>
          <t>BRYG</t>
        </is>
      </c>
      <c r="D1746" s="6" t="n">
        <v>46253</v>
      </c>
      <c r="E1746" t="inlineStr">
        <is>
          <t>CR</t>
        </is>
      </c>
      <c r="F1746" t="inlineStr">
        <is>
          <t>EUR</t>
        </is>
      </c>
      <c r="G1746" s="7" t="n">
        <v>11155.555</v>
      </c>
      <c r="H1746" t="inlineStr">
        <is>
          <t>GBP</t>
        </is>
      </c>
      <c r="I1746" s="7" t="n">
        <v>9571.466</v>
      </c>
      <c r="J1746" s="8" t="n">
        <v>46253.44929398148</v>
      </c>
      <c r="K1746" t="inlineStr">
        <is>
          <t>CF260819 01740</t>
        </is>
      </c>
      <c r="L1746" t="inlineStr">
        <is>
          <t>GL.NOSTRO.EUR.BRYG.003</t>
        </is>
      </c>
      <c r="M1746" t="inlineStr">
        <is>
          <t>Thornbury Bank</t>
        </is>
      </c>
      <c r="N1746" t="inlineStr">
        <is>
          <t>BRYG</t>
        </is>
      </c>
      <c r="O1746" t="inlineStr">
        <is>
          <t>NEW</t>
        </is>
      </c>
      <c r="Q1746" t="inlineStr">
        <is>
          <t>NETTER</t>
        </is>
      </c>
    </row>
    <row r="1747">
      <c r="A1747" t="inlineStr">
        <is>
          <t>499062838623</t>
        </is>
      </c>
      <c r="B1747" t="inlineStr">
        <is>
          <t>TCX</t>
        </is>
      </c>
      <c r="C1747" t="inlineStr">
        <is>
          <t>BRBX</t>
        </is>
      </c>
      <c r="D1747" s="6" t="n">
        <v>46253</v>
      </c>
      <c r="E1747" t="inlineStr">
        <is>
          <t>CR</t>
        </is>
      </c>
      <c r="F1747" t="inlineStr">
        <is>
          <t>USD</t>
        </is>
      </c>
      <c r="G1747" s="7" t="n">
        <v>18965770.156</v>
      </c>
      <c r="H1747" t="inlineStr">
        <is>
          <t>GBP</t>
        </is>
      </c>
      <c r="I1747" s="7" t="n">
        <v>14869163.802</v>
      </c>
      <c r="J1747" s="8" t="n">
        <v>46253.67197916667</v>
      </c>
      <c r="K1747" t="inlineStr">
        <is>
          <t>CF260819 01741</t>
        </is>
      </c>
      <c r="L1747" t="inlineStr">
        <is>
          <t>GL.NOSTRO.USD.BRBX.001</t>
        </is>
      </c>
      <c r="M1747" t="inlineStr">
        <is>
          <t>Umberton Commercial Bank</t>
        </is>
      </c>
      <c r="N1747" t="inlineStr">
        <is>
          <t>BRBXTRSY</t>
        </is>
      </c>
      <c r="O1747" t="inlineStr">
        <is>
          <t>NEW</t>
        </is>
      </c>
      <c r="Q1747" t="inlineStr">
        <is>
          <t>NETTER</t>
        </is>
      </c>
    </row>
    <row r="1748">
      <c r="A1748" t="inlineStr">
        <is>
          <t>898317028833</t>
        </is>
      </c>
      <c r="B1748" t="inlineStr">
        <is>
          <t>TCP</t>
        </is>
      </c>
      <c r="C1748" t="inlineStr">
        <is>
          <t>BRAA</t>
        </is>
      </c>
      <c r="D1748" s="6" t="n">
        <v>46253</v>
      </c>
      <c r="E1748" t="inlineStr">
        <is>
          <t>DR</t>
        </is>
      </c>
      <c r="F1748" t="inlineStr">
        <is>
          <t>GBP</t>
        </is>
      </c>
      <c r="G1748" s="7" t="n">
        <v>-27810422.306</v>
      </c>
      <c r="H1748" t="inlineStr">
        <is>
          <t>GBP</t>
        </is>
      </c>
      <c r="I1748" s="7" t="n">
        <v>-27810422.306</v>
      </c>
      <c r="J1748" s="8" t="n">
        <v>46253.60502314815</v>
      </c>
      <c r="K1748" t="inlineStr">
        <is>
          <t>CF260819 01742</t>
        </is>
      </c>
      <c r="L1748" t="inlineStr">
        <is>
          <t>GL.NOSTRO.GBP.BRAA.001</t>
        </is>
      </c>
      <c r="M1748" t="inlineStr">
        <is>
          <t>Elmwood Settlement Bank</t>
        </is>
      </c>
      <c r="N1748" t="inlineStr">
        <is>
          <t>BRAAMM</t>
        </is>
      </c>
      <c r="O1748" t="inlineStr">
        <is>
          <t>NEW</t>
        </is>
      </c>
      <c r="Q1748" t="inlineStr">
        <is>
          <t>NETTER</t>
        </is>
      </c>
    </row>
    <row r="1749">
      <c r="A1749" t="inlineStr">
        <is>
          <t>953625291146</t>
        </is>
      </c>
      <c r="B1749" t="inlineStr">
        <is>
          <t>TCX</t>
        </is>
      </c>
      <c r="C1749" t="inlineStr">
        <is>
          <t>BRGL</t>
        </is>
      </c>
      <c r="D1749" s="6" t="n">
        <v>46253</v>
      </c>
      <c r="E1749" t="inlineStr">
        <is>
          <t>DR</t>
        </is>
      </c>
      <c r="F1749" t="inlineStr">
        <is>
          <t>USD</t>
        </is>
      </c>
      <c r="G1749" s="7" t="n">
        <v>-26203337.279</v>
      </c>
      <c r="H1749" t="inlineStr">
        <is>
          <t>GBP</t>
        </is>
      </c>
      <c r="I1749" s="7" t="n">
        <v>-20543416.427</v>
      </c>
      <c r="J1749" s="8" t="n">
        <v>46253.32071759259</v>
      </c>
      <c r="K1749" t="inlineStr">
        <is>
          <t>CF260819 01743</t>
        </is>
      </c>
      <c r="L1749" t="inlineStr">
        <is>
          <t>GL.NOSTRO.USD.BRGL.009</t>
        </is>
      </c>
      <c r="M1749" t="inlineStr">
        <is>
          <t>Pinehurst Settlement Bank</t>
        </is>
      </c>
      <c r="N1749" t="inlineStr">
        <is>
          <t>BRGLTRSY</t>
        </is>
      </c>
      <c r="O1749" t="inlineStr">
        <is>
          <t>NEW</t>
        </is>
      </c>
      <c r="Q1749" t="inlineStr">
        <is>
          <t>GROSS</t>
        </is>
      </c>
    </row>
    <row r="1750">
      <c r="A1750" t="inlineStr">
        <is>
          <t>359365220160</t>
        </is>
      </c>
      <c r="B1750" t="inlineStr">
        <is>
          <t>TCG</t>
        </is>
      </c>
      <c r="C1750" t="inlineStr">
        <is>
          <t>BRGX</t>
        </is>
      </c>
      <c r="D1750" s="6" t="n">
        <v>46253</v>
      </c>
      <c r="E1750" t="inlineStr">
        <is>
          <t>CR</t>
        </is>
      </c>
      <c r="F1750" t="inlineStr">
        <is>
          <t>EUR</t>
        </is>
      </c>
      <c r="G1750" s="7" t="n">
        <v>132937804.497</v>
      </c>
      <c r="H1750" t="inlineStr">
        <is>
          <t>GBP</t>
        </is>
      </c>
      <c r="I1750" s="7" t="n">
        <v>114060636.258</v>
      </c>
      <c r="J1750" s="8" t="n">
        <v>46253.54694444445</v>
      </c>
      <c r="K1750" t="inlineStr">
        <is>
          <t>CF260819 01744</t>
        </is>
      </c>
      <c r="L1750" t="inlineStr">
        <is>
          <t>GL.NOSTRO.EUR.BRGX.003</t>
        </is>
      </c>
      <c r="M1750" t="inlineStr">
        <is>
          <t>Dunlin Bank</t>
        </is>
      </c>
      <c r="N1750" t="inlineStr">
        <is>
          <t>BRGXCASH</t>
        </is>
      </c>
      <c r="O1750" t="inlineStr">
        <is>
          <t>NEW</t>
        </is>
      </c>
      <c r="Q1750" t="inlineStr">
        <is>
          <t>GROSS</t>
        </is>
      </c>
    </row>
    <row r="1751">
      <c r="A1751" t="inlineStr">
        <is>
          <t>499062838623</t>
        </is>
      </c>
      <c r="B1751" t="inlineStr">
        <is>
          <t>TCG</t>
        </is>
      </c>
      <c r="C1751" t="inlineStr">
        <is>
          <t>BRBX</t>
        </is>
      </c>
      <c r="D1751" s="6" t="n">
        <v>46253</v>
      </c>
      <c r="E1751" t="inlineStr">
        <is>
          <t>DR</t>
        </is>
      </c>
      <c r="F1751" t="inlineStr">
        <is>
          <t>USD</t>
        </is>
      </c>
      <c r="G1751" s="7" t="n">
        <v>-602665061.431</v>
      </c>
      <c r="H1751" t="inlineStr">
        <is>
          <t>GBP</t>
        </is>
      </c>
      <c r="I1751" s="7" t="n">
        <v>-472489408.162</v>
      </c>
      <c r="J1751" s="8" t="n">
        <v>46253.49097222222</v>
      </c>
      <c r="K1751" t="inlineStr">
        <is>
          <t>CF260819 01745</t>
        </is>
      </c>
      <c r="L1751" t="inlineStr">
        <is>
          <t>GL.NOSTRO.USD.BRBX.006</t>
        </is>
      </c>
      <c r="M1751" t="inlineStr">
        <is>
          <t>Redstart Commercial Bank</t>
        </is>
      </c>
      <c r="N1751" t="inlineStr">
        <is>
          <t>BRBXTRSY</t>
        </is>
      </c>
      <c r="O1751" t="inlineStr">
        <is>
          <t>NEW</t>
        </is>
      </c>
      <c r="P1751" t="inlineStr">
        <is>
          <t>NT26081900666</t>
        </is>
      </c>
      <c r="Q1751" t="inlineStr">
        <is>
          <t>NETTER</t>
        </is>
      </c>
    </row>
    <row r="1752">
      <c r="A1752" t="inlineStr">
        <is>
          <t>499062838623</t>
        </is>
      </c>
      <c r="B1752" t="inlineStr">
        <is>
          <t>TCC</t>
        </is>
      </c>
      <c r="C1752" t="inlineStr">
        <is>
          <t>BRBX</t>
        </is>
      </c>
      <c r="D1752" s="6" t="n">
        <v>46253</v>
      </c>
      <c r="E1752" t="inlineStr">
        <is>
          <t>DR</t>
        </is>
      </c>
      <c r="F1752" t="inlineStr">
        <is>
          <t>USD</t>
        </is>
      </c>
      <c r="G1752" s="7" t="n">
        <v>-2360377.055</v>
      </c>
      <c r="H1752" t="inlineStr">
        <is>
          <t>GBP</t>
        </is>
      </c>
      <c r="I1752" s="7" t="n">
        <v>-1850535.611</v>
      </c>
      <c r="J1752" s="8" t="n">
        <v>46253.61732638889</v>
      </c>
      <c r="K1752" t="inlineStr">
        <is>
          <t>CF260819 01746</t>
        </is>
      </c>
      <c r="L1752" t="inlineStr">
        <is>
          <t>GL.NOSTRO.USD.BRBX.002</t>
        </is>
      </c>
      <c r="M1752" t="inlineStr">
        <is>
          <t>Umberton Commercial Bank</t>
        </is>
      </c>
      <c r="N1752" t="inlineStr">
        <is>
          <t>BRBXTRSY</t>
        </is>
      </c>
      <c r="O1752" t="inlineStr">
        <is>
          <t>AMEND</t>
        </is>
      </c>
      <c r="Q1752" t="inlineStr">
        <is>
          <t>NETTER</t>
        </is>
      </c>
    </row>
    <row r="1753">
      <c r="A1753" t="inlineStr">
        <is>
          <t>284925023085</t>
        </is>
      </c>
      <c r="B1753" t="inlineStr">
        <is>
          <t>TCC</t>
        </is>
      </c>
      <c r="C1753" t="inlineStr">
        <is>
          <t>BRMD</t>
        </is>
      </c>
      <c r="D1753" s="6" t="n">
        <v>46253</v>
      </c>
      <c r="E1753" t="inlineStr">
        <is>
          <t>CR</t>
        </is>
      </c>
      <c r="F1753" t="inlineStr">
        <is>
          <t>MXN</t>
        </is>
      </c>
      <c r="G1753" s="7" t="n">
        <v>18152868.478</v>
      </c>
      <c r="H1753" t="inlineStr">
        <is>
          <t>GBP</t>
        </is>
      </c>
      <c r="I1753" s="7" t="n">
        <v>776942.7709999999</v>
      </c>
      <c r="J1753" s="8" t="n">
        <v>46253.72641203704</v>
      </c>
      <c r="K1753" t="inlineStr">
        <is>
          <t>CF260819 01747</t>
        </is>
      </c>
      <c r="L1753" t="inlineStr">
        <is>
          <t>GL.NOSTRO.MXN.BRMD.001</t>
        </is>
      </c>
      <c r="M1753" t="inlineStr">
        <is>
          <t>Juniper Settlement Bank</t>
        </is>
      </c>
      <c r="N1753" t="inlineStr">
        <is>
          <t>BRMDMM</t>
        </is>
      </c>
      <c r="O1753" t="inlineStr">
        <is>
          <t>AMEND</t>
        </is>
      </c>
      <c r="Q1753" t="inlineStr">
        <is>
          <t>INTERNAL</t>
        </is>
      </c>
    </row>
    <row r="1754">
      <c r="A1754" t="inlineStr">
        <is>
          <t>150316825069</t>
        </is>
      </c>
      <c r="B1754" t="inlineStr">
        <is>
          <t>TCX</t>
        </is>
      </c>
      <c r="C1754" t="inlineStr">
        <is>
          <t>BRGX</t>
        </is>
      </c>
      <c r="D1754" s="6" t="n">
        <v>46253</v>
      </c>
      <c r="E1754" t="inlineStr">
        <is>
          <t>DR</t>
        </is>
      </c>
      <c r="F1754" t="inlineStr">
        <is>
          <t>GBP</t>
        </is>
      </c>
      <c r="G1754" s="7" t="n">
        <v>-3040514.789</v>
      </c>
      <c r="H1754" t="inlineStr">
        <is>
          <t>GBP</t>
        </is>
      </c>
      <c r="I1754" s="7" t="n">
        <v>-3040514.789</v>
      </c>
      <c r="J1754" s="8" t="n">
        <v>46253.48893518518</v>
      </c>
      <c r="K1754" t="inlineStr">
        <is>
          <t>CF260819 01748</t>
        </is>
      </c>
      <c r="L1754" t="inlineStr">
        <is>
          <t>GL.NOSTRO.GBP.BRGX.002</t>
        </is>
      </c>
      <c r="M1754" t="inlineStr">
        <is>
          <t>Yarrow Clearing</t>
        </is>
      </c>
      <c r="N1754" t="inlineStr">
        <is>
          <t>BRGXCASH</t>
        </is>
      </c>
      <c r="O1754" t="inlineStr">
        <is>
          <t>AMEND</t>
        </is>
      </c>
      <c r="Q1754" t="inlineStr">
        <is>
          <t>NETTER</t>
        </is>
      </c>
    </row>
    <row r="1755">
      <c r="A1755" t="inlineStr">
        <is>
          <t>150316825069</t>
        </is>
      </c>
      <c r="B1755" t="inlineStr">
        <is>
          <t>TCX</t>
        </is>
      </c>
      <c r="C1755" t="inlineStr">
        <is>
          <t>BRGX</t>
        </is>
      </c>
      <c r="D1755" s="6" t="n">
        <v>46253</v>
      </c>
      <c r="E1755" t="inlineStr">
        <is>
          <t>DR</t>
        </is>
      </c>
      <c r="F1755" t="inlineStr">
        <is>
          <t>GBP</t>
        </is>
      </c>
      <c r="G1755" s="7" t="n">
        <v>-154231091.933</v>
      </c>
      <c r="H1755" t="inlineStr">
        <is>
          <t>GBP</t>
        </is>
      </c>
      <c r="I1755" s="7" t="n">
        <v>-154231091.933</v>
      </c>
      <c r="J1755" s="8" t="n">
        <v>46253.6343287037</v>
      </c>
      <c r="K1755" t="inlineStr">
        <is>
          <t>CF260819 01749</t>
        </is>
      </c>
      <c r="L1755" t="inlineStr">
        <is>
          <t>GL.NOSTRO.GBP.BRGX.007</t>
        </is>
      </c>
      <c r="M1755" t="inlineStr">
        <is>
          <t>Redstart Trust</t>
        </is>
      </c>
      <c r="N1755" t="inlineStr">
        <is>
          <t>BRGX</t>
        </is>
      </c>
      <c r="O1755" t="inlineStr">
        <is>
          <t>NEW</t>
        </is>
      </c>
      <c r="Q1755" t="inlineStr">
        <is>
          <t>GROSS</t>
        </is>
      </c>
    </row>
    <row r="1756">
      <c r="A1756" t="inlineStr">
        <is>
          <t>113829985108</t>
        </is>
      </c>
      <c r="B1756" t="inlineStr">
        <is>
          <t>TCP</t>
        </is>
      </c>
      <c r="C1756" t="inlineStr">
        <is>
          <t>BRGL</t>
        </is>
      </c>
      <c r="D1756" s="6" t="n">
        <v>46253</v>
      </c>
      <c r="E1756" t="inlineStr">
        <is>
          <t>DR</t>
        </is>
      </c>
      <c r="F1756" t="inlineStr">
        <is>
          <t>EUR</t>
        </is>
      </c>
      <c r="G1756" s="7" t="n">
        <v>-2164006.214</v>
      </c>
      <c r="H1756" t="inlineStr">
        <is>
          <t>GBP</t>
        </is>
      </c>
      <c r="I1756" s="7" t="n">
        <v>-1856717.332</v>
      </c>
      <c r="J1756" s="8" t="n">
        <v>46253.54347222222</v>
      </c>
      <c r="K1756" t="inlineStr">
        <is>
          <t>CF260819 01750</t>
        </is>
      </c>
      <c r="L1756" t="inlineStr">
        <is>
          <t>GL.NOSTRO.EUR.BRGL.006</t>
        </is>
      </c>
      <c r="M1756" t="inlineStr">
        <is>
          <t>Yarrow Clearing</t>
        </is>
      </c>
      <c r="N1756" t="inlineStr">
        <is>
          <t>BRGLCASH</t>
        </is>
      </c>
      <c r="O1756" t="inlineStr">
        <is>
          <t>NEW</t>
        </is>
      </c>
      <c r="Q1756" t="inlineStr">
        <is>
          <t>NETTER</t>
        </is>
      </c>
    </row>
    <row r="1757">
      <c r="A1757" t="inlineStr">
        <is>
          <t>824840705580</t>
        </is>
      </c>
      <c r="B1757" t="inlineStr">
        <is>
          <t>TCG</t>
        </is>
      </c>
      <c r="C1757" t="inlineStr">
        <is>
          <t>BRGL</t>
        </is>
      </c>
      <c r="D1757" s="6" t="n">
        <v>46253</v>
      </c>
      <c r="E1757" t="inlineStr">
        <is>
          <t>DR</t>
        </is>
      </c>
      <c r="F1757" t="inlineStr">
        <is>
          <t>EUR</t>
        </is>
      </c>
      <c r="G1757" s="7" t="n">
        <v>-105668.274</v>
      </c>
      <c r="H1757" t="inlineStr">
        <is>
          <t>GBP</t>
        </is>
      </c>
      <c r="I1757" s="7" t="n">
        <v>-90663.379</v>
      </c>
      <c r="J1757" s="8" t="n">
        <v>46253.46258101852</v>
      </c>
      <c r="K1757" t="inlineStr">
        <is>
          <t>CF260819 01751</t>
        </is>
      </c>
      <c r="L1757" t="inlineStr">
        <is>
          <t>GL.NOSTRO.EUR.BRGL.003</t>
        </is>
      </c>
      <c r="M1757" t="inlineStr">
        <is>
          <t>Harrow Clearing</t>
        </is>
      </c>
      <c r="N1757" t="inlineStr">
        <is>
          <t>BRGL</t>
        </is>
      </c>
      <c r="O1757" t="inlineStr">
        <is>
          <t>NEW</t>
        </is>
      </c>
      <c r="P1757" t="inlineStr">
        <is>
          <t>NT26081900687</t>
        </is>
      </c>
      <c r="Q1757" t="inlineStr">
        <is>
          <t>GROSS</t>
        </is>
      </c>
    </row>
    <row r="1758">
      <c r="A1758" t="inlineStr">
        <is>
          <t>150316825069</t>
        </is>
      </c>
      <c r="B1758" t="inlineStr">
        <is>
          <t>TCQ</t>
        </is>
      </c>
      <c r="C1758" t="inlineStr">
        <is>
          <t>BRGX</t>
        </is>
      </c>
      <c r="D1758" s="6" t="n">
        <v>46253</v>
      </c>
      <c r="E1758" t="inlineStr">
        <is>
          <t>DR</t>
        </is>
      </c>
      <c r="F1758" t="inlineStr">
        <is>
          <t>GBP</t>
        </is>
      </c>
      <c r="G1758" s="7" t="n">
        <v>-42727.897</v>
      </c>
      <c r="H1758" t="inlineStr">
        <is>
          <t>GBP</t>
        </is>
      </c>
      <c r="I1758" s="7" t="n">
        <v>-42727.897</v>
      </c>
      <c r="J1758" s="8" t="n">
        <v>46253.78804398148</v>
      </c>
      <c r="K1758" t="inlineStr">
        <is>
          <t>CF260819 01752</t>
        </is>
      </c>
      <c r="L1758" t="inlineStr">
        <is>
          <t>GL.NOSTRO.GBP.BRGX.002</t>
        </is>
      </c>
      <c r="M1758" t="inlineStr">
        <is>
          <t>Pinehurst Clearing</t>
        </is>
      </c>
      <c r="N1758" t="inlineStr">
        <is>
          <t>BRGXCASH</t>
        </is>
      </c>
      <c r="O1758" t="inlineStr">
        <is>
          <t>NEW</t>
        </is>
      </c>
      <c r="Q1758" t="inlineStr">
        <is>
          <t>INTERNAL</t>
        </is>
      </c>
    </row>
    <row r="1759">
      <c r="A1759" t="inlineStr">
        <is>
          <t>359365220160</t>
        </is>
      </c>
      <c r="B1759" t="inlineStr">
        <is>
          <t>TCX</t>
        </is>
      </c>
      <c r="C1759" t="inlineStr">
        <is>
          <t>BRGX</t>
        </is>
      </c>
      <c r="D1759" s="6" t="n">
        <v>46253</v>
      </c>
      <c r="E1759" t="inlineStr">
        <is>
          <t>CR</t>
        </is>
      </c>
      <c r="F1759" t="inlineStr">
        <is>
          <t>EUR</t>
        </is>
      </c>
      <c r="G1759" s="7" t="n">
        <v>55890885.812</v>
      </c>
      <c r="H1759" t="inlineStr">
        <is>
          <t>GBP</t>
        </is>
      </c>
      <c r="I1759" s="7" t="n">
        <v>47954380.027</v>
      </c>
      <c r="J1759" s="8" t="n">
        <v>46253.42303240741</v>
      </c>
      <c r="K1759" t="inlineStr">
        <is>
          <t>CF260819 01753</t>
        </is>
      </c>
      <c r="L1759" t="inlineStr">
        <is>
          <t>GL.NOSTRO.EUR.BRGX.008</t>
        </is>
      </c>
      <c r="M1759" t="inlineStr">
        <is>
          <t>Yarrow Bank</t>
        </is>
      </c>
      <c r="N1759" t="inlineStr">
        <is>
          <t>BRGX</t>
        </is>
      </c>
      <c r="O1759" t="inlineStr">
        <is>
          <t>NEW</t>
        </is>
      </c>
      <c r="Q1759" t="inlineStr">
        <is>
          <t>INTERNAL</t>
        </is>
      </c>
    </row>
    <row r="1760">
      <c r="A1760" t="inlineStr">
        <is>
          <t>468341071172</t>
        </is>
      </c>
      <c r="B1760" t="inlineStr">
        <is>
          <t>TCG</t>
        </is>
      </c>
      <c r="C1760" t="inlineStr">
        <is>
          <t>BRCC</t>
        </is>
      </c>
      <c r="D1760" s="6" t="n">
        <v>46253</v>
      </c>
      <c r="E1760" t="inlineStr">
        <is>
          <t>DR</t>
        </is>
      </c>
      <c r="F1760" t="inlineStr">
        <is>
          <t>EUR</t>
        </is>
      </c>
      <c r="G1760" s="7" t="n">
        <v>-176239753.613</v>
      </c>
      <c r="H1760" t="inlineStr">
        <is>
          <t>GBP</t>
        </is>
      </c>
      <c r="I1760" s="7" t="n">
        <v>-151213708.6</v>
      </c>
      <c r="J1760" s="8" t="n">
        <v>46253.76346064815</v>
      </c>
      <c r="K1760" t="inlineStr">
        <is>
          <t>CF260819 01754</t>
        </is>
      </c>
      <c r="L1760" t="inlineStr">
        <is>
          <t>GL.NOSTRO.EUR.BRCC.004</t>
        </is>
      </c>
      <c r="M1760" t="inlineStr">
        <is>
          <t>Umberton Commercial Bank</t>
        </is>
      </c>
      <c r="N1760" t="inlineStr">
        <is>
          <t>BRCCCASH</t>
        </is>
      </c>
      <c r="O1760" t="inlineStr">
        <is>
          <t>AMEND</t>
        </is>
      </c>
      <c r="Q1760" t="inlineStr">
        <is>
          <t>NETTER</t>
        </is>
      </c>
    </row>
    <row r="1761">
      <c r="A1761" t="inlineStr">
        <is>
          <t>910703979141</t>
        </is>
      </c>
      <c r="B1761" t="inlineStr">
        <is>
          <t>TCP</t>
        </is>
      </c>
      <c r="C1761" t="inlineStr">
        <is>
          <t>BRCC</t>
        </is>
      </c>
      <c r="D1761" s="6" t="n">
        <v>46253</v>
      </c>
      <c r="E1761" t="inlineStr">
        <is>
          <t>CR</t>
        </is>
      </c>
      <c r="F1761" t="inlineStr">
        <is>
          <t>CHF</t>
        </is>
      </c>
      <c r="G1761" s="7" t="n">
        <v>35195.931</v>
      </c>
      <c r="H1761" t="inlineStr">
        <is>
          <t>GBP</t>
        </is>
      </c>
      <c r="I1761" s="7" t="n">
        <v>31570.75</v>
      </c>
      <c r="J1761" s="8" t="n">
        <v>46253.45837962963</v>
      </c>
      <c r="K1761" t="inlineStr">
        <is>
          <t>CF260819 01755</t>
        </is>
      </c>
      <c r="L1761" t="inlineStr">
        <is>
          <t>GL.NOSTRO.CHF.BRCC.002</t>
        </is>
      </c>
      <c r="M1761" t="inlineStr">
        <is>
          <t>Fernway Settlement Bank</t>
        </is>
      </c>
      <c r="N1761" t="inlineStr">
        <is>
          <t>BRCCTRSY</t>
        </is>
      </c>
      <c r="O1761" t="inlineStr">
        <is>
          <t>NEW</t>
        </is>
      </c>
      <c r="Q1761" t="inlineStr">
        <is>
          <t>NETTER</t>
        </is>
      </c>
    </row>
    <row r="1762">
      <c r="A1762" t="inlineStr">
        <is>
          <t>726928343448</t>
        </is>
      </c>
      <c r="B1762" t="inlineStr">
        <is>
          <t>TCC</t>
        </is>
      </c>
      <c r="C1762" t="inlineStr">
        <is>
          <t>BRGX</t>
        </is>
      </c>
      <c r="D1762" s="6" t="n">
        <v>46253</v>
      </c>
      <c r="E1762" t="inlineStr">
        <is>
          <t>DR</t>
        </is>
      </c>
      <c r="F1762" t="inlineStr">
        <is>
          <t>EUR</t>
        </is>
      </c>
      <c r="G1762" s="7" t="n">
        <v>-35284324.381</v>
      </c>
      <c r="H1762" t="inlineStr">
        <is>
          <t>GBP</t>
        </is>
      </c>
      <c r="I1762" s="7" t="n">
        <v>-30273950.319</v>
      </c>
      <c r="J1762" s="8" t="n">
        <v>46253.59797453704</v>
      </c>
      <c r="K1762" t="inlineStr">
        <is>
          <t>CF260819 01756</t>
        </is>
      </c>
      <c r="L1762" t="inlineStr">
        <is>
          <t>GL.NOSTRO.EUR.BRGX.008</t>
        </is>
      </c>
      <c r="M1762" t="inlineStr">
        <is>
          <t>Sablewood Bank</t>
        </is>
      </c>
      <c r="N1762" t="inlineStr">
        <is>
          <t>BRGXTRSY</t>
        </is>
      </c>
      <c r="O1762" t="inlineStr">
        <is>
          <t>NEW</t>
        </is>
      </c>
      <c r="Q1762" t="inlineStr">
        <is>
          <t>NETTER</t>
        </is>
      </c>
    </row>
    <row r="1763">
      <c r="A1763" t="inlineStr">
        <is>
          <t>499062838623</t>
        </is>
      </c>
      <c r="B1763" t="inlineStr">
        <is>
          <t>TCP</t>
        </is>
      </c>
      <c r="C1763" t="inlineStr">
        <is>
          <t>BRBX</t>
        </is>
      </c>
      <c r="D1763" s="6" t="n">
        <v>46253</v>
      </c>
      <c r="E1763" t="inlineStr">
        <is>
          <t>CR</t>
        </is>
      </c>
      <c r="F1763" t="inlineStr">
        <is>
          <t>USD</t>
        </is>
      </c>
      <c r="G1763" s="7" t="n">
        <v>1.285</v>
      </c>
      <c r="H1763" t="inlineStr">
        <is>
          <t>GBP</t>
        </is>
      </c>
      <c r="I1763" s="7" t="n">
        <v>1.007</v>
      </c>
      <c r="J1763" s="8" t="n">
        <v>46253.25479166667</v>
      </c>
      <c r="K1763" t="inlineStr">
        <is>
          <t>CF260819 01757</t>
        </is>
      </c>
      <c r="L1763" t="inlineStr">
        <is>
          <t>GL.NOSTRO.USD.BRBX.007</t>
        </is>
      </c>
      <c r="M1763" t="inlineStr">
        <is>
          <t>Elmwood Trust</t>
        </is>
      </c>
      <c r="N1763" t="inlineStr">
        <is>
          <t>BRBXCASH</t>
        </is>
      </c>
      <c r="O1763" t="inlineStr">
        <is>
          <t>CANCEL</t>
        </is>
      </c>
      <c r="P1763" t="inlineStr">
        <is>
          <t>NT26081900662</t>
        </is>
      </c>
      <c r="Q1763" t="inlineStr">
        <is>
          <t>NETTER</t>
        </is>
      </c>
    </row>
    <row r="1764">
      <c r="A1764" t="inlineStr">
        <is>
          <t>953625291146</t>
        </is>
      </c>
      <c r="B1764" t="inlineStr">
        <is>
          <t>TCC</t>
        </is>
      </c>
      <c r="C1764" t="inlineStr">
        <is>
          <t>BRGL</t>
        </is>
      </c>
      <c r="D1764" s="6" t="n">
        <v>46253</v>
      </c>
      <c r="E1764" t="inlineStr">
        <is>
          <t>CR</t>
        </is>
      </c>
      <c r="F1764" t="inlineStr">
        <is>
          <t>USD</t>
        </is>
      </c>
      <c r="G1764" s="7" t="n">
        <v>1690266.604</v>
      </c>
      <c r="H1764" t="inlineStr">
        <is>
          <t>GBP</t>
        </is>
      </c>
      <c r="I1764" s="7" t="n">
        <v>1325169.018</v>
      </c>
      <c r="J1764" s="8" t="n">
        <v>46253.6052199074</v>
      </c>
      <c r="K1764" t="inlineStr">
        <is>
          <t>CF260819 01758</t>
        </is>
      </c>
      <c r="L1764" t="inlineStr">
        <is>
          <t>GL.NOSTRO.USD.BRGL.004</t>
        </is>
      </c>
      <c r="M1764" t="inlineStr">
        <is>
          <t>Granite Clearing</t>
        </is>
      </c>
      <c r="N1764" t="inlineStr">
        <is>
          <t>BRGLCASH</t>
        </is>
      </c>
      <c r="O1764" t="inlineStr">
        <is>
          <t>NEW</t>
        </is>
      </c>
      <c r="Q1764" t="inlineStr">
        <is>
          <t>GROSS</t>
        </is>
      </c>
    </row>
    <row r="1765">
      <c r="A1765" t="inlineStr">
        <is>
          <t>968942362772</t>
        </is>
      </c>
      <c r="B1765" t="inlineStr">
        <is>
          <t>TCC</t>
        </is>
      </c>
      <c r="C1765" t="inlineStr">
        <is>
          <t>BRYG</t>
        </is>
      </c>
      <c r="D1765" s="6" t="n">
        <v>46253</v>
      </c>
      <c r="E1765" t="inlineStr">
        <is>
          <t>DR</t>
        </is>
      </c>
      <c r="F1765" t="inlineStr">
        <is>
          <t>EUR</t>
        </is>
      </c>
      <c r="G1765" s="7" t="n">
        <v>-2392976.275</v>
      </c>
      <c r="H1765" t="inlineStr">
        <is>
          <t>GBP</t>
        </is>
      </c>
      <c r="I1765" s="7" t="n">
        <v>-2053173.644</v>
      </c>
      <c r="J1765" s="8" t="n">
        <v>46253.2106712963</v>
      </c>
      <c r="K1765" t="inlineStr">
        <is>
          <t>CF260819 01759</t>
        </is>
      </c>
      <c r="L1765" t="inlineStr">
        <is>
          <t>GL.NOSTRO.EUR.BRYG.002</t>
        </is>
      </c>
      <c r="M1765" t="inlineStr">
        <is>
          <t>Sablewood Settlement Bank</t>
        </is>
      </c>
      <c r="N1765" t="inlineStr">
        <is>
          <t>BRYGTRSY</t>
        </is>
      </c>
      <c r="O1765" t="inlineStr">
        <is>
          <t>NEW</t>
        </is>
      </c>
      <c r="P1765" t="inlineStr">
        <is>
          <t>NT26081900656</t>
        </is>
      </c>
      <c r="Q1765" t="inlineStr">
        <is>
          <t>NETTER</t>
        </is>
      </c>
    </row>
    <row r="1766">
      <c r="A1766" t="inlineStr">
        <is>
          <t>150316825069</t>
        </is>
      </c>
      <c r="B1766" t="inlineStr">
        <is>
          <t>TCQ</t>
        </is>
      </c>
      <c r="C1766" t="inlineStr">
        <is>
          <t>BRGX</t>
        </is>
      </c>
      <c r="D1766" s="6" t="n">
        <v>46253</v>
      </c>
      <c r="E1766" t="inlineStr">
        <is>
          <t>CR</t>
        </is>
      </c>
      <c r="F1766" t="inlineStr">
        <is>
          <t>GBP</t>
        </is>
      </c>
      <c r="G1766" s="7" t="n">
        <v>11943475.709</v>
      </c>
      <c r="H1766" t="inlineStr">
        <is>
          <t>GBP</t>
        </is>
      </c>
      <c r="I1766" s="7" t="n">
        <v>11943475.709</v>
      </c>
      <c r="J1766" s="8" t="n">
        <v>46253.36150462963</v>
      </c>
      <c r="K1766" t="inlineStr">
        <is>
          <t>CF260819 01760</t>
        </is>
      </c>
      <c r="L1766" t="inlineStr">
        <is>
          <t>GL.NOSTRO.GBP.BRGX.001</t>
        </is>
      </c>
      <c r="M1766" t="inlineStr">
        <is>
          <t>Elmwood Settlement Bank</t>
        </is>
      </c>
      <c r="N1766" t="inlineStr">
        <is>
          <t>BRGXTRSY</t>
        </is>
      </c>
      <c r="O1766" t="inlineStr">
        <is>
          <t>AMEND</t>
        </is>
      </c>
      <c r="P1766" t="inlineStr">
        <is>
          <t>NT26081900683</t>
        </is>
      </c>
      <c r="Q1766" t="inlineStr">
        <is>
          <t>INTERNAL</t>
        </is>
      </c>
    </row>
    <row r="1767">
      <c r="A1767" t="inlineStr">
        <is>
          <t>898317028833</t>
        </is>
      </c>
      <c r="B1767" t="inlineStr">
        <is>
          <t>TCG</t>
        </is>
      </c>
      <c r="C1767" t="inlineStr">
        <is>
          <t>BRAA</t>
        </is>
      </c>
      <c r="D1767" s="6" t="n">
        <v>46253</v>
      </c>
      <c r="E1767" t="inlineStr">
        <is>
          <t>CR</t>
        </is>
      </c>
      <c r="F1767" t="inlineStr">
        <is>
          <t>GBP</t>
        </is>
      </c>
      <c r="G1767" s="7" t="n">
        <v>5478366.102</v>
      </c>
      <c r="H1767" t="inlineStr">
        <is>
          <t>GBP</t>
        </is>
      </c>
      <c r="I1767" s="7" t="n">
        <v>5478366.102</v>
      </c>
      <c r="J1767" s="8" t="n">
        <v>46253.74613425926</v>
      </c>
      <c r="K1767" t="inlineStr">
        <is>
          <t>CF260819 01761</t>
        </is>
      </c>
      <c r="L1767" t="inlineStr">
        <is>
          <t>GL.NOSTRO.GBP.BRAA.006</t>
        </is>
      </c>
      <c r="M1767" t="inlineStr">
        <is>
          <t>Vetchling Commercial Bank</t>
        </is>
      </c>
      <c r="N1767" t="inlineStr">
        <is>
          <t>BRAA</t>
        </is>
      </c>
      <c r="O1767" t="inlineStr">
        <is>
          <t>NEW</t>
        </is>
      </c>
      <c r="P1767" t="inlineStr">
        <is>
          <t>NT26081900683</t>
        </is>
      </c>
      <c r="Q1767" t="inlineStr">
        <is>
          <t>NETTER</t>
        </is>
      </c>
    </row>
    <row r="1768">
      <c r="A1768" t="inlineStr">
        <is>
          <t>968942362772</t>
        </is>
      </c>
      <c r="B1768" t="inlineStr">
        <is>
          <t>TCQ</t>
        </is>
      </c>
      <c r="C1768" t="inlineStr">
        <is>
          <t>BRYG</t>
        </is>
      </c>
      <c r="D1768" s="6" t="n">
        <v>46253</v>
      </c>
      <c r="E1768" t="inlineStr">
        <is>
          <t>DR</t>
        </is>
      </c>
      <c r="F1768" t="inlineStr">
        <is>
          <t>EUR</t>
        </is>
      </c>
      <c r="G1768" s="7" t="n">
        <v>-615034027.898</v>
      </c>
      <c r="H1768" t="inlineStr">
        <is>
          <t>GBP</t>
        </is>
      </c>
      <c r="I1768" s="7" t="n">
        <v>-527699195.936</v>
      </c>
      <c r="J1768" s="8" t="n">
        <v>46253.40327546297</v>
      </c>
      <c r="K1768" t="inlineStr">
        <is>
          <t>CF260819 01762</t>
        </is>
      </c>
      <c r="L1768" t="inlineStr">
        <is>
          <t>GL.NOSTRO.EUR.BRYG.005</t>
        </is>
      </c>
      <c r="M1768" t="inlineStr">
        <is>
          <t>Redstart Trust</t>
        </is>
      </c>
      <c r="N1768" t="inlineStr">
        <is>
          <t>BRYGTRSY</t>
        </is>
      </c>
      <c r="O1768" t="inlineStr">
        <is>
          <t>NEW</t>
        </is>
      </c>
      <c r="P1768" t="inlineStr">
        <is>
          <t>NT26081900667</t>
        </is>
      </c>
      <c r="Q1768" t="inlineStr">
        <is>
          <t>NETTER</t>
        </is>
      </c>
    </row>
    <row r="1769">
      <c r="A1769" t="inlineStr">
        <is>
          <t>132544340094</t>
        </is>
      </c>
      <c r="B1769" t="inlineStr">
        <is>
          <t>TCC</t>
        </is>
      </c>
      <c r="C1769" t="inlineStr">
        <is>
          <t>BRYG</t>
        </is>
      </c>
      <c r="D1769" s="6" t="n">
        <v>46253</v>
      </c>
      <c r="E1769" t="inlineStr">
        <is>
          <t>CR</t>
        </is>
      </c>
      <c r="F1769" t="inlineStr">
        <is>
          <t>CZK</t>
        </is>
      </c>
      <c r="G1769" s="7" t="n">
        <v>39853825.293</v>
      </c>
      <c r="H1769" t="inlineStr">
        <is>
          <t>GBP</t>
        </is>
      </c>
      <c r="I1769" s="7" t="n">
        <v>1351044.677</v>
      </c>
      <c r="J1769" s="8" t="n">
        <v>46253.55900462963</v>
      </c>
      <c r="K1769" t="inlineStr">
        <is>
          <t>CF260819 01763</t>
        </is>
      </c>
      <c r="L1769" t="inlineStr">
        <is>
          <t>GL.NOSTRO.CZK.BRYG.004</t>
        </is>
      </c>
      <c r="M1769" t="inlineStr">
        <is>
          <t>Alder Clearing</t>
        </is>
      </c>
      <c r="N1769" t="inlineStr">
        <is>
          <t>BRYG</t>
        </is>
      </c>
      <c r="O1769" t="inlineStr">
        <is>
          <t>NEW</t>
        </is>
      </c>
      <c r="Q1769" t="inlineStr">
        <is>
          <t>NETTER</t>
        </is>
      </c>
    </row>
    <row r="1770">
      <c r="A1770" t="inlineStr">
        <is>
          <t>284925023085</t>
        </is>
      </c>
      <c r="B1770" t="inlineStr">
        <is>
          <t>TCX</t>
        </is>
      </c>
      <c r="C1770" t="inlineStr">
        <is>
          <t>BRMD</t>
        </is>
      </c>
      <c r="D1770" s="6" t="n">
        <v>46253</v>
      </c>
      <c r="E1770" t="inlineStr">
        <is>
          <t>DR</t>
        </is>
      </c>
      <c r="F1770" t="inlineStr">
        <is>
          <t>MXN</t>
        </is>
      </c>
      <c r="G1770" s="7" t="n">
        <v>-97871517.419</v>
      </c>
      <c r="H1770" t="inlineStr">
        <is>
          <t>GBP</t>
        </is>
      </c>
      <c r="I1770" s="7" t="n">
        <v>-4188900.946</v>
      </c>
      <c r="J1770" s="8" t="n">
        <v>46253.37613425926</v>
      </c>
      <c r="K1770" t="inlineStr">
        <is>
          <t>CF260819 01764</t>
        </is>
      </c>
      <c r="L1770" t="inlineStr">
        <is>
          <t>GL.NOSTRO.MXN.BRMD.006</t>
        </is>
      </c>
      <c r="M1770" t="inlineStr">
        <is>
          <t>Sablewood Settlement Bank</t>
        </is>
      </c>
      <c r="N1770" t="inlineStr">
        <is>
          <t>BRMDMM</t>
        </is>
      </c>
      <c r="O1770" t="inlineStr">
        <is>
          <t>NEW</t>
        </is>
      </c>
      <c r="Q1770" t="inlineStr">
        <is>
          <t>NETTER</t>
        </is>
      </c>
    </row>
    <row r="1771">
      <c r="A1771" t="inlineStr">
        <is>
          <t>499062838623</t>
        </is>
      </c>
      <c r="B1771" t="inlineStr">
        <is>
          <t>TCQ</t>
        </is>
      </c>
      <c r="C1771" t="inlineStr">
        <is>
          <t>BRBX</t>
        </is>
      </c>
      <c r="D1771" s="6" t="n">
        <v>46253</v>
      </c>
      <c r="E1771" t="inlineStr">
        <is>
          <t>CR</t>
        </is>
      </c>
      <c r="F1771" t="inlineStr">
        <is>
          <t>USD</t>
        </is>
      </c>
      <c r="G1771" s="7" t="n">
        <v>354019168.306</v>
      </c>
      <c r="H1771" t="inlineStr">
        <is>
          <t>GBP</t>
        </is>
      </c>
      <c r="I1771" s="7" t="n">
        <v>277551027.952</v>
      </c>
      <c r="J1771" s="8" t="n">
        <v>46253.59850694444</v>
      </c>
      <c r="K1771" t="inlineStr">
        <is>
          <t>CF260819 01765</t>
        </is>
      </c>
      <c r="L1771" t="inlineStr">
        <is>
          <t>GL.NOSTRO.USD.BRBX.008</t>
        </is>
      </c>
      <c r="M1771" t="inlineStr">
        <is>
          <t>Umberton Commercial Bank</t>
        </is>
      </c>
      <c r="N1771" t="inlineStr">
        <is>
          <t>BRBXTRSY</t>
        </is>
      </c>
      <c r="O1771" t="inlineStr">
        <is>
          <t>NEW</t>
        </is>
      </c>
      <c r="P1771" t="inlineStr">
        <is>
          <t>NT26081900677</t>
        </is>
      </c>
      <c r="Q1771" t="inlineStr">
        <is>
          <t>GROSS</t>
        </is>
      </c>
    </row>
    <row r="1772">
      <c r="A1772" t="inlineStr">
        <is>
          <t>968942362772</t>
        </is>
      </c>
      <c r="B1772" t="inlineStr">
        <is>
          <t>TCG</t>
        </is>
      </c>
      <c r="C1772" t="inlineStr">
        <is>
          <t>BRYG</t>
        </is>
      </c>
      <c r="D1772" s="6" t="n">
        <v>46253</v>
      </c>
      <c r="E1772" t="inlineStr">
        <is>
          <t>CR</t>
        </is>
      </c>
      <c r="F1772" t="inlineStr">
        <is>
          <t>EUR</t>
        </is>
      </c>
      <c r="G1772" s="7" t="n">
        <v>309578126.106</v>
      </c>
      <c r="H1772" t="inlineStr">
        <is>
          <t>GBP</t>
        </is>
      </c>
      <c r="I1772" s="7" t="n">
        <v>265618032.199</v>
      </c>
      <c r="J1772" s="8" t="n">
        <v>46253.33631944445</v>
      </c>
      <c r="K1772" t="inlineStr">
        <is>
          <t>CF260819 01766</t>
        </is>
      </c>
      <c r="L1772" t="inlineStr">
        <is>
          <t>GL.NOSTRO.EUR.BRYG.005</t>
        </is>
      </c>
      <c r="M1772" t="inlineStr">
        <is>
          <t>Sablewood Settlement Bank</t>
        </is>
      </c>
      <c r="N1772" t="inlineStr">
        <is>
          <t>BRYG</t>
        </is>
      </c>
      <c r="O1772" t="inlineStr">
        <is>
          <t>NEW</t>
        </is>
      </c>
      <c r="Q1772" t="inlineStr">
        <is>
          <t>NETTER</t>
        </is>
      </c>
    </row>
    <row r="1773">
      <c r="A1773" t="inlineStr">
        <is>
          <t>927538182434</t>
        </is>
      </c>
      <c r="B1773" t="inlineStr">
        <is>
          <t>TCP</t>
        </is>
      </c>
      <c r="C1773" t="inlineStr">
        <is>
          <t>BRNK</t>
        </is>
      </c>
      <c r="D1773" s="6" t="n">
        <v>46253</v>
      </c>
      <c r="E1773" t="inlineStr">
        <is>
          <t>CR</t>
        </is>
      </c>
      <c r="F1773" t="inlineStr">
        <is>
          <t>CNY</t>
        </is>
      </c>
      <c r="G1773" s="7" t="n">
        <v>10258.253</v>
      </c>
      <c r="H1773" t="inlineStr">
        <is>
          <t>GBP</t>
        </is>
      </c>
      <c r="I1773" s="7" t="n">
        <v>1118.15</v>
      </c>
      <c r="J1773" s="8" t="n">
        <v>46253.38387731482</v>
      </c>
      <c r="K1773" t="inlineStr">
        <is>
          <t>CF260819 01767</t>
        </is>
      </c>
      <c r="L1773" t="inlineStr">
        <is>
          <t>GL.NOSTRO.CNY.BRNK.007</t>
        </is>
      </c>
      <c r="M1773" t="inlineStr">
        <is>
          <t>Vetchling Commercial Bank</t>
        </is>
      </c>
      <c r="N1773" t="inlineStr">
        <is>
          <t>BRNKMM</t>
        </is>
      </c>
      <c r="O1773" t="inlineStr">
        <is>
          <t>NEW</t>
        </is>
      </c>
      <c r="P1773" t="inlineStr">
        <is>
          <t>NT26081900656</t>
        </is>
      </c>
      <c r="Q1773" t="inlineStr">
        <is>
          <t>INTERNAL</t>
        </is>
      </c>
    </row>
    <row r="1774">
      <c r="A1774" t="inlineStr">
        <is>
          <t>794226063698</t>
        </is>
      </c>
      <c r="B1774" t="inlineStr">
        <is>
          <t>TCX</t>
        </is>
      </c>
      <c r="C1774" t="inlineStr">
        <is>
          <t>BRMD</t>
        </is>
      </c>
      <c r="D1774" s="6" t="n">
        <v>46253</v>
      </c>
      <c r="E1774" t="inlineStr">
        <is>
          <t>DR</t>
        </is>
      </c>
      <c r="F1774" t="inlineStr">
        <is>
          <t>AED</t>
        </is>
      </c>
      <c r="G1774" s="7" t="n">
        <v>-304620.873</v>
      </c>
      <c r="H1774" t="inlineStr">
        <is>
          <t>GBP</t>
        </is>
      </c>
      <c r="I1774" s="7" t="n">
        <v>-64884.246</v>
      </c>
      <c r="J1774" s="8" t="n">
        <v>46253.72278935185</v>
      </c>
      <c r="K1774" t="inlineStr">
        <is>
          <t>CF260819 01768</t>
        </is>
      </c>
      <c r="L1774" t="inlineStr">
        <is>
          <t>GL.NOSTRO.AED.BRMD.006</t>
        </is>
      </c>
      <c r="M1774" t="inlineStr">
        <is>
          <t>Granite Bank</t>
        </is>
      </c>
      <c r="N1774" t="inlineStr">
        <is>
          <t>BRMD</t>
        </is>
      </c>
      <c r="O1774" t="inlineStr">
        <is>
          <t>AMEND</t>
        </is>
      </c>
      <c r="Q1774" t="inlineStr">
        <is>
          <t>GROSS</t>
        </is>
      </c>
    </row>
    <row r="1775">
      <c r="A1775" t="inlineStr">
        <is>
          <t>700726936098</t>
        </is>
      </c>
      <c r="B1775" t="inlineStr">
        <is>
          <t>TCP</t>
        </is>
      </c>
      <c r="C1775" t="inlineStr">
        <is>
          <t>BRMD</t>
        </is>
      </c>
      <c r="D1775" s="6" t="n">
        <v>46253</v>
      </c>
      <c r="E1775" t="inlineStr">
        <is>
          <t>DR</t>
        </is>
      </c>
      <c r="F1775" t="inlineStr">
        <is>
          <t>SAR</t>
        </is>
      </c>
      <c r="G1775" s="7" t="n">
        <v>-2375785.44</v>
      </c>
      <c r="H1775" t="inlineStr">
        <is>
          <t>GBP</t>
        </is>
      </c>
      <c r="I1775" s="7" t="n">
        <v>-496539.157</v>
      </c>
      <c r="J1775" s="8" t="n">
        <v>46253.68793981482</v>
      </c>
      <c r="K1775" t="inlineStr">
        <is>
          <t>CF260819 01769</t>
        </is>
      </c>
      <c r="L1775" t="inlineStr">
        <is>
          <t>GL.NOSTRO.SAR.BRMD.003</t>
        </is>
      </c>
      <c r="M1775" t="inlineStr">
        <is>
          <t>Fernway Settlement Bank</t>
        </is>
      </c>
      <c r="N1775" t="inlineStr">
        <is>
          <t>BRMDCASH</t>
        </is>
      </c>
      <c r="O1775" t="inlineStr">
        <is>
          <t>NEW</t>
        </is>
      </c>
      <c r="Q1775" t="inlineStr">
        <is>
          <t>GROSS</t>
        </is>
      </c>
    </row>
    <row r="1776">
      <c r="A1776" t="inlineStr">
        <is>
          <t>499062838623</t>
        </is>
      </c>
      <c r="B1776" t="inlineStr">
        <is>
          <t>TCX</t>
        </is>
      </c>
      <c r="C1776" t="inlineStr">
        <is>
          <t>BRBX</t>
        </is>
      </c>
      <c r="D1776" s="6" t="n">
        <v>46253</v>
      </c>
      <c r="E1776" t="inlineStr">
        <is>
          <t>CR</t>
        </is>
      </c>
      <c r="F1776" t="inlineStr">
        <is>
          <t>USD</t>
        </is>
      </c>
      <c r="G1776" s="7" t="n">
        <v>1402476.999</v>
      </c>
      <c r="H1776" t="inlineStr">
        <is>
          <t>GBP</t>
        </is>
      </c>
      <c r="I1776" s="7" t="n">
        <v>1099541.967</v>
      </c>
      <c r="J1776" s="8" t="n">
        <v>46253.2531712963</v>
      </c>
      <c r="K1776" t="inlineStr">
        <is>
          <t>CF260819 01770</t>
        </is>
      </c>
      <c r="L1776" t="inlineStr">
        <is>
          <t>GL.NOSTRO.USD.BRBX.003</t>
        </is>
      </c>
      <c r="M1776" t="inlineStr">
        <is>
          <t>Larkspur Clearing</t>
        </is>
      </c>
      <c r="N1776" t="inlineStr">
        <is>
          <t>BRBXCASH</t>
        </is>
      </c>
      <c r="O1776" t="inlineStr">
        <is>
          <t>NEW</t>
        </is>
      </c>
      <c r="P1776" t="inlineStr">
        <is>
          <t>NT26081900688</t>
        </is>
      </c>
      <c r="Q1776" t="inlineStr">
        <is>
          <t>NETTER</t>
        </is>
      </c>
    </row>
    <row r="1777">
      <c r="A1777" t="inlineStr">
        <is>
          <t>132544340094</t>
        </is>
      </c>
      <c r="B1777" t="inlineStr">
        <is>
          <t>TCX</t>
        </is>
      </c>
      <c r="C1777" t="inlineStr">
        <is>
          <t>BRYG</t>
        </is>
      </c>
      <c r="D1777" s="6" t="n">
        <v>46253</v>
      </c>
      <c r="E1777" t="inlineStr">
        <is>
          <t>DR</t>
        </is>
      </c>
      <c r="F1777" t="inlineStr">
        <is>
          <t>CZK</t>
        </is>
      </c>
      <c r="G1777" s="7" t="n">
        <v>-3505873.627</v>
      </c>
      <c r="H1777" t="inlineStr">
        <is>
          <t>GBP</t>
        </is>
      </c>
      <c r="I1777" s="7" t="n">
        <v>-118849.116</v>
      </c>
      <c r="J1777" s="8" t="n">
        <v>46253.40796296296</v>
      </c>
      <c r="K1777" t="inlineStr">
        <is>
          <t>CF260819 01771</t>
        </is>
      </c>
      <c r="L1777" t="inlineStr">
        <is>
          <t>GL.NOSTRO.CZK.BRYG.006</t>
        </is>
      </c>
      <c r="M1777" t="inlineStr">
        <is>
          <t>Oriel Trust</t>
        </is>
      </c>
      <c r="N1777" t="inlineStr">
        <is>
          <t>BRYGCASH</t>
        </is>
      </c>
      <c r="O1777" t="inlineStr">
        <is>
          <t>NEW</t>
        </is>
      </c>
      <c r="Q1777" t="inlineStr">
        <is>
          <t>NETTER</t>
        </is>
      </c>
    </row>
    <row r="1778">
      <c r="A1778" t="inlineStr">
        <is>
          <t>150316825069</t>
        </is>
      </c>
      <c r="B1778" t="inlineStr">
        <is>
          <t>TCX</t>
        </is>
      </c>
      <c r="C1778" t="inlineStr">
        <is>
          <t>BRGX</t>
        </is>
      </c>
      <c r="D1778" s="6" t="n">
        <v>46253</v>
      </c>
      <c r="E1778" t="inlineStr">
        <is>
          <t>CR</t>
        </is>
      </c>
      <c r="F1778" t="inlineStr">
        <is>
          <t>GBP</t>
        </is>
      </c>
      <c r="G1778" s="7" t="n">
        <v>174245501.483</v>
      </c>
      <c r="H1778" t="inlineStr">
        <is>
          <t>GBP</t>
        </is>
      </c>
      <c r="I1778" s="7" t="n">
        <v>174245501.483</v>
      </c>
      <c r="J1778" s="8" t="n">
        <v>46253.66008101852</v>
      </c>
      <c r="K1778" t="inlineStr">
        <is>
          <t>CF260819 01772</t>
        </is>
      </c>
      <c r="L1778" t="inlineStr">
        <is>
          <t>GL.NOSTRO.GBP.BRGX.009</t>
        </is>
      </c>
      <c r="M1778" t="inlineStr">
        <is>
          <t>Harrow Clearing</t>
        </is>
      </c>
      <c r="N1778" t="inlineStr">
        <is>
          <t>BRGXCASH</t>
        </is>
      </c>
      <c r="O1778" t="inlineStr">
        <is>
          <t>NEW</t>
        </is>
      </c>
      <c r="P1778" t="inlineStr">
        <is>
          <t>NT26081900666</t>
        </is>
      </c>
      <c r="Q1778" t="inlineStr">
        <is>
          <t>NETTER</t>
        </is>
      </c>
    </row>
    <row r="1779">
      <c r="A1779" t="inlineStr">
        <is>
          <t>794226063698</t>
        </is>
      </c>
      <c r="B1779" t="inlineStr">
        <is>
          <t>TCP</t>
        </is>
      </c>
      <c r="C1779" t="inlineStr">
        <is>
          <t>BRMD</t>
        </is>
      </c>
      <c r="D1779" s="6" t="n">
        <v>46253</v>
      </c>
      <c r="E1779" t="inlineStr">
        <is>
          <t>DR</t>
        </is>
      </c>
      <c r="F1779" t="inlineStr">
        <is>
          <t>AED</t>
        </is>
      </c>
      <c r="G1779" s="7" t="n">
        <v>-812309.762</v>
      </c>
      <c r="H1779" t="inlineStr">
        <is>
          <t>GBP</t>
        </is>
      </c>
      <c r="I1779" s="7" t="n">
        <v>-173021.979</v>
      </c>
      <c r="J1779" s="8" t="n">
        <v>46253.41175925926</v>
      </c>
      <c r="K1779" t="inlineStr">
        <is>
          <t>CF260819 01773</t>
        </is>
      </c>
      <c r="L1779" t="inlineStr">
        <is>
          <t>GL.NOSTRO.AED.BRMD.009</t>
        </is>
      </c>
      <c r="M1779" t="inlineStr">
        <is>
          <t>Sablewood Clearing</t>
        </is>
      </c>
      <c r="N1779" t="inlineStr">
        <is>
          <t>BRMDTRSY</t>
        </is>
      </c>
      <c r="O1779" t="inlineStr">
        <is>
          <t>NEW</t>
        </is>
      </c>
      <c r="P1779" t="inlineStr">
        <is>
          <t>NT26081900670</t>
        </is>
      </c>
      <c r="Q1779" t="inlineStr">
        <is>
          <t>GROSS</t>
        </is>
      </c>
    </row>
    <row r="1780">
      <c r="A1780" t="inlineStr">
        <is>
          <t>150316825069</t>
        </is>
      </c>
      <c r="B1780" t="inlineStr">
        <is>
          <t>TCC</t>
        </is>
      </c>
      <c r="C1780" t="inlineStr">
        <is>
          <t>BRGX</t>
        </is>
      </c>
      <c r="D1780" s="6" t="n">
        <v>46253</v>
      </c>
      <c r="E1780" t="inlineStr">
        <is>
          <t>CR</t>
        </is>
      </c>
      <c r="F1780" t="inlineStr">
        <is>
          <t>GBP</t>
        </is>
      </c>
      <c r="G1780" s="7" t="n">
        <v>2015122.567</v>
      </c>
      <c r="H1780" t="inlineStr">
        <is>
          <t>GBP</t>
        </is>
      </c>
      <c r="I1780" s="7" t="n">
        <v>2015122.567</v>
      </c>
      <c r="J1780" s="8" t="n">
        <v>46253.5327662037</v>
      </c>
      <c r="K1780" t="inlineStr">
        <is>
          <t>CF260819 01774</t>
        </is>
      </c>
      <c r="L1780" t="inlineStr">
        <is>
          <t>GL.NOSTRO.GBP.BRGX.002</t>
        </is>
      </c>
      <c r="M1780" t="inlineStr">
        <is>
          <t>Elmwood Trust</t>
        </is>
      </c>
      <c r="N1780" t="inlineStr">
        <is>
          <t>BRGXMM</t>
        </is>
      </c>
      <c r="O1780" t="inlineStr">
        <is>
          <t>NEW</t>
        </is>
      </c>
      <c r="Q1780" t="inlineStr">
        <is>
          <t>NETTER</t>
        </is>
      </c>
    </row>
    <row r="1781">
      <c r="A1781" t="inlineStr">
        <is>
          <t>968942362772</t>
        </is>
      </c>
      <c r="B1781" t="inlineStr">
        <is>
          <t>TCC</t>
        </is>
      </c>
      <c r="C1781" t="inlineStr">
        <is>
          <t>BRYG</t>
        </is>
      </c>
      <c r="D1781" s="6" t="n">
        <v>46253</v>
      </c>
      <c r="E1781" t="inlineStr">
        <is>
          <t>CR</t>
        </is>
      </c>
      <c r="F1781" t="inlineStr">
        <is>
          <t>EUR</t>
        </is>
      </c>
      <c r="G1781" s="7" t="n">
        <v>4076829.245</v>
      </c>
      <c r="H1781" t="inlineStr">
        <is>
          <t>GBP</t>
        </is>
      </c>
      <c r="I1781" s="7" t="n">
        <v>3497919.492</v>
      </c>
      <c r="J1781" s="8" t="n">
        <v>46253.40204861111</v>
      </c>
      <c r="K1781" t="inlineStr">
        <is>
          <t>CF260819 01775</t>
        </is>
      </c>
      <c r="L1781" t="inlineStr">
        <is>
          <t>GL.NOSTRO.EUR.BRYG.008</t>
        </is>
      </c>
      <c r="M1781" t="inlineStr">
        <is>
          <t>Dunlin Clearing</t>
        </is>
      </c>
      <c r="N1781" t="inlineStr">
        <is>
          <t>BRYGMM</t>
        </is>
      </c>
      <c r="O1781" t="inlineStr">
        <is>
          <t>NEW</t>
        </is>
      </c>
      <c r="Q1781" t="inlineStr">
        <is>
          <t>GROSS</t>
        </is>
      </c>
    </row>
    <row r="1782">
      <c r="A1782" t="inlineStr">
        <is>
          <t>150316825069</t>
        </is>
      </c>
      <c r="B1782" t="inlineStr">
        <is>
          <t>TCG</t>
        </is>
      </c>
      <c r="C1782" t="inlineStr">
        <is>
          <t>BRGX</t>
        </is>
      </c>
      <c r="D1782" s="6" t="n">
        <v>46253</v>
      </c>
      <c r="E1782" t="inlineStr">
        <is>
          <t>CR</t>
        </is>
      </c>
      <c r="F1782" t="inlineStr">
        <is>
          <t>GBP</t>
        </is>
      </c>
      <c r="G1782" s="7" t="n">
        <v>774920742.2589999</v>
      </c>
      <c r="H1782" t="inlineStr">
        <is>
          <t>GBP</t>
        </is>
      </c>
      <c r="I1782" s="7" t="n">
        <v>774920742.2589999</v>
      </c>
      <c r="J1782" s="8" t="n">
        <v>46253.34871527777</v>
      </c>
      <c r="K1782" t="inlineStr">
        <is>
          <t>CF260819 01776</t>
        </is>
      </c>
      <c r="L1782" t="inlineStr">
        <is>
          <t>GL.NOSTRO.GBP.BRGX.006</t>
        </is>
      </c>
      <c r="M1782" t="inlineStr">
        <is>
          <t>Redstart Trust</t>
        </is>
      </c>
      <c r="N1782" t="inlineStr">
        <is>
          <t>BRGX</t>
        </is>
      </c>
      <c r="O1782" t="inlineStr">
        <is>
          <t>NEW</t>
        </is>
      </c>
      <c r="Q1782" t="inlineStr">
        <is>
          <t>NETTER</t>
        </is>
      </c>
    </row>
    <row r="1783">
      <c r="A1783" t="inlineStr">
        <is>
          <t>132544340094</t>
        </is>
      </c>
      <c r="B1783" t="inlineStr">
        <is>
          <t>TCP</t>
        </is>
      </c>
      <c r="C1783" t="inlineStr">
        <is>
          <t>BRYG</t>
        </is>
      </c>
      <c r="D1783" s="6" t="n">
        <v>46253</v>
      </c>
      <c r="E1783" t="inlineStr">
        <is>
          <t>CR</t>
        </is>
      </c>
      <c r="F1783" t="inlineStr">
        <is>
          <t>CZK</t>
        </is>
      </c>
      <c r="G1783" s="7" t="n">
        <v>214320378.001</v>
      </c>
      <c r="H1783" t="inlineStr">
        <is>
          <t>GBP</t>
        </is>
      </c>
      <c r="I1783" s="7" t="n">
        <v>7265460.814</v>
      </c>
      <c r="J1783" s="8" t="n">
        <v>46253.56804398148</v>
      </c>
      <c r="K1783" t="inlineStr">
        <is>
          <t>CF260819 01777</t>
        </is>
      </c>
      <c r="L1783" t="inlineStr">
        <is>
          <t>GL.NOSTRO.CZK.BRYG.007</t>
        </is>
      </c>
      <c r="M1783" t="inlineStr">
        <is>
          <t>Pinehurst Settlement Bank</t>
        </is>
      </c>
      <c r="N1783" t="inlineStr">
        <is>
          <t>BRYGTRSY</t>
        </is>
      </c>
      <c r="O1783" t="inlineStr">
        <is>
          <t>NEW</t>
        </is>
      </c>
      <c r="P1783" t="inlineStr">
        <is>
          <t>NT26081900678</t>
        </is>
      </c>
      <c r="Q1783" t="inlineStr">
        <is>
          <t>GROSS</t>
        </is>
      </c>
    </row>
    <row r="1784">
      <c r="A1784" t="inlineStr">
        <is>
          <t>700726936098</t>
        </is>
      </c>
      <c r="B1784" t="inlineStr">
        <is>
          <t>TCX</t>
        </is>
      </c>
      <c r="C1784" t="inlineStr">
        <is>
          <t>BRMD</t>
        </is>
      </c>
      <c r="D1784" s="6" t="n">
        <v>46253</v>
      </c>
      <c r="E1784" t="inlineStr">
        <is>
          <t>DR</t>
        </is>
      </c>
      <c r="F1784" t="inlineStr">
        <is>
          <t>SAR</t>
        </is>
      </c>
      <c r="G1784" s="7" t="n">
        <v>-11630.288</v>
      </c>
      <c r="H1784" t="inlineStr">
        <is>
          <t>GBP</t>
        </is>
      </c>
      <c r="I1784" s="7" t="n">
        <v>-2430.73</v>
      </c>
      <c r="J1784" s="8" t="n">
        <v>46253.43956018519</v>
      </c>
      <c r="K1784" t="inlineStr">
        <is>
          <t>CF260819 01778</t>
        </is>
      </c>
      <c r="L1784" t="inlineStr">
        <is>
          <t>GL.NOSTRO.SAR.BRMD.002</t>
        </is>
      </c>
      <c r="M1784" t="inlineStr">
        <is>
          <t>Yarrow Clearing</t>
        </is>
      </c>
      <c r="N1784" t="inlineStr">
        <is>
          <t>BRMDCASH</t>
        </is>
      </c>
      <c r="O1784" t="inlineStr">
        <is>
          <t>CANCEL</t>
        </is>
      </c>
      <c r="Q1784" t="inlineStr">
        <is>
          <t>NETTER</t>
        </is>
      </c>
    </row>
    <row r="1785">
      <c r="A1785" t="inlineStr">
        <is>
          <t>953625291146</t>
        </is>
      </c>
      <c r="B1785" t="inlineStr">
        <is>
          <t>TCG</t>
        </is>
      </c>
      <c r="C1785" t="inlineStr">
        <is>
          <t>BRGL</t>
        </is>
      </c>
      <c r="D1785" s="6" t="n">
        <v>46253</v>
      </c>
      <c r="E1785" t="inlineStr">
        <is>
          <t>CR</t>
        </is>
      </c>
      <c r="F1785" t="inlineStr">
        <is>
          <t>USD</t>
        </is>
      </c>
      <c r="G1785" s="7" t="n">
        <v>2574044.472</v>
      </c>
      <c r="H1785" t="inlineStr">
        <is>
          <t>GBP</t>
        </is>
      </c>
      <c r="I1785" s="7" t="n">
        <v>2018050.866</v>
      </c>
      <c r="J1785" s="8" t="n">
        <v>46253.42857638889</v>
      </c>
      <c r="K1785" t="inlineStr">
        <is>
          <t>CF260819 01779</t>
        </is>
      </c>
      <c r="L1785" t="inlineStr">
        <is>
          <t>GL.NOSTRO.USD.BRGL.007</t>
        </is>
      </c>
      <c r="M1785" t="inlineStr">
        <is>
          <t>Yarrow Clearing</t>
        </is>
      </c>
      <c r="N1785" t="inlineStr">
        <is>
          <t>BRGLCASH</t>
        </is>
      </c>
      <c r="O1785" t="inlineStr">
        <is>
          <t>NEW</t>
        </is>
      </c>
      <c r="P1785" t="inlineStr">
        <is>
          <t>NT26081900678</t>
        </is>
      </c>
      <c r="Q1785" t="inlineStr">
        <is>
          <t>GROSS</t>
        </is>
      </c>
    </row>
    <row r="1786">
      <c r="A1786" t="inlineStr">
        <is>
          <t>794226063698</t>
        </is>
      </c>
      <c r="B1786" t="inlineStr">
        <is>
          <t>TCG</t>
        </is>
      </c>
      <c r="C1786" t="inlineStr">
        <is>
          <t>BRMD</t>
        </is>
      </c>
      <c r="D1786" s="6" t="n">
        <v>46253</v>
      </c>
      <c r="E1786" t="inlineStr">
        <is>
          <t>DR</t>
        </is>
      </c>
      <c r="F1786" t="inlineStr">
        <is>
          <t>AED</t>
        </is>
      </c>
      <c r="G1786" s="7" t="n">
        <v>-324898187.133</v>
      </c>
      <c r="H1786" t="inlineStr">
        <is>
          <t>GBP</t>
        </is>
      </c>
      <c r="I1786" s="7" t="n">
        <v>-69203313.859</v>
      </c>
      <c r="J1786" s="8" t="n">
        <v>46253.8421875</v>
      </c>
      <c r="K1786" t="inlineStr">
        <is>
          <t>CF260819 01780</t>
        </is>
      </c>
      <c r="L1786" t="inlineStr">
        <is>
          <t>GL.NOSTRO.AED.BRMD.005</t>
        </is>
      </c>
      <c r="M1786" t="inlineStr">
        <is>
          <t>Alder Trust</t>
        </is>
      </c>
      <c r="N1786" t="inlineStr">
        <is>
          <t>BRMDCASH</t>
        </is>
      </c>
      <c r="O1786" t="inlineStr">
        <is>
          <t>NEW</t>
        </is>
      </c>
      <c r="Q1786" t="inlineStr">
        <is>
          <t>NETTER</t>
        </is>
      </c>
    </row>
    <row r="1787">
      <c r="A1787" t="inlineStr">
        <is>
          <t>150316825069</t>
        </is>
      </c>
      <c r="B1787" t="inlineStr">
        <is>
          <t>TCG</t>
        </is>
      </c>
      <c r="C1787" t="inlineStr">
        <is>
          <t>BRGX</t>
        </is>
      </c>
      <c r="D1787" s="6" t="n">
        <v>46253</v>
      </c>
      <c r="E1787" t="inlineStr">
        <is>
          <t>DR</t>
        </is>
      </c>
      <c r="F1787" t="inlineStr">
        <is>
          <t>GBP</t>
        </is>
      </c>
      <c r="G1787" s="7" t="n">
        <v>-117558.225</v>
      </c>
      <c r="H1787" t="inlineStr">
        <is>
          <t>GBP</t>
        </is>
      </c>
      <c r="I1787" s="7" t="n">
        <v>-117558.225</v>
      </c>
      <c r="J1787" s="8" t="n">
        <v>46253.47984953703</v>
      </c>
      <c r="K1787" t="inlineStr">
        <is>
          <t>CF260819 01781</t>
        </is>
      </c>
      <c r="L1787" t="inlineStr">
        <is>
          <t>GL.NOSTRO.GBP.BRGX.003</t>
        </is>
      </c>
      <c r="M1787" t="inlineStr">
        <is>
          <t>Pinehurst Bank</t>
        </is>
      </c>
      <c r="N1787" t="inlineStr">
        <is>
          <t>BRGXMM</t>
        </is>
      </c>
      <c r="O1787" t="inlineStr">
        <is>
          <t>NEW</t>
        </is>
      </c>
      <c r="P1787" t="inlineStr">
        <is>
          <t>NT26081900672</t>
        </is>
      </c>
      <c r="Q1787" t="inlineStr">
        <is>
          <t>GROSS</t>
        </is>
      </c>
    </row>
    <row r="1788">
      <c r="A1788" t="inlineStr">
        <is>
          <t>700726936098</t>
        </is>
      </c>
      <c r="B1788" t="inlineStr">
        <is>
          <t>TCX</t>
        </is>
      </c>
      <c r="C1788" t="inlineStr">
        <is>
          <t>BRMD</t>
        </is>
      </c>
      <c r="D1788" s="6" t="n">
        <v>46253</v>
      </c>
      <c r="E1788" t="inlineStr">
        <is>
          <t>CR</t>
        </is>
      </c>
      <c r="F1788" t="inlineStr">
        <is>
          <t>SAR</t>
        </is>
      </c>
      <c r="G1788" s="7" t="n">
        <v>269706456.054</v>
      </c>
      <c r="H1788" t="inlineStr">
        <is>
          <t>GBP</t>
        </is>
      </c>
      <c r="I1788" s="7" t="n">
        <v>56368649.315</v>
      </c>
      <c r="J1788" s="8" t="n">
        <v>46253.60670138889</v>
      </c>
      <c r="K1788" t="inlineStr">
        <is>
          <t>CF260819 01782</t>
        </is>
      </c>
      <c r="L1788" t="inlineStr">
        <is>
          <t>GL.NOSTRO.SAR.BRMD.006</t>
        </is>
      </c>
      <c r="M1788" t="inlineStr">
        <is>
          <t>Mallow Commercial Bank</t>
        </is>
      </c>
      <c r="N1788" t="inlineStr">
        <is>
          <t>BRMD</t>
        </is>
      </c>
      <c r="O1788" t="inlineStr">
        <is>
          <t>NEW</t>
        </is>
      </c>
      <c r="Q1788" t="inlineStr">
        <is>
          <t>NETTER</t>
        </is>
      </c>
    </row>
    <row r="1789">
      <c r="A1789" t="inlineStr">
        <is>
          <t>927538182434</t>
        </is>
      </c>
      <c r="B1789" t="inlineStr">
        <is>
          <t>TCG</t>
        </is>
      </c>
      <c r="C1789" t="inlineStr">
        <is>
          <t>BRNK</t>
        </is>
      </c>
      <c r="D1789" s="6" t="n">
        <v>46253</v>
      </c>
      <c r="E1789" t="inlineStr">
        <is>
          <t>DR</t>
        </is>
      </c>
      <c r="F1789" t="inlineStr">
        <is>
          <t>CNY</t>
        </is>
      </c>
      <c r="G1789" s="7" t="n">
        <v>-110297.981</v>
      </c>
      <c r="H1789" t="inlineStr">
        <is>
          <t>GBP</t>
        </is>
      </c>
      <c r="I1789" s="7" t="n">
        <v>-12022.48</v>
      </c>
      <c r="J1789" s="8" t="n">
        <v>46253.3534375</v>
      </c>
      <c r="K1789" t="inlineStr">
        <is>
          <t>CF260819 01783</t>
        </is>
      </c>
      <c r="L1789" t="inlineStr">
        <is>
          <t>GL.NOSTRO.CNY.BRNK.005</t>
        </is>
      </c>
      <c r="M1789" t="inlineStr">
        <is>
          <t>Sablewood Commercial Bank</t>
        </is>
      </c>
      <c r="N1789" t="inlineStr">
        <is>
          <t>BRNKTRSY</t>
        </is>
      </c>
      <c r="O1789" t="inlineStr">
        <is>
          <t>NEW</t>
        </is>
      </c>
      <c r="Q1789" t="inlineStr">
        <is>
          <t>INTERNAL</t>
        </is>
      </c>
    </row>
    <row r="1790">
      <c r="A1790" t="inlineStr">
        <is>
          <t>910703979141</t>
        </is>
      </c>
      <c r="B1790" t="inlineStr">
        <is>
          <t>TCC</t>
        </is>
      </c>
      <c r="C1790" t="inlineStr">
        <is>
          <t>BRCC</t>
        </is>
      </c>
      <c r="D1790" s="6" t="n">
        <v>46253</v>
      </c>
      <c r="E1790" t="inlineStr">
        <is>
          <t>CR</t>
        </is>
      </c>
      <c r="F1790" t="inlineStr">
        <is>
          <t>CHF</t>
        </is>
      </c>
      <c r="G1790" s="7" t="n">
        <v>191612807.292</v>
      </c>
      <c r="H1790" t="inlineStr">
        <is>
          <t>GBP</t>
        </is>
      </c>
      <c r="I1790" s="7" t="n">
        <v>171876688.141</v>
      </c>
      <c r="J1790" s="8" t="n">
        <v>46253.27309027778</v>
      </c>
      <c r="K1790" t="inlineStr">
        <is>
          <t>CF260819 01784</t>
        </is>
      </c>
      <c r="L1790" t="inlineStr">
        <is>
          <t>GL.NOSTRO.CHF.BRCC.009</t>
        </is>
      </c>
      <c r="M1790" t="inlineStr">
        <is>
          <t>Granite Bank</t>
        </is>
      </c>
      <c r="N1790" t="inlineStr">
        <is>
          <t>BRCCCASH</t>
        </is>
      </c>
      <c r="O1790" t="inlineStr">
        <is>
          <t>NEW</t>
        </is>
      </c>
      <c r="P1790" t="inlineStr">
        <is>
          <t>NT26081900679</t>
        </is>
      </c>
      <c r="Q1790" t="inlineStr">
        <is>
          <t>NETTER</t>
        </is>
      </c>
    </row>
    <row r="1791">
      <c r="A1791" t="inlineStr">
        <is>
          <t>910703979141</t>
        </is>
      </c>
      <c r="B1791" t="inlineStr">
        <is>
          <t>TCX</t>
        </is>
      </c>
      <c r="C1791" t="inlineStr">
        <is>
          <t>BRCC</t>
        </is>
      </c>
      <c r="D1791" s="6" t="n">
        <v>46253</v>
      </c>
      <c r="E1791" t="inlineStr">
        <is>
          <t>DR</t>
        </is>
      </c>
      <c r="F1791" t="inlineStr">
        <is>
          <t>CHF</t>
        </is>
      </c>
      <c r="G1791" s="7" t="n">
        <v>-108652.323</v>
      </c>
      <c r="H1791" t="inlineStr">
        <is>
          <t>GBP</t>
        </is>
      </c>
      <c r="I1791" s="7" t="n">
        <v>-97461.13400000001</v>
      </c>
      <c r="J1791" s="8" t="n">
        <v>46253.53479166667</v>
      </c>
      <c r="K1791" t="inlineStr">
        <is>
          <t>CF260819 01785</t>
        </is>
      </c>
      <c r="L1791" t="inlineStr">
        <is>
          <t>GL.NOSTRO.CHF.BRCC.002</t>
        </is>
      </c>
      <c r="M1791" t="inlineStr">
        <is>
          <t>Dunlin Bank</t>
        </is>
      </c>
      <c r="N1791" t="inlineStr">
        <is>
          <t>BRCC</t>
        </is>
      </c>
      <c r="O1791" t="inlineStr">
        <is>
          <t>NEW</t>
        </is>
      </c>
      <c r="Q1791" t="inlineStr">
        <is>
          <t>NETTER</t>
        </is>
      </c>
    </row>
    <row r="1792">
      <c r="A1792" t="inlineStr">
        <is>
          <t>794226063698</t>
        </is>
      </c>
      <c r="B1792" t="inlineStr">
        <is>
          <t>TCP</t>
        </is>
      </c>
      <c r="C1792" t="inlineStr">
        <is>
          <t>BRMD</t>
        </is>
      </c>
      <c r="D1792" s="6" t="n">
        <v>46253</v>
      </c>
      <c r="E1792" t="inlineStr">
        <is>
          <t>DR</t>
        </is>
      </c>
      <c r="F1792" t="inlineStr">
        <is>
          <t>AED</t>
        </is>
      </c>
      <c r="G1792" s="7" t="n">
        <v>-210083828.221</v>
      </c>
      <c r="H1792" t="inlineStr">
        <is>
          <t>GBP</t>
        </is>
      </c>
      <c r="I1792" s="7" t="n">
        <v>-44747855.411</v>
      </c>
      <c r="J1792" s="8" t="n">
        <v>46253.73936342593</v>
      </c>
      <c r="K1792" t="inlineStr">
        <is>
          <t>CF260819 01786</t>
        </is>
      </c>
      <c r="L1792" t="inlineStr">
        <is>
          <t>GL.NOSTRO.AED.BRMD.001</t>
        </is>
      </c>
      <c r="M1792" t="inlineStr">
        <is>
          <t>Umberton Clearing</t>
        </is>
      </c>
      <c r="N1792" t="inlineStr">
        <is>
          <t>BRMDTRSY</t>
        </is>
      </c>
      <c r="O1792" t="inlineStr">
        <is>
          <t>NEW</t>
        </is>
      </c>
      <c r="Q1792" t="inlineStr">
        <is>
          <t>GROSS</t>
        </is>
      </c>
    </row>
    <row r="1793">
      <c r="A1793" t="inlineStr">
        <is>
          <t>150316825069</t>
        </is>
      </c>
      <c r="B1793" t="inlineStr">
        <is>
          <t>TCP</t>
        </is>
      </c>
      <c r="C1793" t="inlineStr">
        <is>
          <t>BRGX</t>
        </is>
      </c>
      <c r="D1793" s="6" t="n">
        <v>46253</v>
      </c>
      <c r="E1793" t="inlineStr">
        <is>
          <t>DR</t>
        </is>
      </c>
      <c r="F1793" t="inlineStr">
        <is>
          <t>GBP</t>
        </is>
      </c>
      <c r="G1793" s="7" t="n">
        <v>-478764662.454</v>
      </c>
      <c r="H1793" t="inlineStr">
        <is>
          <t>GBP</t>
        </is>
      </c>
      <c r="I1793" s="7" t="n">
        <v>-478764662.454</v>
      </c>
      <c r="J1793" s="8" t="n">
        <v>46253.33444444444</v>
      </c>
      <c r="K1793" t="inlineStr">
        <is>
          <t>CF260819 01787</t>
        </is>
      </c>
      <c r="L1793" t="inlineStr">
        <is>
          <t>GL.NOSTRO.GBP.BRGX.006</t>
        </is>
      </c>
      <c r="M1793" t="inlineStr">
        <is>
          <t>Zephyr Bank</t>
        </is>
      </c>
      <c r="N1793" t="inlineStr">
        <is>
          <t>BRGXTRSY</t>
        </is>
      </c>
      <c r="O1793" t="inlineStr">
        <is>
          <t>NEW</t>
        </is>
      </c>
      <c r="P1793" t="inlineStr">
        <is>
          <t>NT26081900671</t>
        </is>
      </c>
      <c r="Q1793" t="inlineStr">
        <is>
          <t>GROSS</t>
        </is>
      </c>
    </row>
    <row r="1794">
      <c r="A1794" t="inlineStr">
        <is>
          <t>794226063698</t>
        </is>
      </c>
      <c r="B1794" t="inlineStr">
        <is>
          <t>TCG</t>
        </is>
      </c>
      <c r="C1794" t="inlineStr">
        <is>
          <t>BRMD</t>
        </is>
      </c>
      <c r="D1794" s="6" t="n">
        <v>46253</v>
      </c>
      <c r="E1794" t="inlineStr">
        <is>
          <t>DR</t>
        </is>
      </c>
      <c r="F1794" t="inlineStr">
        <is>
          <t>AED</t>
        </is>
      </c>
      <c r="G1794" s="7" t="n">
        <v>-358315926.862</v>
      </c>
      <c r="H1794" t="inlineStr">
        <is>
          <t>GBP</t>
        </is>
      </c>
      <c r="I1794" s="7" t="n">
        <v>-76321292.42200001</v>
      </c>
      <c r="J1794" s="8" t="n">
        <v>46253.6056712963</v>
      </c>
      <c r="K1794" t="inlineStr">
        <is>
          <t>CF260819 01788</t>
        </is>
      </c>
      <c r="L1794" t="inlineStr">
        <is>
          <t>GL.NOSTRO.AED.BRMD.008</t>
        </is>
      </c>
      <c r="M1794" t="inlineStr">
        <is>
          <t>Pinehurst Settlement Bank</t>
        </is>
      </c>
      <c r="N1794" t="inlineStr">
        <is>
          <t>BRMDTRSY</t>
        </is>
      </c>
      <c r="O1794" t="inlineStr">
        <is>
          <t>NEW</t>
        </is>
      </c>
      <c r="P1794" t="inlineStr">
        <is>
          <t>NT26081900672</t>
        </is>
      </c>
      <c r="Q1794" t="inlineStr">
        <is>
          <t>GROSS</t>
        </is>
      </c>
    </row>
    <row r="1795">
      <c r="A1795" t="inlineStr">
        <is>
          <t>953625291146</t>
        </is>
      </c>
      <c r="B1795" t="inlineStr">
        <is>
          <t>TCC</t>
        </is>
      </c>
      <c r="C1795" t="inlineStr">
        <is>
          <t>BRGL</t>
        </is>
      </c>
      <c r="D1795" s="6" t="n">
        <v>46253</v>
      </c>
      <c r="E1795" t="inlineStr">
        <is>
          <t>DR</t>
        </is>
      </c>
      <c r="F1795" t="inlineStr">
        <is>
          <t>USD</t>
        </is>
      </c>
      <c r="G1795" s="7" t="n">
        <v>-50517107.643</v>
      </c>
      <c r="H1795" t="inlineStr">
        <is>
          <t>GBP</t>
        </is>
      </c>
      <c r="I1795" s="7" t="n">
        <v>-39605412.392</v>
      </c>
      <c r="J1795" s="8" t="n">
        <v>46253.61570601852</v>
      </c>
      <c r="K1795" t="inlineStr">
        <is>
          <t>CF260819 01789</t>
        </is>
      </c>
      <c r="L1795" t="inlineStr">
        <is>
          <t>GL.NOSTRO.USD.BRGL.009</t>
        </is>
      </c>
      <c r="M1795" t="inlineStr">
        <is>
          <t>Nightjar Bank</t>
        </is>
      </c>
      <c r="N1795" t="inlineStr">
        <is>
          <t>BRGLMM</t>
        </is>
      </c>
      <c r="O1795" t="inlineStr">
        <is>
          <t>NEW</t>
        </is>
      </c>
      <c r="Q1795" t="inlineStr">
        <is>
          <t>NETTER</t>
        </is>
      </c>
    </row>
    <row r="1796">
      <c r="A1796" t="inlineStr">
        <is>
          <t>927538182434</t>
        </is>
      </c>
      <c r="B1796" t="inlineStr">
        <is>
          <t>TCG</t>
        </is>
      </c>
      <c r="C1796" t="inlineStr">
        <is>
          <t>BRNK</t>
        </is>
      </c>
      <c r="D1796" s="6" t="n">
        <v>46253</v>
      </c>
      <c r="E1796" t="inlineStr">
        <is>
          <t>CR</t>
        </is>
      </c>
      <c r="F1796" t="inlineStr">
        <is>
          <t>CNY</t>
        </is>
      </c>
      <c r="G1796" s="7" t="n">
        <v>27337258.415</v>
      </c>
      <c r="H1796" t="inlineStr">
        <is>
          <t>GBP</t>
        </is>
      </c>
      <c r="I1796" s="7" t="n">
        <v>2979761.167</v>
      </c>
      <c r="J1796" s="8" t="n">
        <v>46253.4946875</v>
      </c>
      <c r="K1796" t="inlineStr">
        <is>
          <t>CF260819 01790</t>
        </is>
      </c>
      <c r="L1796" t="inlineStr">
        <is>
          <t>GL.NOSTRO.CNY.BRNK.005</t>
        </is>
      </c>
      <c r="M1796" t="inlineStr">
        <is>
          <t>Mallow Commercial Bank</t>
        </is>
      </c>
      <c r="N1796" t="inlineStr">
        <is>
          <t>BRNKMM</t>
        </is>
      </c>
      <c r="O1796" t="inlineStr">
        <is>
          <t>NEW</t>
        </is>
      </c>
      <c r="P1796" t="inlineStr">
        <is>
          <t>NT26081900671</t>
        </is>
      </c>
      <c r="Q1796" t="inlineStr">
        <is>
          <t>NETTER</t>
        </is>
      </c>
    </row>
    <row r="1797">
      <c r="A1797" t="inlineStr">
        <is>
          <t>113829985108</t>
        </is>
      </c>
      <c r="B1797" t="inlineStr">
        <is>
          <t>TCX</t>
        </is>
      </c>
      <c r="C1797" t="inlineStr">
        <is>
          <t>BRGL</t>
        </is>
      </c>
      <c r="D1797" s="6" t="n">
        <v>46253</v>
      </c>
      <c r="E1797" t="inlineStr">
        <is>
          <t>CR</t>
        </is>
      </c>
      <c r="F1797" t="inlineStr">
        <is>
          <t>EUR</t>
        </is>
      </c>
      <c r="G1797" s="7" t="n">
        <v>18568094.532</v>
      </c>
      <c r="H1797" t="inlineStr">
        <is>
          <t>GBP</t>
        </is>
      </c>
      <c r="I1797" s="7" t="n">
        <v>15931425.108</v>
      </c>
      <c r="J1797" s="8" t="n">
        <v>46253.6616087963</v>
      </c>
      <c r="K1797" t="inlineStr">
        <is>
          <t>CF260819 01791</t>
        </is>
      </c>
      <c r="L1797" t="inlineStr">
        <is>
          <t>GL.NOSTRO.EUR.BRGL.004</t>
        </is>
      </c>
      <c r="M1797" t="inlineStr">
        <is>
          <t>Umberton Clearing</t>
        </is>
      </c>
      <c r="N1797" t="inlineStr">
        <is>
          <t>BRGLCASH</t>
        </is>
      </c>
      <c r="O1797" t="inlineStr">
        <is>
          <t>NEW</t>
        </is>
      </c>
      <c r="P1797" t="inlineStr">
        <is>
          <t>NT26081900668</t>
        </is>
      </c>
      <c r="Q1797" t="inlineStr">
        <is>
          <t>INTERNAL</t>
        </is>
      </c>
    </row>
    <row r="1798">
      <c r="A1798" t="inlineStr">
        <is>
          <t>499062838623</t>
        </is>
      </c>
      <c r="B1798" t="inlineStr">
        <is>
          <t>TCC</t>
        </is>
      </c>
      <c r="C1798" t="inlineStr">
        <is>
          <t>BRBX</t>
        </is>
      </c>
      <c r="D1798" s="6" t="n">
        <v>46253</v>
      </c>
      <c r="E1798" t="inlineStr">
        <is>
          <t>CR</t>
        </is>
      </c>
      <c r="F1798" t="inlineStr">
        <is>
          <t>USD</t>
        </is>
      </c>
      <c r="G1798" s="7" t="n">
        <v>333.759</v>
      </c>
      <c r="H1798" t="inlineStr">
        <is>
          <t>GBP</t>
        </is>
      </c>
      <c r="I1798" s="7" t="n">
        <v>261.667</v>
      </c>
      <c r="J1798" s="8" t="n">
        <v>46253.35987268519</v>
      </c>
      <c r="K1798" t="inlineStr">
        <is>
          <t>CF260819 01792</t>
        </is>
      </c>
      <c r="L1798" t="inlineStr">
        <is>
          <t>GL.NOSTRO.USD.BRBX.005</t>
        </is>
      </c>
      <c r="M1798" t="inlineStr">
        <is>
          <t>Wrenfield Commercial Bank</t>
        </is>
      </c>
      <c r="N1798" t="inlineStr">
        <is>
          <t>BRBXCASH</t>
        </is>
      </c>
      <c r="O1798" t="inlineStr">
        <is>
          <t>NEW</t>
        </is>
      </c>
      <c r="P1798" t="inlineStr">
        <is>
          <t>NT26081900670</t>
        </is>
      </c>
      <c r="Q1798" t="inlineStr">
        <is>
          <t>NETTER</t>
        </is>
      </c>
    </row>
    <row r="1799">
      <c r="A1799" t="inlineStr">
        <is>
          <t>700726936098</t>
        </is>
      </c>
      <c r="B1799" t="inlineStr">
        <is>
          <t>TCQ</t>
        </is>
      </c>
      <c r="C1799" t="inlineStr">
        <is>
          <t>BRMD</t>
        </is>
      </c>
      <c r="D1799" s="6" t="n">
        <v>46253</v>
      </c>
      <c r="E1799" t="inlineStr">
        <is>
          <t>CR</t>
        </is>
      </c>
      <c r="F1799" t="inlineStr">
        <is>
          <t>SAR</t>
        </is>
      </c>
      <c r="G1799" s="7" t="n">
        <v>19557167.528</v>
      </c>
      <c r="H1799" t="inlineStr">
        <is>
          <t>GBP</t>
        </is>
      </c>
      <c r="I1799" s="7" t="n">
        <v>4087448.013</v>
      </c>
      <c r="J1799" s="8" t="n">
        <v>46253.71241898148</v>
      </c>
      <c r="K1799" t="inlineStr">
        <is>
          <t>CF260819 01793</t>
        </is>
      </c>
      <c r="L1799" t="inlineStr">
        <is>
          <t>GL.NOSTRO.SAR.BRMD.004</t>
        </is>
      </c>
      <c r="M1799" t="inlineStr">
        <is>
          <t>Elmwood Trust</t>
        </is>
      </c>
      <c r="N1799" t="inlineStr">
        <is>
          <t>BRMDCASH</t>
        </is>
      </c>
      <c r="O1799" t="inlineStr">
        <is>
          <t>NEW</t>
        </is>
      </c>
      <c r="Q1799" t="inlineStr">
        <is>
          <t>NETTER</t>
        </is>
      </c>
    </row>
    <row r="1800">
      <c r="A1800" t="inlineStr">
        <is>
          <t>150316825069</t>
        </is>
      </c>
      <c r="B1800" t="inlineStr">
        <is>
          <t>TCC</t>
        </is>
      </c>
      <c r="C1800" t="inlineStr">
        <is>
          <t>BRGX</t>
        </is>
      </c>
      <c r="D1800" s="6" t="n">
        <v>46253</v>
      </c>
      <c r="E1800" t="inlineStr">
        <is>
          <t>DR</t>
        </is>
      </c>
      <c r="F1800" t="inlineStr">
        <is>
          <t>GBP</t>
        </is>
      </c>
      <c r="G1800" s="7" t="n">
        <v>-1880721.391</v>
      </c>
      <c r="H1800" t="inlineStr">
        <is>
          <t>GBP</t>
        </is>
      </c>
      <c r="I1800" s="7" t="n">
        <v>-1880721.391</v>
      </c>
      <c r="J1800" s="8" t="n">
        <v>46253.52900462963</v>
      </c>
      <c r="K1800" t="inlineStr">
        <is>
          <t>CF260819 01794</t>
        </is>
      </c>
      <c r="L1800" t="inlineStr">
        <is>
          <t>GL.NOSTRO.GBP.BRGX.003</t>
        </is>
      </c>
      <c r="M1800" t="inlineStr">
        <is>
          <t>Yarrow Clearing</t>
        </is>
      </c>
      <c r="N1800" t="inlineStr">
        <is>
          <t>BRGX</t>
        </is>
      </c>
      <c r="O1800" t="inlineStr">
        <is>
          <t>NEW</t>
        </is>
      </c>
      <c r="P1800" t="inlineStr">
        <is>
          <t>NT26081900661</t>
        </is>
      </c>
      <c r="Q1800" t="inlineStr">
        <is>
          <t>INTERNAL</t>
        </is>
      </c>
    </row>
    <row r="1801">
      <c r="A1801" t="inlineStr">
        <is>
          <t>113829985108</t>
        </is>
      </c>
      <c r="B1801" t="inlineStr">
        <is>
          <t>TCQ</t>
        </is>
      </c>
      <c r="C1801" t="inlineStr">
        <is>
          <t>BRGL</t>
        </is>
      </c>
      <c r="D1801" s="6" t="n">
        <v>46253</v>
      </c>
      <c r="E1801" t="inlineStr">
        <is>
          <t>CR</t>
        </is>
      </c>
      <c r="F1801" t="inlineStr">
        <is>
          <t>EUR</t>
        </is>
      </c>
      <c r="G1801" s="7" t="n">
        <v>29997116.205</v>
      </c>
      <c r="H1801" t="inlineStr">
        <is>
          <t>GBP</t>
        </is>
      </c>
      <c r="I1801" s="7" t="n">
        <v>25737525.704</v>
      </c>
      <c r="J1801" s="8" t="n">
        <v>46253.43929398148</v>
      </c>
      <c r="K1801" t="inlineStr">
        <is>
          <t>CF260819 01795</t>
        </is>
      </c>
      <c r="L1801" t="inlineStr">
        <is>
          <t>GL.NOSTRO.EUR.BRGL.004</t>
        </is>
      </c>
      <c r="M1801" t="inlineStr">
        <is>
          <t>Umberton Clearing</t>
        </is>
      </c>
      <c r="N1801" t="inlineStr">
        <is>
          <t>BRGLMM</t>
        </is>
      </c>
      <c r="O1801" t="inlineStr">
        <is>
          <t>NEW</t>
        </is>
      </c>
      <c r="P1801" t="inlineStr">
        <is>
          <t>NT26081900691</t>
        </is>
      </c>
      <c r="Q1801" t="inlineStr">
        <is>
          <t>NETTER</t>
        </is>
      </c>
    </row>
    <row r="1802">
      <c r="A1802" t="inlineStr">
        <is>
          <t>968942362772</t>
        </is>
      </c>
      <c r="B1802" t="inlineStr">
        <is>
          <t>TCC</t>
        </is>
      </c>
      <c r="C1802" t="inlineStr">
        <is>
          <t>BRYG</t>
        </is>
      </c>
      <c r="D1802" s="6" t="n">
        <v>46253</v>
      </c>
      <c r="E1802" t="inlineStr">
        <is>
          <t>CR</t>
        </is>
      </c>
      <c r="F1802" t="inlineStr">
        <is>
          <t>EUR</t>
        </is>
      </c>
      <c r="G1802" s="7" t="n">
        <v>1626985.462</v>
      </c>
      <c r="H1802" t="inlineStr">
        <is>
          <t>GBP</t>
        </is>
      </c>
      <c r="I1802" s="7" t="n">
        <v>1395953.526</v>
      </c>
      <c r="J1802" s="8" t="n">
        <v>46253.52962962963</v>
      </c>
      <c r="K1802" t="inlineStr">
        <is>
          <t>CF260819 01796</t>
        </is>
      </c>
      <c r="L1802" t="inlineStr">
        <is>
          <t>GL.NOSTRO.EUR.BRYG.007</t>
        </is>
      </c>
      <c r="M1802" t="inlineStr">
        <is>
          <t>Pinehurst Bank</t>
        </is>
      </c>
      <c r="N1802" t="inlineStr">
        <is>
          <t>BRYGTRSY</t>
        </is>
      </c>
      <c r="O1802" t="inlineStr">
        <is>
          <t>NEW</t>
        </is>
      </c>
      <c r="P1802" t="inlineStr">
        <is>
          <t>NT26081900683</t>
        </is>
      </c>
      <c r="Q1802" t="inlineStr">
        <is>
          <t>NETTER</t>
        </is>
      </c>
    </row>
    <row r="1803">
      <c r="A1803" t="inlineStr">
        <is>
          <t>794226063698</t>
        </is>
      </c>
      <c r="B1803" t="inlineStr">
        <is>
          <t>TCG</t>
        </is>
      </c>
      <c r="C1803" t="inlineStr">
        <is>
          <t>BRMD</t>
        </is>
      </c>
      <c r="D1803" s="6" t="n">
        <v>46253</v>
      </c>
      <c r="E1803" t="inlineStr">
        <is>
          <t>CR</t>
        </is>
      </c>
      <c r="F1803" t="inlineStr">
        <is>
          <t>AED</t>
        </is>
      </c>
      <c r="G1803" s="7" t="n">
        <v>222.804</v>
      </c>
      <c r="H1803" t="inlineStr">
        <is>
          <t>GBP</t>
        </is>
      </c>
      <c r="I1803" s="7" t="n">
        <v>47.457</v>
      </c>
      <c r="J1803" s="8" t="n">
        <v>46253.76114583333</v>
      </c>
      <c r="K1803" t="inlineStr">
        <is>
          <t>CF260819 01797</t>
        </is>
      </c>
      <c r="L1803" t="inlineStr">
        <is>
          <t>GL.NOSTRO.AED.BRMD.004</t>
        </is>
      </c>
      <c r="M1803" t="inlineStr">
        <is>
          <t>Larkspur Clearing</t>
        </is>
      </c>
      <c r="N1803" t="inlineStr">
        <is>
          <t>BRMDCASH</t>
        </is>
      </c>
      <c r="O1803" t="inlineStr">
        <is>
          <t>NEW</t>
        </is>
      </c>
      <c r="Q1803" t="inlineStr">
        <is>
          <t>GROSS</t>
        </is>
      </c>
    </row>
    <row r="1804">
      <c r="A1804" t="inlineStr">
        <is>
          <t>113829985108</t>
        </is>
      </c>
      <c r="B1804" t="inlineStr">
        <is>
          <t>TCC</t>
        </is>
      </c>
      <c r="C1804" t="inlineStr">
        <is>
          <t>BRGL</t>
        </is>
      </c>
      <c r="D1804" s="6" t="n">
        <v>46253</v>
      </c>
      <c r="E1804" t="inlineStr">
        <is>
          <t>DR</t>
        </is>
      </c>
      <c r="F1804" t="inlineStr">
        <is>
          <t>EUR</t>
        </is>
      </c>
      <c r="G1804" s="7" t="n">
        <v>-35064698.275</v>
      </c>
      <c r="H1804" t="inlineStr">
        <is>
          <t>GBP</t>
        </is>
      </c>
      <c r="I1804" s="7" t="n">
        <v>-30085511.12</v>
      </c>
      <c r="J1804" s="8" t="n">
        <v>46253.49461805556</v>
      </c>
      <c r="K1804" t="inlineStr">
        <is>
          <t>CF260819 01798</t>
        </is>
      </c>
      <c r="L1804" t="inlineStr">
        <is>
          <t>GL.NOSTRO.EUR.BRGL.005</t>
        </is>
      </c>
      <c r="M1804" t="inlineStr">
        <is>
          <t>Vetchling Bank</t>
        </is>
      </c>
      <c r="N1804" t="inlineStr">
        <is>
          <t>BRGL</t>
        </is>
      </c>
      <c r="O1804" t="inlineStr">
        <is>
          <t>AMEND</t>
        </is>
      </c>
      <c r="Q1804" t="inlineStr">
        <is>
          <t>NETTER</t>
        </is>
      </c>
    </row>
    <row r="1805">
      <c r="A1805" t="inlineStr">
        <is>
          <t>150316825069</t>
        </is>
      </c>
      <c r="B1805" t="inlineStr">
        <is>
          <t>TCX</t>
        </is>
      </c>
      <c r="C1805" t="inlineStr">
        <is>
          <t>BRGX</t>
        </is>
      </c>
      <c r="D1805" s="6" t="n">
        <v>46253</v>
      </c>
      <c r="E1805" t="inlineStr">
        <is>
          <t>CR</t>
        </is>
      </c>
      <c r="F1805" t="inlineStr">
        <is>
          <t>GBP</t>
        </is>
      </c>
      <c r="G1805" s="7" t="n">
        <v>230625969.779</v>
      </c>
      <c r="H1805" t="inlineStr">
        <is>
          <t>GBP</t>
        </is>
      </c>
      <c r="I1805" s="7" t="n">
        <v>230625969.779</v>
      </c>
      <c r="J1805" s="8" t="n">
        <v>46253.54252314815</v>
      </c>
      <c r="K1805" t="inlineStr">
        <is>
          <t>CF260819 01799</t>
        </is>
      </c>
      <c r="L1805" t="inlineStr">
        <is>
          <t>GL.NOSTRO.GBP.BRGX.002</t>
        </is>
      </c>
      <c r="M1805" t="inlineStr">
        <is>
          <t>Yarrow Clearing</t>
        </is>
      </c>
      <c r="N1805" t="inlineStr">
        <is>
          <t>BRGXTRSY</t>
        </is>
      </c>
      <c r="O1805" t="inlineStr">
        <is>
          <t>NEW</t>
        </is>
      </c>
      <c r="Q1805" t="inlineStr">
        <is>
          <t>GROSS</t>
        </is>
      </c>
    </row>
    <row r="1806">
      <c r="A1806" t="inlineStr">
        <is>
          <t>120047354818</t>
        </is>
      </c>
      <c r="B1806" t="inlineStr">
        <is>
          <t>TCQ</t>
        </is>
      </c>
      <c r="C1806" t="inlineStr">
        <is>
          <t>BRNK</t>
        </is>
      </c>
      <c r="D1806" s="6" t="n">
        <v>46253</v>
      </c>
      <c r="E1806" t="inlineStr">
        <is>
          <t>CR</t>
        </is>
      </c>
      <c r="F1806" t="inlineStr">
        <is>
          <t>USD</t>
        </is>
      </c>
      <c r="G1806" s="7" t="n">
        <v>92077812.184</v>
      </c>
      <c r="H1806" t="inlineStr">
        <is>
          <t>GBP</t>
        </is>
      </c>
      <c r="I1806" s="7" t="n">
        <v>72189004.752</v>
      </c>
      <c r="J1806" s="8" t="n">
        <v>46253.37755787037</v>
      </c>
      <c r="K1806" t="inlineStr">
        <is>
          <t>CF260819 01800</t>
        </is>
      </c>
      <c r="L1806" t="inlineStr">
        <is>
          <t>GL.NOSTRO.USD.BRNK.001</t>
        </is>
      </c>
      <c r="M1806" t="inlineStr">
        <is>
          <t>Sablewood Bank</t>
        </is>
      </c>
      <c r="N1806" t="inlineStr">
        <is>
          <t>BRNKCASH</t>
        </is>
      </c>
      <c r="O1806" t="inlineStr">
        <is>
          <t>NEW</t>
        </is>
      </c>
      <c r="P1806" t="inlineStr">
        <is>
          <t>NT26081900677</t>
        </is>
      </c>
      <c r="Q1806" t="inlineStr">
        <is>
          <t>NETTER</t>
        </is>
      </c>
    </row>
    <row r="1807">
      <c r="A1807" t="inlineStr">
        <is>
          <t>150316825069</t>
        </is>
      </c>
      <c r="B1807" t="inlineStr">
        <is>
          <t>TCP</t>
        </is>
      </c>
      <c r="C1807" t="inlineStr">
        <is>
          <t>BRGX</t>
        </is>
      </c>
      <c r="D1807" s="6" t="n">
        <v>46253</v>
      </c>
      <c r="E1807" t="inlineStr">
        <is>
          <t>CR</t>
        </is>
      </c>
      <c r="F1807" t="inlineStr">
        <is>
          <t>GBP</t>
        </is>
      </c>
      <c r="G1807" s="7" t="n">
        <v>6171462.191</v>
      </c>
      <c r="H1807" t="inlineStr">
        <is>
          <t>GBP</t>
        </is>
      </c>
      <c r="I1807" s="7" t="n">
        <v>6171462.191</v>
      </c>
      <c r="J1807" s="8" t="n">
        <v>46253.40886574074</v>
      </c>
      <c r="K1807" t="inlineStr">
        <is>
          <t>CF260819 01801</t>
        </is>
      </c>
      <c r="L1807" t="inlineStr">
        <is>
          <t>GL.NOSTRO.GBP.BRGX.004</t>
        </is>
      </c>
      <c r="M1807" t="inlineStr">
        <is>
          <t>Redstart Trust</t>
        </is>
      </c>
      <c r="N1807" t="inlineStr">
        <is>
          <t>BRGXMM</t>
        </is>
      </c>
      <c r="O1807" t="inlineStr">
        <is>
          <t>NEW</t>
        </is>
      </c>
      <c r="Q1807" t="inlineStr">
        <is>
          <t>GROSS</t>
        </is>
      </c>
    </row>
    <row r="1808">
      <c r="A1808" t="inlineStr">
        <is>
          <t>621381112674</t>
        </is>
      </c>
      <c r="B1808" t="inlineStr">
        <is>
          <t>TCG</t>
        </is>
      </c>
      <c r="C1808" t="inlineStr">
        <is>
          <t>BRAA</t>
        </is>
      </c>
      <c r="D1808" s="6" t="n">
        <v>46254</v>
      </c>
      <c r="E1808" t="inlineStr">
        <is>
          <t>DR</t>
        </is>
      </c>
      <c r="F1808" t="inlineStr">
        <is>
          <t>PLN</t>
        </is>
      </c>
      <c r="G1808" s="7" t="n">
        <v>-45306064.502</v>
      </c>
      <c r="H1808" t="inlineStr">
        <is>
          <t>GBP</t>
        </is>
      </c>
      <c r="I1808" s="7" t="n">
        <v>-8970600.771</v>
      </c>
      <c r="J1808" s="8" t="n">
        <v>46254.43848379629</v>
      </c>
      <c r="K1808" t="inlineStr">
        <is>
          <t>CF260820 01802</t>
        </is>
      </c>
      <c r="L1808" t="inlineStr">
        <is>
          <t>GL.NOSTRO.PLN.BRAA.004</t>
        </is>
      </c>
      <c r="M1808" t="inlineStr">
        <is>
          <t>Vetchling Bank</t>
        </is>
      </c>
      <c r="N1808" t="inlineStr">
        <is>
          <t>BRAACASH</t>
        </is>
      </c>
      <c r="O1808" t="inlineStr">
        <is>
          <t>AMEND</t>
        </is>
      </c>
      <c r="Q1808" t="inlineStr">
        <is>
          <t>NETTER</t>
        </is>
      </c>
    </row>
    <row r="1809">
      <c r="A1809" t="inlineStr">
        <is>
          <t>468341071172</t>
        </is>
      </c>
      <c r="B1809" t="inlineStr">
        <is>
          <t>TCX</t>
        </is>
      </c>
      <c r="C1809" t="inlineStr">
        <is>
          <t>BRCC</t>
        </is>
      </c>
      <c r="D1809" s="6" t="n">
        <v>46254</v>
      </c>
      <c r="E1809" t="inlineStr">
        <is>
          <t>CR</t>
        </is>
      </c>
      <c r="F1809" t="inlineStr">
        <is>
          <t>EUR</t>
        </is>
      </c>
      <c r="G1809" s="7" t="n">
        <v>1983010.149</v>
      </c>
      <c r="H1809" t="inlineStr">
        <is>
          <t>GBP</t>
        </is>
      </c>
      <c r="I1809" s="7" t="n">
        <v>1701422.708</v>
      </c>
      <c r="J1809" s="8" t="n">
        <v>46254.41137731481</v>
      </c>
      <c r="K1809" t="inlineStr">
        <is>
          <t>CF260820 01803</t>
        </is>
      </c>
      <c r="L1809" t="inlineStr">
        <is>
          <t>GL.NOSTRO.EUR.BRCC.004</t>
        </is>
      </c>
      <c r="M1809" t="inlineStr">
        <is>
          <t>Elmwood Bank</t>
        </is>
      </c>
      <c r="N1809" t="inlineStr">
        <is>
          <t>BRCCTRSY</t>
        </is>
      </c>
      <c r="O1809" t="inlineStr">
        <is>
          <t>NEW</t>
        </is>
      </c>
      <c r="Q1809" t="inlineStr">
        <is>
          <t>NETTER</t>
        </is>
      </c>
    </row>
    <row r="1810">
      <c r="A1810" t="inlineStr">
        <is>
          <t>499062838623</t>
        </is>
      </c>
      <c r="B1810" t="inlineStr">
        <is>
          <t>TCP</t>
        </is>
      </c>
      <c r="C1810" t="inlineStr">
        <is>
          <t>BRBX</t>
        </is>
      </c>
      <c r="D1810" s="6" t="n">
        <v>46254</v>
      </c>
      <c r="E1810" t="inlineStr">
        <is>
          <t>DR</t>
        </is>
      </c>
      <c r="F1810" t="inlineStr">
        <is>
          <t>USD</t>
        </is>
      </c>
      <c r="G1810" s="7" t="n">
        <v>-224359.07</v>
      </c>
      <c r="H1810" t="inlineStr">
        <is>
          <t>GBP</t>
        </is>
      </c>
      <c r="I1810" s="7" t="n">
        <v>-175897.511</v>
      </c>
      <c r="J1810" s="8" t="n">
        <v>46254.66234953704</v>
      </c>
      <c r="K1810" t="inlineStr">
        <is>
          <t>CF260820 01804</t>
        </is>
      </c>
      <c r="L1810" t="inlineStr">
        <is>
          <t>GL.NOSTRO.USD.BRBX.009</t>
        </is>
      </c>
      <c r="M1810" t="inlineStr">
        <is>
          <t>Sablewood Clearing</t>
        </is>
      </c>
      <c r="N1810" t="inlineStr">
        <is>
          <t>BRBXTRSY</t>
        </is>
      </c>
      <c r="O1810" t="inlineStr">
        <is>
          <t>NEW</t>
        </is>
      </c>
      <c r="P1810" t="inlineStr">
        <is>
          <t>NT26082000807</t>
        </is>
      </c>
      <c r="Q1810" t="inlineStr">
        <is>
          <t>NETTER</t>
        </is>
      </c>
    </row>
    <row r="1811">
      <c r="A1811" t="inlineStr">
        <is>
          <t>898317028833</t>
        </is>
      </c>
      <c r="B1811" t="inlineStr">
        <is>
          <t>TCQ</t>
        </is>
      </c>
      <c r="C1811" t="inlineStr">
        <is>
          <t>BRAA</t>
        </is>
      </c>
      <c r="D1811" s="6" t="n">
        <v>46254</v>
      </c>
      <c r="E1811" t="inlineStr">
        <is>
          <t>DR</t>
        </is>
      </c>
      <c r="F1811" t="inlineStr">
        <is>
          <t>GBP</t>
        </is>
      </c>
      <c r="G1811" s="7" t="n">
        <v>-51579015.797</v>
      </c>
      <c r="H1811" t="inlineStr">
        <is>
          <t>GBP</t>
        </is>
      </c>
      <c r="I1811" s="7" t="n">
        <v>-51579015.797</v>
      </c>
      <c r="J1811" s="8" t="n">
        <v>46254.56353009259</v>
      </c>
      <c r="K1811" t="inlineStr">
        <is>
          <t>CF260820 01805</t>
        </is>
      </c>
      <c r="L1811" t="inlineStr">
        <is>
          <t>GL.NOSTRO.GBP.BRAA.009</t>
        </is>
      </c>
      <c r="M1811" t="inlineStr">
        <is>
          <t>Yarrow Clearing</t>
        </is>
      </c>
      <c r="N1811" t="inlineStr">
        <is>
          <t>BRAATRSY</t>
        </is>
      </c>
      <c r="O1811" t="inlineStr">
        <is>
          <t>NEW</t>
        </is>
      </c>
      <c r="P1811" t="inlineStr">
        <is>
          <t>NT26082000798</t>
        </is>
      </c>
      <c r="Q1811" t="inlineStr">
        <is>
          <t>NETTER</t>
        </is>
      </c>
    </row>
    <row r="1812">
      <c r="A1812" t="inlineStr">
        <is>
          <t>171857983160</t>
        </is>
      </c>
      <c r="B1812" t="inlineStr">
        <is>
          <t>TCC</t>
        </is>
      </c>
      <c r="C1812" t="inlineStr">
        <is>
          <t>BRBX</t>
        </is>
      </c>
      <c r="D1812" s="6" t="n">
        <v>46254</v>
      </c>
      <c r="E1812" t="inlineStr">
        <is>
          <t>CR</t>
        </is>
      </c>
      <c r="F1812" t="inlineStr">
        <is>
          <t>AUD</t>
        </is>
      </c>
      <c r="G1812" s="7" t="n">
        <v>6229465.858</v>
      </c>
      <c r="H1812" t="inlineStr">
        <is>
          <t>GBP</t>
        </is>
      </c>
      <c r="I1812" s="7" t="n">
        <v>3195715.985</v>
      </c>
      <c r="J1812" s="8" t="n">
        <v>46254.67708333334</v>
      </c>
      <c r="K1812" t="inlineStr">
        <is>
          <t>CF260820 01806</t>
        </is>
      </c>
      <c r="L1812" t="inlineStr">
        <is>
          <t>GL.NOSTRO.AUD.BRBX.004</t>
        </is>
      </c>
      <c r="M1812" t="inlineStr">
        <is>
          <t>Sablewood Commercial Bank</t>
        </is>
      </c>
      <c r="N1812" t="inlineStr">
        <is>
          <t>BRBXMM</t>
        </is>
      </c>
      <c r="O1812" t="inlineStr">
        <is>
          <t>NEW</t>
        </is>
      </c>
      <c r="P1812" t="inlineStr">
        <is>
          <t>NT26082000799</t>
        </is>
      </c>
      <c r="Q1812" t="inlineStr">
        <is>
          <t>INTERNAL</t>
        </is>
      </c>
    </row>
    <row r="1813">
      <c r="A1813" t="inlineStr">
        <is>
          <t>700726936098</t>
        </is>
      </c>
      <c r="B1813" t="inlineStr">
        <is>
          <t>TCX</t>
        </is>
      </c>
      <c r="C1813" t="inlineStr">
        <is>
          <t>BRMD</t>
        </is>
      </c>
      <c r="D1813" s="6" t="n">
        <v>46254</v>
      </c>
      <c r="E1813" t="inlineStr">
        <is>
          <t>DR</t>
        </is>
      </c>
      <c r="F1813" t="inlineStr">
        <is>
          <t>SAR</t>
        </is>
      </c>
      <c r="G1813" s="7" t="n">
        <v>-182613.03</v>
      </c>
      <c r="H1813" t="inlineStr">
        <is>
          <t>GBP</t>
        </is>
      </c>
      <c r="I1813" s="7" t="n">
        <v>-38166.123</v>
      </c>
      <c r="J1813" s="8" t="n">
        <v>46254.7453587963</v>
      </c>
      <c r="K1813" t="inlineStr">
        <is>
          <t>CF260820 01807</t>
        </is>
      </c>
      <c r="L1813" t="inlineStr">
        <is>
          <t>GL.NOSTRO.SAR.BRMD.007</t>
        </is>
      </c>
      <c r="M1813" t="inlineStr">
        <is>
          <t>Vetchling Bank</t>
        </is>
      </c>
      <c r="N1813" t="inlineStr">
        <is>
          <t>BRMD</t>
        </is>
      </c>
      <c r="O1813" t="inlineStr">
        <is>
          <t>NEW</t>
        </is>
      </c>
      <c r="Q1813" t="inlineStr">
        <is>
          <t>GROSS</t>
        </is>
      </c>
    </row>
    <row r="1814">
      <c r="A1814" t="inlineStr">
        <is>
          <t>700726936098</t>
        </is>
      </c>
      <c r="B1814" t="inlineStr">
        <is>
          <t>TCC</t>
        </is>
      </c>
      <c r="C1814" t="inlineStr">
        <is>
          <t>BRMD</t>
        </is>
      </c>
      <c r="D1814" s="6" t="n">
        <v>46254</v>
      </c>
      <c r="E1814" t="inlineStr">
        <is>
          <t>DR</t>
        </is>
      </c>
      <c r="F1814" t="inlineStr">
        <is>
          <t>SAR</t>
        </is>
      </c>
      <c r="G1814" s="7" t="n">
        <v>-44521425.116</v>
      </c>
      <c r="H1814" t="inlineStr">
        <is>
          <t>GBP</t>
        </is>
      </c>
      <c r="I1814" s="7" t="n">
        <v>-9304977.848999999</v>
      </c>
      <c r="J1814" s="8" t="n">
        <v>46254.6009837963</v>
      </c>
      <c r="K1814" t="inlineStr">
        <is>
          <t>CF260820 01808</t>
        </is>
      </c>
      <c r="L1814" t="inlineStr">
        <is>
          <t>GL.NOSTRO.SAR.BRMD.002</t>
        </is>
      </c>
      <c r="M1814" t="inlineStr">
        <is>
          <t>Wrenfield Commercial Bank</t>
        </is>
      </c>
      <c r="N1814" t="inlineStr">
        <is>
          <t>BRMDCASH</t>
        </is>
      </c>
      <c r="O1814" t="inlineStr">
        <is>
          <t>NEW</t>
        </is>
      </c>
      <c r="Q1814" t="inlineStr">
        <is>
          <t>GROSS</t>
        </is>
      </c>
    </row>
    <row r="1815">
      <c r="A1815" t="inlineStr">
        <is>
          <t>150316825069</t>
        </is>
      </c>
      <c r="B1815" t="inlineStr">
        <is>
          <t>TCG</t>
        </is>
      </c>
      <c r="C1815" t="inlineStr">
        <is>
          <t>BRGX</t>
        </is>
      </c>
      <c r="D1815" s="6" t="n">
        <v>46254</v>
      </c>
      <c r="E1815" t="inlineStr">
        <is>
          <t>CR</t>
        </is>
      </c>
      <c r="F1815" t="inlineStr">
        <is>
          <t>GBP</t>
        </is>
      </c>
      <c r="G1815" s="7" t="n">
        <v>122902988.629</v>
      </c>
      <c r="H1815" t="inlineStr">
        <is>
          <t>GBP</t>
        </is>
      </c>
      <c r="I1815" s="7" t="n">
        <v>122902988.629</v>
      </c>
      <c r="J1815" s="8" t="n">
        <v>46254.38305555555</v>
      </c>
      <c r="K1815" t="inlineStr">
        <is>
          <t>CF260820 01809</t>
        </is>
      </c>
      <c r="L1815" t="inlineStr">
        <is>
          <t>GL.NOSTRO.GBP.BRGX.009</t>
        </is>
      </c>
      <c r="M1815" t="inlineStr">
        <is>
          <t>Sablewood Clearing</t>
        </is>
      </c>
      <c r="N1815" t="inlineStr">
        <is>
          <t>BRGX</t>
        </is>
      </c>
      <c r="O1815" t="inlineStr">
        <is>
          <t>NEW</t>
        </is>
      </c>
      <c r="Q1815" t="inlineStr">
        <is>
          <t>NETTER</t>
        </is>
      </c>
    </row>
    <row r="1816">
      <c r="A1816" t="inlineStr">
        <is>
          <t>150316825069</t>
        </is>
      </c>
      <c r="B1816" t="inlineStr">
        <is>
          <t>TCQ</t>
        </is>
      </c>
      <c r="C1816" t="inlineStr">
        <is>
          <t>BRGX</t>
        </is>
      </c>
      <c r="D1816" s="6" t="n">
        <v>46254</v>
      </c>
      <c r="E1816" t="inlineStr">
        <is>
          <t>DR</t>
        </is>
      </c>
      <c r="F1816" t="inlineStr">
        <is>
          <t>GBP</t>
        </is>
      </c>
      <c r="G1816" s="7" t="n">
        <v>-26690169.317</v>
      </c>
      <c r="H1816" t="inlineStr">
        <is>
          <t>GBP</t>
        </is>
      </c>
      <c r="I1816" s="7" t="n">
        <v>-26690169.317</v>
      </c>
      <c r="J1816" s="8" t="n">
        <v>46254.28112268518</v>
      </c>
      <c r="K1816" t="inlineStr">
        <is>
          <t>CF260820 01810</t>
        </is>
      </c>
      <c r="L1816" t="inlineStr">
        <is>
          <t>GL.NOSTRO.GBP.BRGX.005</t>
        </is>
      </c>
      <c r="M1816" t="inlineStr">
        <is>
          <t>Bramble Bank</t>
        </is>
      </c>
      <c r="N1816" t="inlineStr">
        <is>
          <t>BRGXCASH</t>
        </is>
      </c>
      <c r="O1816" t="inlineStr">
        <is>
          <t>NEW</t>
        </is>
      </c>
      <c r="Q1816" t="inlineStr">
        <is>
          <t>GROSS</t>
        </is>
      </c>
    </row>
    <row r="1817">
      <c r="A1817" t="inlineStr">
        <is>
          <t>794226063698</t>
        </is>
      </c>
      <c r="B1817" t="inlineStr">
        <is>
          <t>TCX</t>
        </is>
      </c>
      <c r="C1817" t="inlineStr">
        <is>
          <t>BRMD</t>
        </is>
      </c>
      <c r="D1817" s="6" t="n">
        <v>46254</v>
      </c>
      <c r="E1817" t="inlineStr">
        <is>
          <t>DR</t>
        </is>
      </c>
      <c r="F1817" t="inlineStr">
        <is>
          <t>AED</t>
        </is>
      </c>
      <c r="G1817" s="7" t="n">
        <v>-253219481.754</v>
      </c>
      <c r="H1817" t="inlineStr">
        <is>
          <t>GBP</t>
        </is>
      </c>
      <c r="I1817" s="7" t="n">
        <v>-53935749.614</v>
      </c>
      <c r="J1817" s="8" t="n">
        <v>46254.64188657407</v>
      </c>
      <c r="K1817" t="inlineStr">
        <is>
          <t>CF260820 01811</t>
        </is>
      </c>
      <c r="L1817" t="inlineStr">
        <is>
          <t>GL.NOSTRO.AED.BRMD.004</t>
        </is>
      </c>
      <c r="M1817" t="inlineStr">
        <is>
          <t>Juniper Settlement Bank</t>
        </is>
      </c>
      <c r="N1817" t="inlineStr">
        <is>
          <t>BRMDTRSY</t>
        </is>
      </c>
      <c r="O1817" t="inlineStr">
        <is>
          <t>NEW</t>
        </is>
      </c>
      <c r="Q1817" t="inlineStr">
        <is>
          <t>NETTER</t>
        </is>
      </c>
    </row>
    <row r="1818">
      <c r="A1818" t="inlineStr">
        <is>
          <t>910703979141</t>
        </is>
      </c>
      <c r="B1818" t="inlineStr">
        <is>
          <t>TCP</t>
        </is>
      </c>
      <c r="C1818" t="inlineStr">
        <is>
          <t>BRCC</t>
        </is>
      </c>
      <c r="D1818" s="6" t="n">
        <v>46254</v>
      </c>
      <c r="E1818" t="inlineStr">
        <is>
          <t>CR</t>
        </is>
      </c>
      <c r="F1818" t="inlineStr">
        <is>
          <t>CHF</t>
        </is>
      </c>
      <c r="G1818" s="7" t="n">
        <v>403580347.183</v>
      </c>
      <c r="H1818" t="inlineStr">
        <is>
          <t>GBP</t>
        </is>
      </c>
      <c r="I1818" s="7" t="n">
        <v>362011571.423</v>
      </c>
      <c r="J1818" s="8" t="n">
        <v>46254.66082175926</v>
      </c>
      <c r="K1818" t="inlineStr">
        <is>
          <t>CF260820 01812</t>
        </is>
      </c>
      <c r="L1818" t="inlineStr">
        <is>
          <t>GL.NOSTRO.CHF.BRCC.006</t>
        </is>
      </c>
      <c r="M1818" t="inlineStr">
        <is>
          <t>Yarrow Bank</t>
        </is>
      </c>
      <c r="N1818" t="inlineStr">
        <is>
          <t>BRCC</t>
        </is>
      </c>
      <c r="O1818" t="inlineStr">
        <is>
          <t>NEW</t>
        </is>
      </c>
      <c r="Q1818" t="inlineStr">
        <is>
          <t>NETTER</t>
        </is>
      </c>
    </row>
    <row r="1819">
      <c r="A1819" t="inlineStr">
        <is>
          <t>794226063698</t>
        </is>
      </c>
      <c r="B1819" t="inlineStr">
        <is>
          <t>TCX</t>
        </is>
      </c>
      <c r="C1819" t="inlineStr">
        <is>
          <t>BRMD</t>
        </is>
      </c>
      <c r="D1819" s="6" t="n">
        <v>46254</v>
      </c>
      <c r="E1819" t="inlineStr">
        <is>
          <t>CR</t>
        </is>
      </c>
      <c r="F1819" t="inlineStr">
        <is>
          <t>AED</t>
        </is>
      </c>
      <c r="G1819" s="7" t="n">
        <v>83965426.124</v>
      </c>
      <c r="H1819" t="inlineStr">
        <is>
          <t>GBP</t>
        </is>
      </c>
      <c r="I1819" s="7" t="n">
        <v>17884635.764</v>
      </c>
      <c r="J1819" s="8" t="n">
        <v>46254.38447916666</v>
      </c>
      <c r="K1819" t="inlineStr">
        <is>
          <t>CF260820 01813</t>
        </is>
      </c>
      <c r="L1819" t="inlineStr">
        <is>
          <t>GL.NOSTRO.AED.BRMD.008</t>
        </is>
      </c>
      <c r="M1819" t="inlineStr">
        <is>
          <t>Dunlin Clearing</t>
        </is>
      </c>
      <c r="N1819" t="inlineStr">
        <is>
          <t>BRMDCASH</t>
        </is>
      </c>
      <c r="O1819" t="inlineStr">
        <is>
          <t>AMEND</t>
        </is>
      </c>
      <c r="Q1819" t="inlineStr">
        <is>
          <t>NETTER</t>
        </is>
      </c>
    </row>
    <row r="1820">
      <c r="A1820" t="inlineStr">
        <is>
          <t>794226063698</t>
        </is>
      </c>
      <c r="B1820" t="inlineStr">
        <is>
          <t>TCC</t>
        </is>
      </c>
      <c r="C1820" t="inlineStr">
        <is>
          <t>BRMD</t>
        </is>
      </c>
      <c r="D1820" s="6" t="n">
        <v>46254</v>
      </c>
      <c r="E1820" t="inlineStr">
        <is>
          <t>CR</t>
        </is>
      </c>
      <c r="F1820" t="inlineStr">
        <is>
          <t>AED</t>
        </is>
      </c>
      <c r="G1820" s="7" t="n">
        <v>462121904.693</v>
      </c>
      <c r="H1820" t="inlineStr">
        <is>
          <t>GBP</t>
        </is>
      </c>
      <c r="I1820" s="7" t="n">
        <v>98431965.7</v>
      </c>
      <c r="J1820" s="8" t="n">
        <v>46254.91085648148</v>
      </c>
      <c r="K1820" t="inlineStr">
        <is>
          <t>CF260820 01814</t>
        </is>
      </c>
      <c r="L1820" t="inlineStr">
        <is>
          <t>GL.NOSTRO.AED.BRMD.007</t>
        </is>
      </c>
      <c r="M1820" t="inlineStr">
        <is>
          <t>Sablewood Settlement Bank</t>
        </is>
      </c>
      <c r="N1820" t="inlineStr">
        <is>
          <t>BRMDCASH</t>
        </is>
      </c>
      <c r="O1820" t="inlineStr">
        <is>
          <t>NEW</t>
        </is>
      </c>
      <c r="P1820" t="inlineStr">
        <is>
          <t>NT26082000788</t>
        </is>
      </c>
      <c r="Q1820" t="inlineStr">
        <is>
          <t>GROSS</t>
        </is>
      </c>
    </row>
    <row r="1821">
      <c r="A1821" t="inlineStr">
        <is>
          <t>359365220160</t>
        </is>
      </c>
      <c r="B1821" t="inlineStr">
        <is>
          <t>TCG</t>
        </is>
      </c>
      <c r="C1821" t="inlineStr">
        <is>
          <t>BRGX</t>
        </is>
      </c>
      <c r="D1821" s="6" t="n">
        <v>46254</v>
      </c>
      <c r="E1821" t="inlineStr">
        <is>
          <t>DR</t>
        </is>
      </c>
      <c r="F1821" t="inlineStr">
        <is>
          <t>EUR</t>
        </is>
      </c>
      <c r="G1821" s="7" t="n">
        <v>-343856.729</v>
      </c>
      <c r="H1821" t="inlineStr">
        <is>
          <t>GBP</t>
        </is>
      </c>
      <c r="I1821" s="7" t="n">
        <v>-295029.073</v>
      </c>
      <c r="J1821" s="8" t="n">
        <v>46254.5581712963</v>
      </c>
      <c r="K1821" t="inlineStr">
        <is>
          <t>CF260820 01815</t>
        </is>
      </c>
      <c r="L1821" t="inlineStr">
        <is>
          <t>GL.NOSTRO.EUR.BRGX.005</t>
        </is>
      </c>
      <c r="M1821" t="inlineStr">
        <is>
          <t>Wrenfield Settlement Bank</t>
        </is>
      </c>
      <c r="N1821" t="inlineStr">
        <is>
          <t>BRGXCASH</t>
        </is>
      </c>
      <c r="O1821" t="inlineStr">
        <is>
          <t>NEW</t>
        </is>
      </c>
      <c r="Q1821" t="inlineStr">
        <is>
          <t>NETTER</t>
        </is>
      </c>
    </row>
    <row r="1822">
      <c r="A1822" t="inlineStr">
        <is>
          <t>968942362772</t>
        </is>
      </c>
      <c r="B1822" t="inlineStr">
        <is>
          <t>TCC</t>
        </is>
      </c>
      <c r="C1822" t="inlineStr">
        <is>
          <t>BRYG</t>
        </is>
      </c>
      <c r="D1822" s="6" t="n">
        <v>46254</v>
      </c>
      <c r="E1822" t="inlineStr">
        <is>
          <t>CR</t>
        </is>
      </c>
      <c r="F1822" t="inlineStr">
        <is>
          <t>EUR</t>
        </is>
      </c>
      <c r="G1822" s="7" t="n">
        <v>1158.475</v>
      </c>
      <c r="H1822" t="inlineStr">
        <is>
          <t>GBP</t>
        </is>
      </c>
      <c r="I1822" s="7" t="n">
        <v>993.972</v>
      </c>
      <c r="J1822" s="8" t="n">
        <v>46254.39017361111</v>
      </c>
      <c r="K1822" t="inlineStr">
        <is>
          <t>CF260820 01816</t>
        </is>
      </c>
      <c r="L1822" t="inlineStr">
        <is>
          <t>GL.NOSTRO.EUR.BRYG.008</t>
        </is>
      </c>
      <c r="M1822" t="inlineStr">
        <is>
          <t>Harrow Clearing</t>
        </is>
      </c>
      <c r="N1822" t="inlineStr">
        <is>
          <t>BRYGCASH</t>
        </is>
      </c>
      <c r="O1822" t="inlineStr">
        <is>
          <t>NEW</t>
        </is>
      </c>
      <c r="P1822" t="inlineStr">
        <is>
          <t>NT26082000823</t>
        </is>
      </c>
      <c r="Q1822" t="inlineStr">
        <is>
          <t>GROSS</t>
        </is>
      </c>
    </row>
    <row r="1823">
      <c r="A1823" t="inlineStr">
        <is>
          <t>499062838623</t>
        </is>
      </c>
      <c r="B1823" t="inlineStr">
        <is>
          <t>TCC</t>
        </is>
      </c>
      <c r="C1823" t="inlineStr">
        <is>
          <t>BRBX</t>
        </is>
      </c>
      <c r="D1823" s="6" t="n">
        <v>46254</v>
      </c>
      <c r="E1823" t="inlineStr">
        <is>
          <t>DR</t>
        </is>
      </c>
      <c r="F1823" t="inlineStr">
        <is>
          <t>USD</t>
        </is>
      </c>
      <c r="G1823" s="7" t="n">
        <v>-62759516.717</v>
      </c>
      <c r="H1823" t="inlineStr">
        <is>
          <t>GBP</t>
        </is>
      </c>
      <c r="I1823" s="7" t="n">
        <v>-49203461.106</v>
      </c>
      <c r="J1823" s="8" t="n">
        <v>46254.41307870371</v>
      </c>
      <c r="K1823" t="inlineStr">
        <is>
          <t>CF260820 01817</t>
        </is>
      </c>
      <c r="L1823" t="inlineStr">
        <is>
          <t>GL.NOSTRO.USD.BRBX.009</t>
        </is>
      </c>
      <c r="M1823" t="inlineStr">
        <is>
          <t>Vetchling Commercial Bank</t>
        </is>
      </c>
      <c r="N1823" t="inlineStr">
        <is>
          <t>BRBXMM</t>
        </is>
      </c>
      <c r="O1823" t="inlineStr">
        <is>
          <t>NEW</t>
        </is>
      </c>
      <c r="Q1823" t="inlineStr">
        <is>
          <t>GROSS</t>
        </is>
      </c>
    </row>
    <row r="1824">
      <c r="A1824" t="inlineStr">
        <is>
          <t>898317028833</t>
        </is>
      </c>
      <c r="B1824" t="inlineStr">
        <is>
          <t>TCG</t>
        </is>
      </c>
      <c r="C1824" t="inlineStr">
        <is>
          <t>BRAA</t>
        </is>
      </c>
      <c r="D1824" s="6" t="n">
        <v>46254</v>
      </c>
      <c r="E1824" t="inlineStr">
        <is>
          <t>DR</t>
        </is>
      </c>
      <c r="F1824" t="inlineStr">
        <is>
          <t>GBP</t>
        </is>
      </c>
      <c r="G1824" s="7" t="n">
        <v>-37982611.496</v>
      </c>
      <c r="H1824" t="inlineStr">
        <is>
          <t>GBP</t>
        </is>
      </c>
      <c r="I1824" s="7" t="n">
        <v>-37982611.496</v>
      </c>
      <c r="J1824" s="8" t="n">
        <v>46254.28444444444</v>
      </c>
      <c r="K1824" t="inlineStr">
        <is>
          <t>CF260820 01818</t>
        </is>
      </c>
      <c r="L1824" t="inlineStr">
        <is>
          <t>GL.NOSTRO.GBP.BRAA.006</t>
        </is>
      </c>
      <c r="M1824" t="inlineStr">
        <is>
          <t>Oriel Trust</t>
        </is>
      </c>
      <c r="N1824" t="inlineStr">
        <is>
          <t>BRAACASH</t>
        </is>
      </c>
      <c r="O1824" t="inlineStr">
        <is>
          <t>NEW</t>
        </is>
      </c>
      <c r="Q1824" t="inlineStr">
        <is>
          <t>GROSS</t>
        </is>
      </c>
    </row>
    <row r="1825">
      <c r="A1825" t="inlineStr">
        <is>
          <t>898317028833</t>
        </is>
      </c>
      <c r="B1825" t="inlineStr">
        <is>
          <t>TCQ</t>
        </is>
      </c>
      <c r="C1825" t="inlineStr">
        <is>
          <t>BRAA</t>
        </is>
      </c>
      <c r="D1825" s="6" t="n">
        <v>46254</v>
      </c>
      <c r="E1825" t="inlineStr">
        <is>
          <t>CR</t>
        </is>
      </c>
      <c r="F1825" t="inlineStr">
        <is>
          <t>GBP</t>
        </is>
      </c>
      <c r="G1825" s="7" t="n">
        <v>19608.503</v>
      </c>
      <c r="H1825" t="inlineStr">
        <is>
          <t>GBP</t>
        </is>
      </c>
      <c r="I1825" s="7" t="n">
        <v>19608.503</v>
      </c>
      <c r="J1825" s="8" t="n">
        <v>46254.18467592593</v>
      </c>
      <c r="K1825" t="inlineStr">
        <is>
          <t>CF260820 01819</t>
        </is>
      </c>
      <c r="L1825" t="inlineStr">
        <is>
          <t>GL.NOSTRO.GBP.BRAA.001</t>
        </is>
      </c>
      <c r="M1825" t="inlineStr">
        <is>
          <t>Sablewood Settlement Bank</t>
        </is>
      </c>
      <c r="N1825" t="inlineStr">
        <is>
          <t>BRAAMM</t>
        </is>
      </c>
      <c r="O1825" t="inlineStr">
        <is>
          <t>NEW</t>
        </is>
      </c>
      <c r="Q1825" t="inlineStr">
        <is>
          <t>GROSS</t>
        </is>
      </c>
    </row>
    <row r="1826">
      <c r="A1826" t="inlineStr">
        <is>
          <t>968942362772</t>
        </is>
      </c>
      <c r="B1826" t="inlineStr">
        <is>
          <t>TCC</t>
        </is>
      </c>
      <c r="C1826" t="inlineStr">
        <is>
          <t>BRYG</t>
        </is>
      </c>
      <c r="D1826" s="6" t="n">
        <v>46254</v>
      </c>
      <c r="E1826" t="inlineStr">
        <is>
          <t>DR</t>
        </is>
      </c>
      <c r="F1826" t="inlineStr">
        <is>
          <t>EUR</t>
        </is>
      </c>
      <c r="G1826" s="7" t="n">
        <v>-230778.034</v>
      </c>
      <c r="H1826" t="inlineStr">
        <is>
          <t>GBP</t>
        </is>
      </c>
      <c r="I1826" s="7" t="n">
        <v>-198007.553</v>
      </c>
      <c r="J1826" s="8" t="n">
        <v>46254.34288194445</v>
      </c>
      <c r="K1826" t="inlineStr">
        <is>
          <t>CF260820 01820</t>
        </is>
      </c>
      <c r="L1826" t="inlineStr">
        <is>
          <t>GL.NOSTRO.EUR.BRYG.007</t>
        </is>
      </c>
      <c r="M1826" t="inlineStr">
        <is>
          <t>Fernway Settlement Bank</t>
        </is>
      </c>
      <c r="N1826" t="inlineStr">
        <is>
          <t>BRYGMM</t>
        </is>
      </c>
      <c r="O1826" t="inlineStr">
        <is>
          <t>NEW</t>
        </is>
      </c>
      <c r="P1826" t="inlineStr">
        <is>
          <t>NT26082000805</t>
        </is>
      </c>
      <c r="Q1826" t="inlineStr">
        <is>
          <t>GROSS</t>
        </is>
      </c>
    </row>
    <row r="1827">
      <c r="A1827" t="inlineStr">
        <is>
          <t>794226063698</t>
        </is>
      </c>
      <c r="B1827" t="inlineStr">
        <is>
          <t>TCX</t>
        </is>
      </c>
      <c r="C1827" t="inlineStr">
        <is>
          <t>BRMD</t>
        </is>
      </c>
      <c r="D1827" s="6" t="n">
        <v>46254</v>
      </c>
      <c r="E1827" t="inlineStr">
        <is>
          <t>DR</t>
        </is>
      </c>
      <c r="F1827" t="inlineStr">
        <is>
          <t>AED</t>
        </is>
      </c>
      <c r="G1827" s="7" t="n">
        <v>-76822835.083</v>
      </c>
      <c r="H1827" t="inlineStr">
        <is>
          <t>GBP</t>
        </is>
      </c>
      <c r="I1827" s="7" t="n">
        <v>-16363263.873</v>
      </c>
      <c r="J1827" s="8" t="n">
        <v>46254.28822916667</v>
      </c>
      <c r="K1827" t="inlineStr">
        <is>
          <t>CF260820 01821</t>
        </is>
      </c>
      <c r="L1827" t="inlineStr">
        <is>
          <t>GL.NOSTRO.AED.BRMD.001</t>
        </is>
      </c>
      <c r="M1827" t="inlineStr">
        <is>
          <t>Wrenfield Commercial Bank</t>
        </is>
      </c>
      <c r="N1827" t="inlineStr">
        <is>
          <t>BRMDTRSY</t>
        </is>
      </c>
      <c r="O1827" t="inlineStr">
        <is>
          <t>NEW</t>
        </is>
      </c>
      <c r="Q1827" t="inlineStr">
        <is>
          <t>NETTER</t>
        </is>
      </c>
    </row>
    <row r="1828">
      <c r="A1828" t="inlineStr">
        <is>
          <t>910703979141</t>
        </is>
      </c>
      <c r="B1828" t="inlineStr">
        <is>
          <t>TCP</t>
        </is>
      </c>
      <c r="C1828" t="inlineStr">
        <is>
          <t>BRCC</t>
        </is>
      </c>
      <c r="D1828" s="6" t="n">
        <v>46254</v>
      </c>
      <c r="E1828" t="inlineStr">
        <is>
          <t>DR</t>
        </is>
      </c>
      <c r="F1828" t="inlineStr">
        <is>
          <t>CHF</t>
        </is>
      </c>
      <c r="G1828" s="7" t="n">
        <v>-5993559.138</v>
      </c>
      <c r="H1828" t="inlineStr">
        <is>
          <t>GBP</t>
        </is>
      </c>
      <c r="I1828" s="7" t="n">
        <v>-5376222.547</v>
      </c>
      <c r="J1828" s="8" t="n">
        <v>46254.50108796296</v>
      </c>
      <c r="K1828" t="inlineStr">
        <is>
          <t>CF260820 01822</t>
        </is>
      </c>
      <c r="L1828" t="inlineStr">
        <is>
          <t>GL.NOSTRO.CHF.BRCC.009</t>
        </is>
      </c>
      <c r="M1828" t="inlineStr">
        <is>
          <t>Yarrow Clearing</t>
        </is>
      </c>
      <c r="N1828" t="inlineStr">
        <is>
          <t>BRCCTRSY</t>
        </is>
      </c>
      <c r="O1828" t="inlineStr">
        <is>
          <t>NEW</t>
        </is>
      </c>
      <c r="P1828" t="inlineStr">
        <is>
          <t>NT26082000798</t>
        </is>
      </c>
      <c r="Q1828" t="inlineStr">
        <is>
          <t>GROSS</t>
        </is>
      </c>
    </row>
    <row r="1829">
      <c r="A1829" t="inlineStr">
        <is>
          <t>132544340094</t>
        </is>
      </c>
      <c r="B1829" t="inlineStr">
        <is>
          <t>TCQ</t>
        </is>
      </c>
      <c r="C1829" t="inlineStr">
        <is>
          <t>BRYG</t>
        </is>
      </c>
      <c r="D1829" s="6" t="n">
        <v>46254</v>
      </c>
      <c r="E1829" t="inlineStr">
        <is>
          <t>CR</t>
        </is>
      </c>
      <c r="F1829" t="inlineStr">
        <is>
          <t>CZK</t>
        </is>
      </c>
      <c r="G1829" s="7" t="n">
        <v>668658852.586</v>
      </c>
      <c r="H1829" t="inlineStr">
        <is>
          <t>GBP</t>
        </is>
      </c>
      <c r="I1829" s="7" t="n">
        <v>22667535.103</v>
      </c>
      <c r="J1829" s="8" t="n">
        <v>46254.85920138889</v>
      </c>
      <c r="K1829" t="inlineStr">
        <is>
          <t>CF260820 01823</t>
        </is>
      </c>
      <c r="L1829" t="inlineStr">
        <is>
          <t>GL.NOSTRO.CZK.BRYG.005</t>
        </is>
      </c>
      <c r="M1829" t="inlineStr">
        <is>
          <t>Pinehurst Bank</t>
        </is>
      </c>
      <c r="N1829" t="inlineStr">
        <is>
          <t>BRYGMM</t>
        </is>
      </c>
      <c r="O1829" t="inlineStr">
        <is>
          <t>NEW</t>
        </is>
      </c>
      <c r="P1829" t="inlineStr">
        <is>
          <t>NT26082000798</t>
        </is>
      </c>
      <c r="Q1829" t="inlineStr">
        <is>
          <t>NETTER</t>
        </is>
      </c>
    </row>
    <row r="1830">
      <c r="A1830" t="inlineStr">
        <is>
          <t>910703979141</t>
        </is>
      </c>
      <c r="B1830" t="inlineStr">
        <is>
          <t>TCP</t>
        </is>
      </c>
      <c r="C1830" t="inlineStr">
        <is>
          <t>BRCC</t>
        </is>
      </c>
      <c r="D1830" s="6" t="n">
        <v>46254</v>
      </c>
      <c r="E1830" t="inlineStr">
        <is>
          <t>DR</t>
        </is>
      </c>
      <c r="F1830" t="inlineStr">
        <is>
          <t>CHF</t>
        </is>
      </c>
      <c r="G1830" s="7" t="n">
        <v>-175420.767</v>
      </c>
      <c r="H1830" t="inlineStr">
        <is>
          <t>GBP</t>
        </is>
      </c>
      <c r="I1830" s="7" t="n">
        <v>-157352.428</v>
      </c>
      <c r="J1830" s="8" t="n">
        <v>46254.70185185185</v>
      </c>
      <c r="K1830" t="inlineStr">
        <is>
          <t>CF260820 01824</t>
        </is>
      </c>
      <c r="L1830" t="inlineStr">
        <is>
          <t>GL.NOSTRO.CHF.BRCC.004</t>
        </is>
      </c>
      <c r="M1830" t="inlineStr">
        <is>
          <t>Mallow Commercial Bank</t>
        </is>
      </c>
      <c r="N1830" t="inlineStr">
        <is>
          <t>BRCCCASH</t>
        </is>
      </c>
      <c r="O1830" t="inlineStr">
        <is>
          <t>NEW</t>
        </is>
      </c>
      <c r="Q1830" t="inlineStr">
        <is>
          <t>GROSS</t>
        </is>
      </c>
    </row>
    <row r="1831">
      <c r="A1831" t="inlineStr">
        <is>
          <t>359365220160</t>
        </is>
      </c>
      <c r="B1831" t="inlineStr">
        <is>
          <t>TCQ</t>
        </is>
      </c>
      <c r="C1831" t="inlineStr">
        <is>
          <t>BRGX</t>
        </is>
      </c>
      <c r="D1831" s="6" t="n">
        <v>46254</v>
      </c>
      <c r="E1831" t="inlineStr">
        <is>
          <t>DR</t>
        </is>
      </c>
      <c r="F1831" t="inlineStr">
        <is>
          <t>EUR</t>
        </is>
      </c>
      <c r="G1831" s="7" t="n">
        <v>-23362279.318</v>
      </c>
      <c r="H1831" t="inlineStr">
        <is>
          <t>GBP</t>
        </is>
      </c>
      <c r="I1831" s="7" t="n">
        <v>-20044835.655</v>
      </c>
      <c r="J1831" s="8" t="n">
        <v>46254.57520833334</v>
      </c>
      <c r="K1831" t="inlineStr">
        <is>
          <t>CF260820 01825</t>
        </is>
      </c>
      <c r="L1831" t="inlineStr">
        <is>
          <t>GL.NOSTRO.EUR.BRGX.007</t>
        </is>
      </c>
      <c r="M1831" t="inlineStr">
        <is>
          <t>Pinehurst Settlement Bank</t>
        </is>
      </c>
      <c r="N1831" t="inlineStr">
        <is>
          <t>BRGXCASH</t>
        </is>
      </c>
      <c r="O1831" t="inlineStr">
        <is>
          <t>NEW</t>
        </is>
      </c>
      <c r="P1831" t="inlineStr">
        <is>
          <t>NT26082000821</t>
        </is>
      </c>
      <c r="Q1831" t="inlineStr">
        <is>
          <t>INTERNAL</t>
        </is>
      </c>
    </row>
    <row r="1832">
      <c r="A1832" t="inlineStr">
        <is>
          <t>150316825069</t>
        </is>
      </c>
      <c r="B1832" t="inlineStr">
        <is>
          <t>TCX</t>
        </is>
      </c>
      <c r="C1832" t="inlineStr">
        <is>
          <t>BRGX</t>
        </is>
      </c>
      <c r="D1832" s="6" t="n">
        <v>46254</v>
      </c>
      <c r="E1832" t="inlineStr">
        <is>
          <t>CR</t>
        </is>
      </c>
      <c r="F1832" t="inlineStr">
        <is>
          <t>GBP</t>
        </is>
      </c>
      <c r="G1832" s="7" t="n">
        <v>24910624.994</v>
      </c>
      <c r="H1832" t="inlineStr">
        <is>
          <t>GBP</t>
        </is>
      </c>
      <c r="I1832" s="7" t="n">
        <v>24910624.994</v>
      </c>
      <c r="J1832" s="8" t="n">
        <v>46254.65418981481</v>
      </c>
      <c r="K1832" t="inlineStr">
        <is>
          <t>CF260820 01826</t>
        </is>
      </c>
      <c r="L1832" t="inlineStr">
        <is>
          <t>GL.NOSTRO.GBP.BRGX.003</t>
        </is>
      </c>
      <c r="M1832" t="inlineStr">
        <is>
          <t>Oriel Trust</t>
        </is>
      </c>
      <c r="N1832" t="inlineStr">
        <is>
          <t>BRGXTRSY</t>
        </is>
      </c>
      <c r="O1832" t="inlineStr">
        <is>
          <t>CANCEL</t>
        </is>
      </c>
      <c r="Q1832" t="inlineStr">
        <is>
          <t>GROSS</t>
        </is>
      </c>
    </row>
    <row r="1833">
      <c r="A1833" t="inlineStr">
        <is>
          <t>171857983160</t>
        </is>
      </c>
      <c r="B1833" t="inlineStr">
        <is>
          <t>TCG</t>
        </is>
      </c>
      <c r="C1833" t="inlineStr">
        <is>
          <t>BRBX</t>
        </is>
      </c>
      <c r="D1833" s="6" t="n">
        <v>46254</v>
      </c>
      <c r="E1833" t="inlineStr">
        <is>
          <t>DR</t>
        </is>
      </c>
      <c r="F1833" t="inlineStr">
        <is>
          <t>AUD</t>
        </is>
      </c>
      <c r="G1833" s="7" t="n">
        <v>-782033917.011</v>
      </c>
      <c r="H1833" t="inlineStr">
        <is>
          <t>GBP</t>
        </is>
      </c>
      <c r="I1833" s="7" t="n">
        <v>-401183399.427</v>
      </c>
      <c r="J1833" s="8" t="n">
        <v>46254.603125</v>
      </c>
      <c r="K1833" t="inlineStr">
        <is>
          <t>CF260820 01827</t>
        </is>
      </c>
      <c r="L1833" t="inlineStr">
        <is>
          <t>GL.NOSTRO.AUD.BRBX.001</t>
        </is>
      </c>
      <c r="M1833" t="inlineStr">
        <is>
          <t>Fernway Settlement Bank</t>
        </is>
      </c>
      <c r="N1833" t="inlineStr">
        <is>
          <t>BRBXCASH</t>
        </is>
      </c>
      <c r="O1833" t="inlineStr">
        <is>
          <t>NEW</t>
        </is>
      </c>
      <c r="P1833" t="inlineStr">
        <is>
          <t>NT26082000815</t>
        </is>
      </c>
      <c r="Q1833" t="inlineStr">
        <is>
          <t>NETTER</t>
        </is>
      </c>
    </row>
    <row r="1834">
      <c r="A1834" t="inlineStr">
        <is>
          <t>468341071172</t>
        </is>
      </c>
      <c r="B1834" t="inlineStr">
        <is>
          <t>TCX</t>
        </is>
      </c>
      <c r="C1834" t="inlineStr">
        <is>
          <t>BRCC</t>
        </is>
      </c>
      <c r="D1834" s="6" t="n">
        <v>46254</v>
      </c>
      <c r="E1834" t="inlineStr">
        <is>
          <t>CR</t>
        </is>
      </c>
      <c r="F1834" t="inlineStr">
        <is>
          <t>EUR</t>
        </is>
      </c>
      <c r="G1834" s="7" t="n">
        <v>473469.908</v>
      </c>
      <c r="H1834" t="inlineStr">
        <is>
          <t>GBP</t>
        </is>
      </c>
      <c r="I1834" s="7" t="n">
        <v>406237.181</v>
      </c>
      <c r="J1834" s="8" t="n">
        <v>46254.60216435185</v>
      </c>
      <c r="K1834" t="inlineStr">
        <is>
          <t>CF260820 01828</t>
        </is>
      </c>
      <c r="L1834" t="inlineStr">
        <is>
          <t>GL.NOSTRO.EUR.BRCC.005</t>
        </is>
      </c>
      <c r="M1834" t="inlineStr">
        <is>
          <t>Yarrow Clearing</t>
        </is>
      </c>
      <c r="N1834" t="inlineStr">
        <is>
          <t>BRCCTRSY</t>
        </is>
      </c>
      <c r="O1834" t="inlineStr">
        <is>
          <t>NEW</t>
        </is>
      </c>
      <c r="Q1834" t="inlineStr">
        <is>
          <t>NETTER</t>
        </is>
      </c>
    </row>
    <row r="1835">
      <c r="A1835" t="inlineStr">
        <is>
          <t>265771593142</t>
        </is>
      </c>
      <c r="B1835" t="inlineStr">
        <is>
          <t>TCX</t>
        </is>
      </c>
      <c r="C1835" t="inlineStr">
        <is>
          <t>BRYG</t>
        </is>
      </c>
      <c r="D1835" s="6" t="n">
        <v>46254</v>
      </c>
      <c r="E1835" t="inlineStr">
        <is>
          <t>DR</t>
        </is>
      </c>
      <c r="F1835" t="inlineStr">
        <is>
          <t>EUR</t>
        </is>
      </c>
      <c r="G1835" s="7" t="n">
        <v>-125547581.24</v>
      </c>
      <c r="H1835" t="inlineStr">
        <is>
          <t>GBP</t>
        </is>
      </c>
      <c r="I1835" s="7" t="n">
        <v>-107719824.704</v>
      </c>
      <c r="J1835" s="8" t="n">
        <v>46254.55200231481</v>
      </c>
      <c r="K1835" t="inlineStr">
        <is>
          <t>CF260820 01829</t>
        </is>
      </c>
      <c r="L1835" t="inlineStr">
        <is>
          <t>GL.NOSTRO.EUR.BRYG.003</t>
        </is>
      </c>
      <c r="M1835" t="inlineStr">
        <is>
          <t>Dunlin Bank</t>
        </is>
      </c>
      <c r="N1835" t="inlineStr">
        <is>
          <t>BRYG</t>
        </is>
      </c>
      <c r="O1835" t="inlineStr">
        <is>
          <t>NEW</t>
        </is>
      </c>
      <c r="Q1835" t="inlineStr">
        <is>
          <t>GROSS</t>
        </is>
      </c>
    </row>
    <row r="1836">
      <c r="A1836" t="inlineStr">
        <is>
          <t>150316825069</t>
        </is>
      </c>
      <c r="B1836" t="inlineStr">
        <is>
          <t>TCQ</t>
        </is>
      </c>
      <c r="C1836" t="inlineStr">
        <is>
          <t>BRGX</t>
        </is>
      </c>
      <c r="D1836" s="6" t="n">
        <v>46254</v>
      </c>
      <c r="E1836" t="inlineStr">
        <is>
          <t>CR</t>
        </is>
      </c>
      <c r="F1836" t="inlineStr">
        <is>
          <t>GBP</t>
        </is>
      </c>
      <c r="G1836" s="7" t="n">
        <v>32825646.569</v>
      </c>
      <c r="H1836" t="inlineStr">
        <is>
          <t>GBP</t>
        </is>
      </c>
      <c r="I1836" s="7" t="n">
        <v>32825646.569</v>
      </c>
      <c r="J1836" s="8" t="n">
        <v>46254.64878472222</v>
      </c>
      <c r="K1836" t="inlineStr">
        <is>
          <t>CF260820 01830</t>
        </is>
      </c>
      <c r="L1836" t="inlineStr">
        <is>
          <t>GL.NOSTRO.GBP.BRGX.009</t>
        </is>
      </c>
      <c r="M1836" t="inlineStr">
        <is>
          <t>Fernway Settlement Bank</t>
        </is>
      </c>
      <c r="N1836" t="inlineStr">
        <is>
          <t>BRGXCASH</t>
        </is>
      </c>
      <c r="O1836" t="inlineStr">
        <is>
          <t>NEW</t>
        </is>
      </c>
      <c r="Q1836" t="inlineStr">
        <is>
          <t>GROSS</t>
        </is>
      </c>
    </row>
    <row r="1837">
      <c r="A1837" t="inlineStr">
        <is>
          <t>468341071172</t>
        </is>
      </c>
      <c r="B1837" t="inlineStr">
        <is>
          <t>TCX</t>
        </is>
      </c>
      <c r="C1837" t="inlineStr">
        <is>
          <t>BRCC</t>
        </is>
      </c>
      <c r="D1837" s="6" t="n">
        <v>46254</v>
      </c>
      <c r="E1837" t="inlineStr">
        <is>
          <t>DR</t>
        </is>
      </c>
      <c r="F1837" t="inlineStr">
        <is>
          <t>EUR</t>
        </is>
      </c>
      <c r="G1837" s="7" t="n">
        <v>-35936441.658</v>
      </c>
      <c r="H1837" t="inlineStr">
        <is>
          <t>GBP</t>
        </is>
      </c>
      <c r="I1837" s="7" t="n">
        <v>-30833466.943</v>
      </c>
      <c r="J1837" s="8" t="n">
        <v>46254.55005787037</v>
      </c>
      <c r="K1837" t="inlineStr">
        <is>
          <t>CF260820 01831</t>
        </is>
      </c>
      <c r="L1837" t="inlineStr">
        <is>
          <t>GL.NOSTRO.EUR.BRCC.006</t>
        </is>
      </c>
      <c r="M1837" t="inlineStr">
        <is>
          <t>Yarrow Bank</t>
        </is>
      </c>
      <c r="N1837" t="inlineStr">
        <is>
          <t>BRCC</t>
        </is>
      </c>
      <c r="O1837" t="inlineStr">
        <is>
          <t>NEW</t>
        </is>
      </c>
      <c r="P1837" t="inlineStr">
        <is>
          <t>NT26082000791</t>
        </is>
      </c>
      <c r="Q1837" t="inlineStr">
        <is>
          <t>NETTER</t>
        </is>
      </c>
    </row>
    <row r="1838">
      <c r="A1838" t="inlineStr">
        <is>
          <t>132544340094</t>
        </is>
      </c>
      <c r="B1838" t="inlineStr">
        <is>
          <t>TCX</t>
        </is>
      </c>
      <c r="C1838" t="inlineStr">
        <is>
          <t>BRYG</t>
        </is>
      </c>
      <c r="D1838" s="6" t="n">
        <v>46254</v>
      </c>
      <c r="E1838" t="inlineStr">
        <is>
          <t>CR</t>
        </is>
      </c>
      <c r="F1838" t="inlineStr">
        <is>
          <t>CZK</t>
        </is>
      </c>
      <c r="G1838" s="7" t="n">
        <v>24176221.617</v>
      </c>
      <c r="H1838" t="inlineStr">
        <is>
          <t>GBP</t>
        </is>
      </c>
      <c r="I1838" s="7" t="n">
        <v>819573.9129999999</v>
      </c>
      <c r="J1838" s="8" t="n">
        <v>46254.46197916667</v>
      </c>
      <c r="K1838" t="inlineStr">
        <is>
          <t>CF260820 01832</t>
        </is>
      </c>
      <c r="L1838" t="inlineStr">
        <is>
          <t>GL.NOSTRO.CZK.BRYG.008</t>
        </is>
      </c>
      <c r="M1838" t="inlineStr">
        <is>
          <t>Vetchling Settlement Bank</t>
        </is>
      </c>
      <c r="N1838" t="inlineStr">
        <is>
          <t>BRYGMM</t>
        </is>
      </c>
      <c r="O1838" t="inlineStr">
        <is>
          <t>NEW</t>
        </is>
      </c>
      <c r="P1838" t="inlineStr">
        <is>
          <t>NT26082000789</t>
        </is>
      </c>
      <c r="Q1838" t="inlineStr">
        <is>
          <t>INTERNAL</t>
        </is>
      </c>
    </row>
    <row r="1839">
      <c r="A1839" t="inlineStr">
        <is>
          <t>700726936098</t>
        </is>
      </c>
      <c r="B1839" t="inlineStr">
        <is>
          <t>TCC</t>
        </is>
      </c>
      <c r="C1839" t="inlineStr">
        <is>
          <t>BRMD</t>
        </is>
      </c>
      <c r="D1839" s="6" t="n">
        <v>46254</v>
      </c>
      <c r="E1839" t="inlineStr">
        <is>
          <t>DR</t>
        </is>
      </c>
      <c r="F1839" t="inlineStr">
        <is>
          <t>SAR</t>
        </is>
      </c>
      <c r="G1839" s="7" t="n">
        <v>-2504777.475</v>
      </c>
      <c r="H1839" t="inlineStr">
        <is>
          <t>GBP</t>
        </is>
      </c>
      <c r="I1839" s="7" t="n">
        <v>-523498.492</v>
      </c>
      <c r="J1839" s="8" t="n">
        <v>46254.66680555556</v>
      </c>
      <c r="K1839" t="inlineStr">
        <is>
          <t>CF260820 01833</t>
        </is>
      </c>
      <c r="L1839" t="inlineStr">
        <is>
          <t>GL.NOSTRO.SAR.BRMD.001</t>
        </is>
      </c>
      <c r="M1839" t="inlineStr">
        <is>
          <t>Vetchling Settlement Bank</t>
        </is>
      </c>
      <c r="N1839" t="inlineStr">
        <is>
          <t>BRMDMM</t>
        </is>
      </c>
      <c r="O1839" t="inlineStr">
        <is>
          <t>NEW</t>
        </is>
      </c>
      <c r="P1839" t="inlineStr">
        <is>
          <t>NT26082000794</t>
        </is>
      </c>
      <c r="Q1839" t="inlineStr">
        <is>
          <t>INTERNAL</t>
        </is>
      </c>
    </row>
    <row r="1840">
      <c r="A1840" t="inlineStr">
        <is>
          <t>120047354818</t>
        </is>
      </c>
      <c r="B1840" t="inlineStr">
        <is>
          <t>TCQ</t>
        </is>
      </c>
      <c r="C1840" t="inlineStr">
        <is>
          <t>BRNK</t>
        </is>
      </c>
      <c r="D1840" s="6" t="n">
        <v>46254</v>
      </c>
      <c r="E1840" t="inlineStr">
        <is>
          <t>CR</t>
        </is>
      </c>
      <c r="F1840" t="inlineStr">
        <is>
          <t>USD</t>
        </is>
      </c>
      <c r="G1840" s="7" t="n">
        <v>302096221.599</v>
      </c>
      <c r="H1840" t="inlineStr">
        <is>
          <t>GBP</t>
        </is>
      </c>
      <c r="I1840" s="7" t="n">
        <v>236843437.734</v>
      </c>
      <c r="J1840" s="8" t="n">
        <v>46254.52333333333</v>
      </c>
      <c r="K1840" t="inlineStr">
        <is>
          <t>CF260820 01834</t>
        </is>
      </c>
      <c r="L1840" t="inlineStr">
        <is>
          <t>GL.NOSTRO.USD.BRNK.004</t>
        </is>
      </c>
      <c r="M1840" t="inlineStr">
        <is>
          <t>Bramble Bank</t>
        </is>
      </c>
      <c r="N1840" t="inlineStr">
        <is>
          <t>BRNKTRSY</t>
        </is>
      </c>
      <c r="O1840" t="inlineStr">
        <is>
          <t>NEW</t>
        </is>
      </c>
      <c r="P1840" t="inlineStr">
        <is>
          <t>NT26082000797</t>
        </is>
      </c>
      <c r="Q1840" t="inlineStr">
        <is>
          <t>INTERNAL</t>
        </is>
      </c>
    </row>
    <row r="1841">
      <c r="A1841" t="inlineStr">
        <is>
          <t>898317028833</t>
        </is>
      </c>
      <c r="B1841" t="inlineStr">
        <is>
          <t>TCX</t>
        </is>
      </c>
      <c r="C1841" t="inlineStr">
        <is>
          <t>BRAA</t>
        </is>
      </c>
      <c r="D1841" s="6" t="n">
        <v>46254</v>
      </c>
      <c r="E1841" t="inlineStr">
        <is>
          <t>DR</t>
        </is>
      </c>
      <c r="F1841" t="inlineStr">
        <is>
          <t>GBP</t>
        </is>
      </c>
      <c r="G1841" s="7" t="n">
        <v>-531881752.53</v>
      </c>
      <c r="H1841" t="inlineStr">
        <is>
          <t>GBP</t>
        </is>
      </c>
      <c r="I1841" s="7" t="n">
        <v>-531881752.53</v>
      </c>
      <c r="J1841" s="8" t="n">
        <v>46254.76353009259</v>
      </c>
      <c r="K1841" t="inlineStr">
        <is>
          <t>CF260820 01835</t>
        </is>
      </c>
      <c r="L1841" t="inlineStr">
        <is>
          <t>GL.NOSTRO.GBP.BRAA.001</t>
        </is>
      </c>
      <c r="M1841" t="inlineStr">
        <is>
          <t>Sablewood Clearing</t>
        </is>
      </c>
      <c r="N1841" t="inlineStr">
        <is>
          <t>BRAATRSY</t>
        </is>
      </c>
      <c r="O1841" t="inlineStr">
        <is>
          <t>NEW</t>
        </is>
      </c>
      <c r="P1841" t="inlineStr">
        <is>
          <t>NT26082000803</t>
        </is>
      </c>
      <c r="Q1841" t="inlineStr">
        <is>
          <t>NETTER</t>
        </is>
      </c>
    </row>
    <row r="1842">
      <c r="A1842" t="inlineStr">
        <is>
          <t>150316825069</t>
        </is>
      </c>
      <c r="B1842" t="inlineStr">
        <is>
          <t>TCQ</t>
        </is>
      </c>
      <c r="C1842" t="inlineStr">
        <is>
          <t>BRGX</t>
        </is>
      </c>
      <c r="D1842" s="6" t="n">
        <v>46254</v>
      </c>
      <c r="E1842" t="inlineStr">
        <is>
          <t>DR</t>
        </is>
      </c>
      <c r="F1842" t="inlineStr">
        <is>
          <t>GBP</t>
        </is>
      </c>
      <c r="G1842" s="7" t="n">
        <v>-331849799.755</v>
      </c>
      <c r="H1842" t="inlineStr">
        <is>
          <t>GBP</t>
        </is>
      </c>
      <c r="I1842" s="7" t="n">
        <v>-331849799.755</v>
      </c>
      <c r="J1842" s="8" t="n">
        <v>46254.52089120371</v>
      </c>
      <c r="K1842" t="inlineStr">
        <is>
          <t>CF260820 01836</t>
        </is>
      </c>
      <c r="L1842" t="inlineStr">
        <is>
          <t>GL.NOSTRO.GBP.BRGX.005</t>
        </is>
      </c>
      <c r="M1842" t="inlineStr">
        <is>
          <t>Alder Trust</t>
        </is>
      </c>
      <c r="N1842" t="inlineStr">
        <is>
          <t>BRGXMM</t>
        </is>
      </c>
      <c r="O1842" t="inlineStr">
        <is>
          <t>NEW</t>
        </is>
      </c>
      <c r="Q1842" t="inlineStr">
        <is>
          <t>NETTER</t>
        </is>
      </c>
    </row>
    <row r="1843">
      <c r="A1843" t="inlineStr">
        <is>
          <t>171857983160</t>
        </is>
      </c>
      <c r="B1843" t="inlineStr">
        <is>
          <t>TCC</t>
        </is>
      </c>
      <c r="C1843" t="inlineStr">
        <is>
          <t>BRBX</t>
        </is>
      </c>
      <c r="D1843" s="6" t="n">
        <v>46254</v>
      </c>
      <c r="E1843" t="inlineStr">
        <is>
          <t>CR</t>
        </is>
      </c>
      <c r="F1843" t="inlineStr">
        <is>
          <t>AUD</t>
        </is>
      </c>
      <c r="G1843" s="7" t="n">
        <v>1427231.027</v>
      </c>
      <c r="H1843" t="inlineStr">
        <is>
          <t>GBP</t>
        </is>
      </c>
      <c r="I1843" s="7" t="n">
        <v>732169.517</v>
      </c>
      <c r="J1843" s="8" t="n">
        <v>46254.65560185185</v>
      </c>
      <c r="K1843" t="inlineStr">
        <is>
          <t>CF260820 01837</t>
        </is>
      </c>
      <c r="L1843" t="inlineStr">
        <is>
          <t>GL.NOSTRO.AUD.BRBX.001</t>
        </is>
      </c>
      <c r="M1843" t="inlineStr">
        <is>
          <t>Sablewood Commercial Bank</t>
        </is>
      </c>
      <c r="N1843" t="inlineStr">
        <is>
          <t>BRBXTRSY</t>
        </is>
      </c>
      <c r="O1843" t="inlineStr">
        <is>
          <t>NEW</t>
        </is>
      </c>
      <c r="P1843" t="inlineStr">
        <is>
          <t>NT26082000808</t>
        </is>
      </c>
      <c r="Q1843" t="inlineStr">
        <is>
          <t>GROSS</t>
        </is>
      </c>
    </row>
    <row r="1844">
      <c r="A1844" t="inlineStr">
        <is>
          <t>468341071172</t>
        </is>
      </c>
      <c r="B1844" t="inlineStr">
        <is>
          <t>TCX</t>
        </is>
      </c>
      <c r="C1844" t="inlineStr">
        <is>
          <t>BRCC</t>
        </is>
      </c>
      <c r="D1844" s="6" t="n">
        <v>46254</v>
      </c>
      <c r="E1844" t="inlineStr">
        <is>
          <t>DR</t>
        </is>
      </c>
      <c r="F1844" t="inlineStr">
        <is>
          <t>EUR</t>
        </is>
      </c>
      <c r="G1844" s="7" t="n">
        <v>-49846125.583</v>
      </c>
      <c r="H1844" t="inlineStr">
        <is>
          <t>GBP</t>
        </is>
      </c>
      <c r="I1844" s="7" t="n">
        <v>-42767975.75</v>
      </c>
      <c r="J1844" s="8" t="n">
        <v>46254.57969907407</v>
      </c>
      <c r="K1844" t="inlineStr">
        <is>
          <t>CF260820 01838</t>
        </is>
      </c>
      <c r="L1844" t="inlineStr">
        <is>
          <t>GL.NOSTRO.EUR.BRCC.009</t>
        </is>
      </c>
      <c r="M1844" t="inlineStr">
        <is>
          <t>Dunlin Trust</t>
        </is>
      </c>
      <c r="N1844" t="inlineStr">
        <is>
          <t>BRCCTRSY</t>
        </is>
      </c>
      <c r="O1844" t="inlineStr">
        <is>
          <t>NEW</t>
        </is>
      </c>
      <c r="Q1844" t="inlineStr">
        <is>
          <t>GROSS</t>
        </is>
      </c>
    </row>
    <row r="1845">
      <c r="A1845" t="inlineStr">
        <is>
          <t>621381112674</t>
        </is>
      </c>
      <c r="B1845" t="inlineStr">
        <is>
          <t>TCG</t>
        </is>
      </c>
      <c r="C1845" t="inlineStr">
        <is>
          <t>BRAA</t>
        </is>
      </c>
      <c r="D1845" s="6" t="n">
        <v>46254</v>
      </c>
      <c r="E1845" t="inlineStr">
        <is>
          <t>CR</t>
        </is>
      </c>
      <c r="F1845" t="inlineStr">
        <is>
          <t>PLN</t>
        </is>
      </c>
      <c r="G1845" s="7" t="n">
        <v>1443213.038</v>
      </c>
      <c r="H1845" t="inlineStr">
        <is>
          <t>GBP</t>
        </is>
      </c>
      <c r="I1845" s="7" t="n">
        <v>285756.182</v>
      </c>
      <c r="J1845" s="8" t="n">
        <v>46254.37053240741</v>
      </c>
      <c r="K1845" t="inlineStr">
        <is>
          <t>CF260820 01839</t>
        </is>
      </c>
      <c r="L1845" t="inlineStr">
        <is>
          <t>GL.NOSTRO.PLN.BRAA.007</t>
        </is>
      </c>
      <c r="M1845" t="inlineStr">
        <is>
          <t>Yarrow Commercial Bank</t>
        </is>
      </c>
      <c r="N1845" t="inlineStr">
        <is>
          <t>BRAA</t>
        </is>
      </c>
      <c r="O1845" t="inlineStr">
        <is>
          <t>NEW</t>
        </is>
      </c>
      <c r="P1845" t="inlineStr">
        <is>
          <t>NT26082000789</t>
        </is>
      </c>
      <c r="Q1845" t="inlineStr">
        <is>
          <t>NETTER</t>
        </is>
      </c>
    </row>
    <row r="1846">
      <c r="A1846" t="inlineStr">
        <is>
          <t>265771593142</t>
        </is>
      </c>
      <c r="B1846" t="inlineStr">
        <is>
          <t>TCP</t>
        </is>
      </c>
      <c r="C1846" t="inlineStr">
        <is>
          <t>BRYG</t>
        </is>
      </c>
      <c r="D1846" s="6" t="n">
        <v>46254</v>
      </c>
      <c r="E1846" t="inlineStr">
        <is>
          <t>DR</t>
        </is>
      </c>
      <c r="F1846" t="inlineStr">
        <is>
          <t>EUR</t>
        </is>
      </c>
      <c r="G1846" s="7" t="n">
        <v>-121865505.453</v>
      </c>
      <c r="H1846" t="inlineStr">
        <is>
          <t>GBP</t>
        </is>
      </c>
      <c r="I1846" s="7" t="n">
        <v>-104560603.679</v>
      </c>
      <c r="J1846" s="8" t="n">
        <v>46254.39864583333</v>
      </c>
      <c r="K1846" t="inlineStr">
        <is>
          <t>CF260820 01840</t>
        </is>
      </c>
      <c r="L1846" t="inlineStr">
        <is>
          <t>GL.NOSTRO.EUR.BRYG.009</t>
        </is>
      </c>
      <c r="M1846" t="inlineStr">
        <is>
          <t>Elmwood Clearing</t>
        </is>
      </c>
      <c r="N1846" t="inlineStr">
        <is>
          <t>BRYGMM</t>
        </is>
      </c>
      <c r="O1846" t="inlineStr">
        <is>
          <t>AMEND</t>
        </is>
      </c>
      <c r="Q1846" t="inlineStr">
        <is>
          <t>NETTER</t>
        </is>
      </c>
    </row>
    <row r="1847">
      <c r="A1847" t="inlineStr">
        <is>
          <t>468341071172</t>
        </is>
      </c>
      <c r="B1847" t="inlineStr">
        <is>
          <t>TCG</t>
        </is>
      </c>
      <c r="C1847" t="inlineStr">
        <is>
          <t>BRCC</t>
        </is>
      </c>
      <c r="D1847" s="6" t="n">
        <v>46254</v>
      </c>
      <c r="E1847" t="inlineStr">
        <is>
          <t>CR</t>
        </is>
      </c>
      <c r="F1847" t="inlineStr">
        <is>
          <t>EUR</t>
        </is>
      </c>
      <c r="G1847" s="7" t="n">
        <v>10231374145.609</v>
      </c>
      <c r="H1847" t="inlineStr">
        <is>
          <t>GBP</t>
        </is>
      </c>
      <c r="I1847" s="7" t="n">
        <v>8778519016.933001</v>
      </c>
      <c r="J1847" s="8" t="n">
        <v>46254.3940162037</v>
      </c>
      <c r="K1847" t="inlineStr">
        <is>
          <t>CF260820 01841</t>
        </is>
      </c>
      <c r="L1847" t="inlineStr">
        <is>
          <t>GL.NOSTRO.EUR.BRCC.006</t>
        </is>
      </c>
      <c r="M1847" t="inlineStr">
        <is>
          <t>Harrow Clearing</t>
        </is>
      </c>
      <c r="N1847" t="inlineStr">
        <is>
          <t>BRCCCASH</t>
        </is>
      </c>
      <c r="O1847" t="inlineStr">
        <is>
          <t>NEW</t>
        </is>
      </c>
      <c r="Q1847" t="inlineStr">
        <is>
          <t>INTERNAL</t>
        </is>
      </c>
    </row>
    <row r="1848">
      <c r="A1848" t="inlineStr">
        <is>
          <t>824840705580</t>
        </is>
      </c>
      <c r="B1848" t="inlineStr">
        <is>
          <t>TCG</t>
        </is>
      </c>
      <c r="C1848" t="inlineStr">
        <is>
          <t>BRGL</t>
        </is>
      </c>
      <c r="D1848" s="6" t="n">
        <v>46254</v>
      </c>
      <c r="E1848" t="inlineStr">
        <is>
          <t>DR</t>
        </is>
      </c>
      <c r="F1848" t="inlineStr">
        <is>
          <t>EUR</t>
        </is>
      </c>
      <c r="G1848" s="7" t="n">
        <v>-375346.423</v>
      </c>
      <c r="H1848" t="inlineStr">
        <is>
          <t>GBP</t>
        </is>
      </c>
      <c r="I1848" s="7" t="n">
        <v>-322047.231</v>
      </c>
      <c r="J1848" s="8" t="n">
        <v>46254.42932870371</v>
      </c>
      <c r="K1848" t="inlineStr">
        <is>
          <t>CF260820 01842</t>
        </is>
      </c>
      <c r="L1848" t="inlineStr">
        <is>
          <t>GL.NOSTRO.EUR.BRGL.005</t>
        </is>
      </c>
      <c r="M1848" t="inlineStr">
        <is>
          <t>Harrow Clearing</t>
        </is>
      </c>
      <c r="N1848" t="inlineStr">
        <is>
          <t>BRGL</t>
        </is>
      </c>
      <c r="O1848" t="inlineStr">
        <is>
          <t>NEW</t>
        </is>
      </c>
      <c r="Q1848" t="inlineStr">
        <is>
          <t>NETTER</t>
        </is>
      </c>
    </row>
    <row r="1849">
      <c r="A1849" t="inlineStr">
        <is>
          <t>150316825069</t>
        </is>
      </c>
      <c r="B1849" t="inlineStr">
        <is>
          <t>TCG</t>
        </is>
      </c>
      <c r="C1849" t="inlineStr">
        <is>
          <t>BRGX</t>
        </is>
      </c>
      <c r="D1849" s="6" t="n">
        <v>46254</v>
      </c>
      <c r="E1849" t="inlineStr">
        <is>
          <t>CR</t>
        </is>
      </c>
      <c r="F1849" t="inlineStr">
        <is>
          <t>GBP</t>
        </is>
      </c>
      <c r="G1849" s="7" t="n">
        <v>1408429.372</v>
      </c>
      <c r="H1849" t="inlineStr">
        <is>
          <t>GBP</t>
        </is>
      </c>
      <c r="I1849" s="7" t="n">
        <v>1408429.372</v>
      </c>
      <c r="J1849" s="8" t="n">
        <v>46254.69148148148</v>
      </c>
      <c r="K1849" t="inlineStr">
        <is>
          <t>CF260820 01843</t>
        </is>
      </c>
      <c r="L1849" t="inlineStr">
        <is>
          <t>GL.NOSTRO.GBP.BRGX.007</t>
        </is>
      </c>
      <c r="M1849" t="inlineStr">
        <is>
          <t>Redstart Commercial Bank</t>
        </is>
      </c>
      <c r="N1849" t="inlineStr">
        <is>
          <t>BRGXTRSY</t>
        </is>
      </c>
      <c r="O1849" t="inlineStr">
        <is>
          <t>NEW</t>
        </is>
      </c>
      <c r="Q1849" t="inlineStr">
        <is>
          <t>NETTER</t>
        </is>
      </c>
    </row>
    <row r="1850">
      <c r="A1850" t="inlineStr">
        <is>
          <t>499062838623</t>
        </is>
      </c>
      <c r="B1850" t="inlineStr">
        <is>
          <t>TCG</t>
        </is>
      </c>
      <c r="C1850" t="inlineStr">
        <is>
          <t>BRBX</t>
        </is>
      </c>
      <c r="D1850" s="6" t="n">
        <v>46254</v>
      </c>
      <c r="E1850" t="inlineStr">
        <is>
          <t>CR</t>
        </is>
      </c>
      <c r="F1850" t="inlineStr">
        <is>
          <t>USD</t>
        </is>
      </c>
      <c r="G1850" s="7" t="n">
        <v>161329714.629</v>
      </c>
      <c r="H1850" t="inlineStr">
        <is>
          <t>GBP</t>
        </is>
      </c>
      <c r="I1850" s="7" t="n">
        <v>126482496.269</v>
      </c>
      <c r="J1850" s="8" t="n">
        <v>46254.63932870371</v>
      </c>
      <c r="K1850" t="inlineStr">
        <is>
          <t>CF260820 01844</t>
        </is>
      </c>
      <c r="L1850" t="inlineStr">
        <is>
          <t>GL.NOSTRO.USD.BRBX.004</t>
        </is>
      </c>
      <c r="M1850" t="inlineStr">
        <is>
          <t>Sablewood Commercial Bank</t>
        </is>
      </c>
      <c r="N1850" t="inlineStr">
        <is>
          <t>BRBXMM</t>
        </is>
      </c>
      <c r="O1850" t="inlineStr">
        <is>
          <t>NEW</t>
        </is>
      </c>
      <c r="P1850" t="inlineStr">
        <is>
          <t>NT26082000814</t>
        </is>
      </c>
      <c r="Q1850" t="inlineStr">
        <is>
          <t>NETTER</t>
        </is>
      </c>
    </row>
    <row r="1851">
      <c r="A1851" t="inlineStr">
        <is>
          <t>898317028833</t>
        </is>
      </c>
      <c r="B1851" t="inlineStr">
        <is>
          <t>TCQ</t>
        </is>
      </c>
      <c r="C1851" t="inlineStr">
        <is>
          <t>BRAA</t>
        </is>
      </c>
      <c r="D1851" s="6" t="n">
        <v>46254</v>
      </c>
      <c r="E1851" t="inlineStr">
        <is>
          <t>DR</t>
        </is>
      </c>
      <c r="F1851" t="inlineStr">
        <is>
          <t>GBP</t>
        </is>
      </c>
      <c r="G1851" s="7" t="n">
        <v>-12347405.076</v>
      </c>
      <c r="H1851" t="inlineStr">
        <is>
          <t>GBP</t>
        </is>
      </c>
      <c r="I1851" s="7" t="n">
        <v>-12347405.076</v>
      </c>
      <c r="J1851" s="8" t="n">
        <v>46254.81378472222</v>
      </c>
      <c r="K1851" t="inlineStr">
        <is>
          <t>CF260820 01845</t>
        </is>
      </c>
      <c r="L1851" t="inlineStr">
        <is>
          <t>GL.NOSTRO.GBP.BRAA.008</t>
        </is>
      </c>
      <c r="M1851" t="inlineStr">
        <is>
          <t>Yarrow Commercial Bank</t>
        </is>
      </c>
      <c r="N1851" t="inlineStr">
        <is>
          <t>BRAACASH</t>
        </is>
      </c>
      <c r="O1851" t="inlineStr">
        <is>
          <t>NEW</t>
        </is>
      </c>
      <c r="Q1851" t="inlineStr">
        <is>
          <t>NETTER</t>
        </is>
      </c>
    </row>
    <row r="1852">
      <c r="A1852" t="inlineStr">
        <is>
          <t>700726936098</t>
        </is>
      </c>
      <c r="B1852" t="inlineStr">
        <is>
          <t>TCG</t>
        </is>
      </c>
      <c r="C1852" t="inlineStr">
        <is>
          <t>BRMD</t>
        </is>
      </c>
      <c r="D1852" s="6" t="n">
        <v>46254</v>
      </c>
      <c r="E1852" t="inlineStr">
        <is>
          <t>DR</t>
        </is>
      </c>
      <c r="F1852" t="inlineStr">
        <is>
          <t>SAR</t>
        </is>
      </c>
      <c r="G1852" s="7" t="n">
        <v>-3918398857.401</v>
      </c>
      <c r="H1852" t="inlineStr">
        <is>
          <t>GBP</t>
        </is>
      </c>
      <c r="I1852" s="7" t="n">
        <v>-818945361.197</v>
      </c>
      <c r="J1852" s="8" t="n">
        <v>46254.69104166667</v>
      </c>
      <c r="K1852" t="inlineStr">
        <is>
          <t>CF260820 01846</t>
        </is>
      </c>
      <c r="L1852" t="inlineStr">
        <is>
          <t>GL.NOSTRO.SAR.BRMD.005</t>
        </is>
      </c>
      <c r="M1852" t="inlineStr">
        <is>
          <t>Ironbark Commercial Bank</t>
        </is>
      </c>
      <c r="N1852" t="inlineStr">
        <is>
          <t>BRMDMM</t>
        </is>
      </c>
      <c r="O1852" t="inlineStr">
        <is>
          <t>NEW</t>
        </is>
      </c>
      <c r="Q1852" t="inlineStr">
        <is>
          <t>NETTER</t>
        </is>
      </c>
    </row>
    <row r="1853">
      <c r="A1853" t="inlineStr">
        <is>
          <t>499062838623</t>
        </is>
      </c>
      <c r="B1853" t="inlineStr">
        <is>
          <t>TCX</t>
        </is>
      </c>
      <c r="C1853" t="inlineStr">
        <is>
          <t>BRBX</t>
        </is>
      </c>
      <c r="D1853" s="6" t="n">
        <v>46254</v>
      </c>
      <c r="E1853" t="inlineStr">
        <is>
          <t>DR</t>
        </is>
      </c>
      <c r="F1853" t="inlineStr">
        <is>
          <t>USD</t>
        </is>
      </c>
      <c r="G1853" s="7" t="n">
        <v>-441433507.789</v>
      </c>
      <c r="H1853" t="inlineStr">
        <is>
          <t>GBP</t>
        </is>
      </c>
      <c r="I1853" s="7" t="n">
        <v>-346083870.107</v>
      </c>
      <c r="J1853" s="8" t="n">
        <v>46254.41940972222</v>
      </c>
      <c r="K1853" t="inlineStr">
        <is>
          <t>CF260820 01847</t>
        </is>
      </c>
      <c r="L1853" t="inlineStr">
        <is>
          <t>GL.NOSTRO.USD.BRBX.009</t>
        </is>
      </c>
      <c r="M1853" t="inlineStr">
        <is>
          <t>Mallow Commercial Bank</t>
        </is>
      </c>
      <c r="N1853" t="inlineStr">
        <is>
          <t>BRBX</t>
        </is>
      </c>
      <c r="O1853" t="inlineStr">
        <is>
          <t>NEW</t>
        </is>
      </c>
      <c r="Q1853" t="inlineStr">
        <is>
          <t>NETTER</t>
        </is>
      </c>
    </row>
    <row r="1854">
      <c r="A1854" t="inlineStr">
        <is>
          <t>499062838623</t>
        </is>
      </c>
      <c r="B1854" t="inlineStr">
        <is>
          <t>TCQ</t>
        </is>
      </c>
      <c r="C1854" t="inlineStr">
        <is>
          <t>BRBX</t>
        </is>
      </c>
      <c r="D1854" s="6" t="n">
        <v>46254</v>
      </c>
      <c r="E1854" t="inlineStr">
        <is>
          <t>DR</t>
        </is>
      </c>
      <c r="F1854" t="inlineStr">
        <is>
          <t>USD</t>
        </is>
      </c>
      <c r="G1854" s="7" t="n">
        <v>-34741292.067</v>
      </c>
      <c r="H1854" t="inlineStr">
        <is>
          <t>GBP</t>
        </is>
      </c>
      <c r="I1854" s="7" t="n">
        <v>-27237172.981</v>
      </c>
      <c r="J1854" s="8" t="n">
        <v>46254.4740625</v>
      </c>
      <c r="K1854" t="inlineStr">
        <is>
          <t>CF260820 01848</t>
        </is>
      </c>
      <c r="L1854" t="inlineStr">
        <is>
          <t>GL.NOSTRO.USD.BRBX.004</t>
        </is>
      </c>
      <c r="M1854" t="inlineStr">
        <is>
          <t>Pinehurst Clearing</t>
        </is>
      </c>
      <c r="N1854" t="inlineStr">
        <is>
          <t>BRBXTRSY</t>
        </is>
      </c>
      <c r="O1854" t="inlineStr">
        <is>
          <t>NEW</t>
        </is>
      </c>
      <c r="Q1854" t="inlineStr">
        <is>
          <t>INTERNAL</t>
        </is>
      </c>
    </row>
    <row r="1855">
      <c r="A1855" t="inlineStr">
        <is>
          <t>150316825069</t>
        </is>
      </c>
      <c r="B1855" t="inlineStr">
        <is>
          <t>TCQ</t>
        </is>
      </c>
      <c r="C1855" t="inlineStr">
        <is>
          <t>BRGX</t>
        </is>
      </c>
      <c r="D1855" s="6" t="n">
        <v>46254</v>
      </c>
      <c r="E1855" t="inlineStr">
        <is>
          <t>DR</t>
        </is>
      </c>
      <c r="F1855" t="inlineStr">
        <is>
          <t>GBP</t>
        </is>
      </c>
      <c r="G1855" s="7" t="n">
        <v>-1191793867.838</v>
      </c>
      <c r="H1855" t="inlineStr">
        <is>
          <t>GBP</t>
        </is>
      </c>
      <c r="I1855" s="7" t="n">
        <v>-1191793867.838</v>
      </c>
      <c r="J1855" s="8" t="n">
        <v>46254.77793981481</v>
      </c>
      <c r="K1855" t="inlineStr">
        <is>
          <t>CF260820 01849</t>
        </is>
      </c>
      <c r="L1855" t="inlineStr">
        <is>
          <t>GL.NOSTRO.GBP.BRGX.004</t>
        </is>
      </c>
      <c r="M1855" t="inlineStr">
        <is>
          <t>Alder Clearing</t>
        </is>
      </c>
      <c r="N1855" t="inlineStr">
        <is>
          <t>BRGX</t>
        </is>
      </c>
      <c r="O1855" t="inlineStr">
        <is>
          <t>NEW</t>
        </is>
      </c>
      <c r="P1855" t="inlineStr">
        <is>
          <t>NT26082000815</t>
        </is>
      </c>
      <c r="Q1855" t="inlineStr">
        <is>
          <t>GROSS</t>
        </is>
      </c>
    </row>
    <row r="1856">
      <c r="A1856" t="inlineStr">
        <is>
          <t>968942362772</t>
        </is>
      </c>
      <c r="B1856" t="inlineStr">
        <is>
          <t>TCG</t>
        </is>
      </c>
      <c r="C1856" t="inlineStr">
        <is>
          <t>BRYG</t>
        </is>
      </c>
      <c r="D1856" s="6" t="n">
        <v>46254</v>
      </c>
      <c r="E1856" t="inlineStr">
        <is>
          <t>CR</t>
        </is>
      </c>
      <c r="F1856" t="inlineStr">
        <is>
          <t>EUR</t>
        </is>
      </c>
      <c r="G1856" s="7" t="n">
        <v>726353575.3559999</v>
      </c>
      <c r="H1856" t="inlineStr">
        <is>
          <t>GBP</t>
        </is>
      </c>
      <c r="I1856" s="7" t="n">
        <v>623211367.655</v>
      </c>
      <c r="J1856" s="8" t="n">
        <v>46254.27458333333</v>
      </c>
      <c r="K1856" t="inlineStr">
        <is>
          <t>CF260820 01850</t>
        </is>
      </c>
      <c r="L1856" t="inlineStr">
        <is>
          <t>GL.NOSTRO.EUR.BRYG.002</t>
        </is>
      </c>
      <c r="M1856" t="inlineStr">
        <is>
          <t>Mallow Trust</t>
        </is>
      </c>
      <c r="N1856" t="inlineStr">
        <is>
          <t>BRYGCASH</t>
        </is>
      </c>
      <c r="O1856" t="inlineStr">
        <is>
          <t>NEW</t>
        </is>
      </c>
      <c r="Q1856" t="inlineStr">
        <is>
          <t>GROSS</t>
        </is>
      </c>
    </row>
    <row r="1857">
      <c r="A1857" t="inlineStr">
        <is>
          <t>794226063698</t>
        </is>
      </c>
      <c r="B1857" t="inlineStr">
        <is>
          <t>TCQ</t>
        </is>
      </c>
      <c r="C1857" t="inlineStr">
        <is>
          <t>BRMD</t>
        </is>
      </c>
      <c r="D1857" s="6" t="n">
        <v>46254</v>
      </c>
      <c r="E1857" t="inlineStr">
        <is>
          <t>CR</t>
        </is>
      </c>
      <c r="F1857" t="inlineStr">
        <is>
          <t>AED</t>
        </is>
      </c>
      <c r="G1857" s="7" t="n">
        <v>1.555</v>
      </c>
      <c r="H1857" t="inlineStr">
        <is>
          <t>GBP</t>
        </is>
      </c>
      <c r="I1857" s="7" t="n">
        <v>0.331</v>
      </c>
      <c r="J1857" s="8" t="n">
        <v>46254.60479166666</v>
      </c>
      <c r="K1857" t="inlineStr">
        <is>
          <t>CF260820 01851</t>
        </is>
      </c>
      <c r="L1857" t="inlineStr">
        <is>
          <t>GL.NOSTRO.AED.BRMD.002</t>
        </is>
      </c>
      <c r="M1857" t="inlineStr">
        <is>
          <t>Sablewood Clearing</t>
        </is>
      </c>
      <c r="N1857" t="inlineStr">
        <is>
          <t>BRMDCASH</t>
        </is>
      </c>
      <c r="O1857" t="inlineStr">
        <is>
          <t>AMEND</t>
        </is>
      </c>
      <c r="P1857" t="inlineStr">
        <is>
          <t>NT26082000824</t>
        </is>
      </c>
      <c r="Q1857" t="inlineStr">
        <is>
          <t>GROSS</t>
        </is>
      </c>
    </row>
    <row r="1858">
      <c r="A1858" t="inlineStr">
        <is>
          <t>968942362772</t>
        </is>
      </c>
      <c r="B1858" t="inlineStr">
        <is>
          <t>TCX</t>
        </is>
      </c>
      <c r="C1858" t="inlineStr">
        <is>
          <t>BRYG</t>
        </is>
      </c>
      <c r="D1858" s="6" t="n">
        <v>46254</v>
      </c>
      <c r="E1858" t="inlineStr">
        <is>
          <t>DR</t>
        </is>
      </c>
      <c r="F1858" t="inlineStr">
        <is>
          <t>EUR</t>
        </is>
      </c>
      <c r="G1858" s="7" t="n">
        <v>-269050360.689</v>
      </c>
      <c r="H1858" t="inlineStr">
        <is>
          <t>GBP</t>
        </is>
      </c>
      <c r="I1858" s="7" t="n">
        <v>-230845209.471</v>
      </c>
      <c r="J1858" s="8" t="n">
        <v>46254.61891203704</v>
      </c>
      <c r="K1858" t="inlineStr">
        <is>
          <t>CF260820 01852</t>
        </is>
      </c>
      <c r="L1858" t="inlineStr">
        <is>
          <t>GL.NOSTRO.EUR.BRYG.005</t>
        </is>
      </c>
      <c r="M1858" t="inlineStr">
        <is>
          <t>Alder Trust</t>
        </is>
      </c>
      <c r="N1858" t="inlineStr">
        <is>
          <t>BRYGTRSY</t>
        </is>
      </c>
      <c r="O1858" t="inlineStr">
        <is>
          <t>NEW</t>
        </is>
      </c>
      <c r="Q1858" t="inlineStr">
        <is>
          <t>NETTER</t>
        </is>
      </c>
    </row>
    <row r="1859">
      <c r="A1859" t="inlineStr">
        <is>
          <t>499062838623</t>
        </is>
      </c>
      <c r="B1859" t="inlineStr">
        <is>
          <t>TCX</t>
        </is>
      </c>
      <c r="C1859" t="inlineStr">
        <is>
          <t>BRBX</t>
        </is>
      </c>
      <c r="D1859" s="6" t="n">
        <v>46254</v>
      </c>
      <c r="E1859" t="inlineStr">
        <is>
          <t>DR</t>
        </is>
      </c>
      <c r="F1859" t="inlineStr">
        <is>
          <t>USD</t>
        </is>
      </c>
      <c r="G1859" s="7" t="n">
        <v>-9755771.617000001</v>
      </c>
      <c r="H1859" t="inlineStr">
        <is>
          <t>GBP</t>
        </is>
      </c>
      <c r="I1859" s="7" t="n">
        <v>-7648524.948</v>
      </c>
      <c r="J1859" s="8" t="n">
        <v>46254.49912037037</v>
      </c>
      <c r="K1859" t="inlineStr">
        <is>
          <t>CF260820 01853</t>
        </is>
      </c>
      <c r="L1859" t="inlineStr">
        <is>
          <t>GL.NOSTRO.USD.BRBX.003</t>
        </is>
      </c>
      <c r="M1859" t="inlineStr">
        <is>
          <t>Nightjar Trust</t>
        </is>
      </c>
      <c r="N1859" t="inlineStr">
        <is>
          <t>BRBX</t>
        </is>
      </c>
      <c r="O1859" t="inlineStr">
        <is>
          <t>NEW</t>
        </is>
      </c>
      <c r="P1859" t="inlineStr">
        <is>
          <t>NT26082000797</t>
        </is>
      </c>
      <c r="Q1859" t="inlineStr">
        <is>
          <t>NETTER</t>
        </is>
      </c>
    </row>
    <row r="1860">
      <c r="A1860" t="inlineStr">
        <is>
          <t>824840705580</t>
        </is>
      </c>
      <c r="B1860" t="inlineStr">
        <is>
          <t>TCG</t>
        </is>
      </c>
      <c r="C1860" t="inlineStr">
        <is>
          <t>BRGL</t>
        </is>
      </c>
      <c r="D1860" s="6" t="n">
        <v>46254</v>
      </c>
      <c r="E1860" t="inlineStr">
        <is>
          <t>CR</t>
        </is>
      </c>
      <c r="F1860" t="inlineStr">
        <is>
          <t>EUR</t>
        </is>
      </c>
      <c r="G1860" s="7" t="n">
        <v>753515640.487</v>
      </c>
      <c r="H1860" t="inlineStr">
        <is>
          <t>GBP</t>
        </is>
      </c>
      <c r="I1860" s="7" t="n">
        <v>646516419.538</v>
      </c>
      <c r="J1860" s="8" t="n">
        <v>46254.46188657408</v>
      </c>
      <c r="K1860" t="inlineStr">
        <is>
          <t>CF260820 01854</t>
        </is>
      </c>
      <c r="L1860" t="inlineStr">
        <is>
          <t>GL.NOSTRO.EUR.BRGL.001</t>
        </is>
      </c>
      <c r="M1860" t="inlineStr">
        <is>
          <t>Ironbark Commercial Bank</t>
        </is>
      </c>
      <c r="N1860" t="inlineStr">
        <is>
          <t>BRGLTRSY</t>
        </is>
      </c>
      <c r="O1860" t="inlineStr">
        <is>
          <t>CANCEL</t>
        </is>
      </c>
      <c r="Q1860" t="inlineStr">
        <is>
          <t>NETTER</t>
        </is>
      </c>
    </row>
    <row r="1861">
      <c r="A1861" t="inlineStr">
        <is>
          <t>968942362772</t>
        </is>
      </c>
      <c r="B1861" t="inlineStr">
        <is>
          <t>TCP</t>
        </is>
      </c>
      <c r="C1861" t="inlineStr">
        <is>
          <t>BRYG</t>
        </is>
      </c>
      <c r="D1861" s="6" t="n">
        <v>46254</v>
      </c>
      <c r="E1861" t="inlineStr">
        <is>
          <t>CR</t>
        </is>
      </c>
      <c r="F1861" t="inlineStr">
        <is>
          <t>EUR</t>
        </is>
      </c>
      <c r="G1861" s="7" t="n">
        <v>325252.576</v>
      </c>
      <c r="H1861" t="inlineStr">
        <is>
          <t>GBP</t>
        </is>
      </c>
      <c r="I1861" s="7" t="n">
        <v>279066.71</v>
      </c>
      <c r="J1861" s="8" t="n">
        <v>46254.26047453703</v>
      </c>
      <c r="K1861" t="inlineStr">
        <is>
          <t>CF260820 01855</t>
        </is>
      </c>
      <c r="L1861" t="inlineStr">
        <is>
          <t>GL.NOSTRO.EUR.BRYG.002</t>
        </is>
      </c>
      <c r="M1861" t="inlineStr">
        <is>
          <t>Cedar Commercial Bank</t>
        </is>
      </c>
      <c r="N1861" t="inlineStr">
        <is>
          <t>BRYGCASH</t>
        </is>
      </c>
      <c r="O1861" t="inlineStr">
        <is>
          <t>NEW</t>
        </is>
      </c>
      <c r="Q1861" t="inlineStr">
        <is>
          <t>NETTER</t>
        </is>
      </c>
    </row>
    <row r="1862">
      <c r="A1862" t="inlineStr">
        <is>
          <t>794226063698</t>
        </is>
      </c>
      <c r="B1862" t="inlineStr">
        <is>
          <t>TCG</t>
        </is>
      </c>
      <c r="C1862" t="inlineStr">
        <is>
          <t>BRMD</t>
        </is>
      </c>
      <c r="D1862" s="6" t="n">
        <v>46254</v>
      </c>
      <c r="E1862" t="inlineStr">
        <is>
          <t>CR</t>
        </is>
      </c>
      <c r="F1862" t="inlineStr">
        <is>
          <t>AED</t>
        </is>
      </c>
      <c r="G1862" s="7" t="n">
        <v>14833290.924</v>
      </c>
      <c r="H1862" t="inlineStr">
        <is>
          <t>GBP</t>
        </is>
      </c>
      <c r="I1862" s="7" t="n">
        <v>3159490.967</v>
      </c>
      <c r="J1862" s="8" t="n">
        <v>46254.84954861111</v>
      </c>
      <c r="K1862" t="inlineStr">
        <is>
          <t>CF260820 01856</t>
        </is>
      </c>
      <c r="L1862" t="inlineStr">
        <is>
          <t>GL.NOSTRO.AED.BRMD.004</t>
        </is>
      </c>
      <c r="M1862" t="inlineStr">
        <is>
          <t>Yarrow Commercial Bank</t>
        </is>
      </c>
      <c r="N1862" t="inlineStr">
        <is>
          <t>BRMDMM</t>
        </is>
      </c>
      <c r="O1862" t="inlineStr">
        <is>
          <t>NEW</t>
        </is>
      </c>
      <c r="P1862" t="inlineStr">
        <is>
          <t>NT26082000787</t>
        </is>
      </c>
      <c r="Q1862" t="inlineStr">
        <is>
          <t>GROSS</t>
        </is>
      </c>
    </row>
    <row r="1863">
      <c r="A1863" t="inlineStr">
        <is>
          <t>150316825069</t>
        </is>
      </c>
      <c r="B1863" t="inlineStr">
        <is>
          <t>TCX</t>
        </is>
      </c>
      <c r="C1863" t="inlineStr">
        <is>
          <t>BRGX</t>
        </is>
      </c>
      <c r="D1863" s="6" t="n">
        <v>46254</v>
      </c>
      <c r="E1863" t="inlineStr">
        <is>
          <t>CR</t>
        </is>
      </c>
      <c r="F1863" t="inlineStr">
        <is>
          <t>GBP</t>
        </is>
      </c>
      <c r="G1863" s="7" t="n">
        <v>61384525.6</v>
      </c>
      <c r="H1863" t="inlineStr">
        <is>
          <t>GBP</t>
        </is>
      </c>
      <c r="I1863" s="7" t="n">
        <v>61384525.6</v>
      </c>
      <c r="J1863" s="8" t="n">
        <v>46254.58930555556</v>
      </c>
      <c r="K1863" t="inlineStr">
        <is>
          <t>CF260820 01857</t>
        </is>
      </c>
      <c r="L1863" t="inlineStr">
        <is>
          <t>GL.NOSTRO.GBP.BRGX.006</t>
        </is>
      </c>
      <c r="M1863" t="inlineStr">
        <is>
          <t>Bramble Bank</t>
        </is>
      </c>
      <c r="N1863" t="inlineStr">
        <is>
          <t>BRGXCASH</t>
        </is>
      </c>
      <c r="O1863" t="inlineStr">
        <is>
          <t>AMEND</t>
        </is>
      </c>
      <c r="P1863" t="inlineStr">
        <is>
          <t>NT26082000819</t>
        </is>
      </c>
      <c r="Q1863" t="inlineStr">
        <is>
          <t>GROSS</t>
        </is>
      </c>
    </row>
    <row r="1864">
      <c r="A1864" t="inlineStr">
        <is>
          <t>794226063698</t>
        </is>
      </c>
      <c r="B1864" t="inlineStr">
        <is>
          <t>TCG</t>
        </is>
      </c>
      <c r="C1864" t="inlineStr">
        <is>
          <t>BRMD</t>
        </is>
      </c>
      <c r="D1864" s="6" t="n">
        <v>46254</v>
      </c>
      <c r="E1864" t="inlineStr">
        <is>
          <t>CR</t>
        </is>
      </c>
      <c r="F1864" t="inlineStr">
        <is>
          <t>AED</t>
        </is>
      </c>
      <c r="G1864" s="7" t="n">
        <v>54153231.274</v>
      </c>
      <c r="H1864" t="inlineStr">
        <is>
          <t>GBP</t>
        </is>
      </c>
      <c r="I1864" s="7" t="n">
        <v>11534638.261</v>
      </c>
      <c r="J1864" s="8" t="n">
        <v>46254.3453125</v>
      </c>
      <c r="K1864" t="inlineStr">
        <is>
          <t>CF260820 01858</t>
        </is>
      </c>
      <c r="L1864" t="inlineStr">
        <is>
          <t>GL.NOSTRO.AED.BRMD.008</t>
        </is>
      </c>
      <c r="M1864" t="inlineStr">
        <is>
          <t>Redstart Trust</t>
        </is>
      </c>
      <c r="N1864" t="inlineStr">
        <is>
          <t>BRMDMM</t>
        </is>
      </c>
      <c r="O1864" t="inlineStr">
        <is>
          <t>NEW</t>
        </is>
      </c>
      <c r="P1864" t="inlineStr">
        <is>
          <t>NT26082000812</t>
        </is>
      </c>
      <c r="Q1864" t="inlineStr">
        <is>
          <t>NETTER</t>
        </is>
      </c>
    </row>
    <row r="1865">
      <c r="A1865" t="inlineStr">
        <is>
          <t>910703979141</t>
        </is>
      </c>
      <c r="B1865" t="inlineStr">
        <is>
          <t>TCG</t>
        </is>
      </c>
      <c r="C1865" t="inlineStr">
        <is>
          <t>BRCC</t>
        </is>
      </c>
      <c r="D1865" s="6" t="n">
        <v>46254</v>
      </c>
      <c r="E1865" t="inlineStr">
        <is>
          <t>CR</t>
        </is>
      </c>
      <c r="F1865" t="inlineStr">
        <is>
          <t>CHF</t>
        </is>
      </c>
      <c r="G1865" s="7" t="n">
        <v>4436655.245</v>
      </c>
      <c r="H1865" t="inlineStr">
        <is>
          <t>GBP</t>
        </is>
      </c>
      <c r="I1865" s="7" t="n">
        <v>3979679.755</v>
      </c>
      <c r="J1865" s="8" t="n">
        <v>46254.52625</v>
      </c>
      <c r="K1865" t="inlineStr">
        <is>
          <t>CF260820 01859</t>
        </is>
      </c>
      <c r="L1865" t="inlineStr">
        <is>
          <t>GL.NOSTRO.CHF.BRCC.006</t>
        </is>
      </c>
      <c r="M1865" t="inlineStr">
        <is>
          <t>Larkspur Clearing</t>
        </is>
      </c>
      <c r="N1865" t="inlineStr">
        <is>
          <t>BRCCTRSY</t>
        </is>
      </c>
      <c r="O1865" t="inlineStr">
        <is>
          <t>NEW</t>
        </is>
      </c>
      <c r="P1865" t="inlineStr">
        <is>
          <t>NT26082000804</t>
        </is>
      </c>
      <c r="Q1865" t="inlineStr">
        <is>
          <t>GROSS</t>
        </is>
      </c>
    </row>
    <row r="1866">
      <c r="A1866" t="inlineStr">
        <is>
          <t>150316825069</t>
        </is>
      </c>
      <c r="B1866" t="inlineStr">
        <is>
          <t>TCC</t>
        </is>
      </c>
      <c r="C1866" t="inlineStr">
        <is>
          <t>BRGX</t>
        </is>
      </c>
      <c r="D1866" s="6" t="n">
        <v>46254</v>
      </c>
      <c r="E1866" t="inlineStr">
        <is>
          <t>DR</t>
        </is>
      </c>
      <c r="F1866" t="inlineStr">
        <is>
          <t>GBP</t>
        </is>
      </c>
      <c r="G1866" s="7" t="n">
        <v>-4655479.309</v>
      </c>
      <c r="H1866" t="inlineStr">
        <is>
          <t>GBP</t>
        </is>
      </c>
      <c r="I1866" s="7" t="n">
        <v>-4655479.309</v>
      </c>
      <c r="J1866" s="8" t="n">
        <v>46254.70271990741</v>
      </c>
      <c r="K1866" t="inlineStr">
        <is>
          <t>CF260820 01860</t>
        </is>
      </c>
      <c r="L1866" t="inlineStr">
        <is>
          <t>GL.NOSTRO.GBP.BRGX.006</t>
        </is>
      </c>
      <c r="M1866" t="inlineStr">
        <is>
          <t>Wrenfield Settlement Bank</t>
        </is>
      </c>
      <c r="N1866" t="inlineStr">
        <is>
          <t>BRGXTRSY</t>
        </is>
      </c>
      <c r="O1866" t="inlineStr">
        <is>
          <t>NEW</t>
        </is>
      </c>
      <c r="P1866" t="inlineStr">
        <is>
          <t>NT26082000821</t>
        </is>
      </c>
      <c r="Q1866" t="inlineStr">
        <is>
          <t>GROSS</t>
        </is>
      </c>
    </row>
    <row r="1867">
      <c r="A1867" t="inlineStr">
        <is>
          <t>150316825069</t>
        </is>
      </c>
      <c r="B1867" t="inlineStr">
        <is>
          <t>TCP</t>
        </is>
      </c>
      <c r="C1867" t="inlineStr">
        <is>
          <t>BRGX</t>
        </is>
      </c>
      <c r="D1867" s="6" t="n">
        <v>46254</v>
      </c>
      <c r="E1867" t="inlineStr">
        <is>
          <t>CR</t>
        </is>
      </c>
      <c r="F1867" t="inlineStr">
        <is>
          <t>GBP</t>
        </is>
      </c>
      <c r="G1867" s="7" t="n">
        <v>842554394.549</v>
      </c>
      <c r="H1867" t="inlineStr">
        <is>
          <t>GBP</t>
        </is>
      </c>
      <c r="I1867" s="7" t="n">
        <v>842554394.549</v>
      </c>
      <c r="J1867" s="8" t="n">
        <v>46254.38353009259</v>
      </c>
      <c r="K1867" t="inlineStr">
        <is>
          <t>CF260820 01861</t>
        </is>
      </c>
      <c r="L1867" t="inlineStr">
        <is>
          <t>GL.NOSTRO.GBP.BRGX.001</t>
        </is>
      </c>
      <c r="M1867" t="inlineStr">
        <is>
          <t>Vetchling Bank</t>
        </is>
      </c>
      <c r="N1867" t="inlineStr">
        <is>
          <t>BRGX</t>
        </is>
      </c>
      <c r="O1867" t="inlineStr">
        <is>
          <t>NEW</t>
        </is>
      </c>
      <c r="Q1867" t="inlineStr">
        <is>
          <t>GROSS</t>
        </is>
      </c>
    </row>
    <row r="1868">
      <c r="A1868" t="inlineStr">
        <is>
          <t>794226063698</t>
        </is>
      </c>
      <c r="B1868" t="inlineStr">
        <is>
          <t>TCQ</t>
        </is>
      </c>
      <c r="C1868" t="inlineStr">
        <is>
          <t>BRMD</t>
        </is>
      </c>
      <c r="D1868" s="6" t="n">
        <v>46254</v>
      </c>
      <c r="E1868" t="inlineStr">
        <is>
          <t>CR</t>
        </is>
      </c>
      <c r="F1868" t="inlineStr">
        <is>
          <t>AED</t>
        </is>
      </c>
      <c r="G1868" s="7" t="n">
        <v>8297972.68</v>
      </c>
      <c r="H1868" t="inlineStr">
        <is>
          <t>GBP</t>
        </is>
      </c>
      <c r="I1868" s="7" t="n">
        <v>1767468.181</v>
      </c>
      <c r="J1868" s="8" t="n">
        <v>46254.44961805556</v>
      </c>
      <c r="K1868" t="inlineStr">
        <is>
          <t>CF260820 01862</t>
        </is>
      </c>
      <c r="L1868" t="inlineStr">
        <is>
          <t>GL.NOSTRO.AED.BRMD.008</t>
        </is>
      </c>
      <c r="M1868" t="inlineStr">
        <is>
          <t>Vetchling Bank</t>
        </is>
      </c>
      <c r="N1868" t="inlineStr">
        <is>
          <t>BRMDMM</t>
        </is>
      </c>
      <c r="O1868" t="inlineStr">
        <is>
          <t>AMEND</t>
        </is>
      </c>
      <c r="Q1868" t="inlineStr">
        <is>
          <t>INTERNAL</t>
        </is>
      </c>
    </row>
    <row r="1869">
      <c r="A1869" t="inlineStr">
        <is>
          <t>171857983160</t>
        </is>
      </c>
      <c r="B1869" t="inlineStr">
        <is>
          <t>TCC</t>
        </is>
      </c>
      <c r="C1869" t="inlineStr">
        <is>
          <t>BRBX</t>
        </is>
      </c>
      <c r="D1869" s="6" t="n">
        <v>46254</v>
      </c>
      <c r="E1869" t="inlineStr">
        <is>
          <t>CR</t>
        </is>
      </c>
      <c r="F1869" t="inlineStr">
        <is>
          <t>AUD</t>
        </is>
      </c>
      <c r="G1869" s="7" t="n">
        <v>7619923.955</v>
      </c>
      <c r="H1869" t="inlineStr">
        <is>
          <t>GBP</t>
        </is>
      </c>
      <c r="I1869" s="7" t="n">
        <v>3909020.989</v>
      </c>
      <c r="J1869" s="8" t="n">
        <v>46254.30803240741</v>
      </c>
      <c r="K1869" t="inlineStr">
        <is>
          <t>CF260820 01863</t>
        </is>
      </c>
      <c r="L1869" t="inlineStr">
        <is>
          <t>GL.NOSTRO.AUD.BRBX.005</t>
        </is>
      </c>
      <c r="M1869" t="inlineStr">
        <is>
          <t>Ironbark Commercial Bank</t>
        </is>
      </c>
      <c r="N1869" t="inlineStr">
        <is>
          <t>BRBXCASH</t>
        </is>
      </c>
      <c r="O1869" t="inlineStr">
        <is>
          <t>NEW</t>
        </is>
      </c>
      <c r="P1869" t="inlineStr">
        <is>
          <t>NT26082000811</t>
        </is>
      </c>
      <c r="Q1869" t="inlineStr">
        <is>
          <t>NETTER</t>
        </is>
      </c>
    </row>
    <row r="1870">
      <c r="A1870" t="inlineStr">
        <is>
          <t>968942362772</t>
        </is>
      </c>
      <c r="B1870" t="inlineStr">
        <is>
          <t>TCG</t>
        </is>
      </c>
      <c r="C1870" t="inlineStr">
        <is>
          <t>BRYG</t>
        </is>
      </c>
      <c r="D1870" s="6" t="n">
        <v>46254</v>
      </c>
      <c r="E1870" t="inlineStr">
        <is>
          <t>CR</t>
        </is>
      </c>
      <c r="F1870" t="inlineStr">
        <is>
          <t>EUR</t>
        </is>
      </c>
      <c r="G1870" s="7" t="n">
        <v>14285838.224</v>
      </c>
      <c r="H1870" t="inlineStr">
        <is>
          <t>GBP</t>
        </is>
      </c>
      <c r="I1870" s="7" t="n">
        <v>12257249.196</v>
      </c>
      <c r="J1870" s="8" t="n">
        <v>46254.49578703703</v>
      </c>
      <c r="K1870" t="inlineStr">
        <is>
          <t>CF260820 01864</t>
        </is>
      </c>
      <c r="L1870" t="inlineStr">
        <is>
          <t>GL.NOSTRO.EUR.BRYG.003</t>
        </is>
      </c>
      <c r="M1870" t="inlineStr">
        <is>
          <t>Mallow Commercial Bank</t>
        </is>
      </c>
      <c r="N1870" t="inlineStr">
        <is>
          <t>BRYGTRSY</t>
        </is>
      </c>
      <c r="O1870" t="inlineStr">
        <is>
          <t>NEW</t>
        </is>
      </c>
      <c r="Q1870" t="inlineStr">
        <is>
          <t>NETTER</t>
        </is>
      </c>
    </row>
    <row r="1871">
      <c r="A1871" t="inlineStr">
        <is>
          <t>265771593142</t>
        </is>
      </c>
      <c r="B1871" t="inlineStr">
        <is>
          <t>TCX</t>
        </is>
      </c>
      <c r="C1871" t="inlineStr">
        <is>
          <t>BRYG</t>
        </is>
      </c>
      <c r="D1871" s="6" t="n">
        <v>46254</v>
      </c>
      <c r="E1871" t="inlineStr">
        <is>
          <t>DR</t>
        </is>
      </c>
      <c r="F1871" t="inlineStr">
        <is>
          <t>EUR</t>
        </is>
      </c>
      <c r="G1871" s="7" t="n">
        <v>-283009.394</v>
      </c>
      <c r="H1871" t="inlineStr">
        <is>
          <t>GBP</t>
        </is>
      </c>
      <c r="I1871" s="7" t="n">
        <v>-242822.06</v>
      </c>
      <c r="J1871" s="8" t="n">
        <v>46254.69373842593</v>
      </c>
      <c r="K1871" t="inlineStr">
        <is>
          <t>CF260820 01865</t>
        </is>
      </c>
      <c r="L1871" t="inlineStr">
        <is>
          <t>GL.NOSTRO.EUR.BRYG.009</t>
        </is>
      </c>
      <c r="M1871" t="inlineStr">
        <is>
          <t>Dunlin Trust</t>
        </is>
      </c>
      <c r="N1871" t="inlineStr">
        <is>
          <t>BRYGTRSY</t>
        </is>
      </c>
      <c r="O1871" t="inlineStr">
        <is>
          <t>NEW</t>
        </is>
      </c>
      <c r="Q1871" t="inlineStr">
        <is>
          <t>NETTER</t>
        </is>
      </c>
    </row>
    <row r="1872">
      <c r="A1872" t="inlineStr">
        <is>
          <t>132544340094</t>
        </is>
      </c>
      <c r="B1872" t="inlineStr">
        <is>
          <t>TCC</t>
        </is>
      </c>
      <c r="C1872" t="inlineStr">
        <is>
          <t>BRYG</t>
        </is>
      </c>
      <c r="D1872" s="6" t="n">
        <v>46254</v>
      </c>
      <c r="E1872" t="inlineStr">
        <is>
          <t>CR</t>
        </is>
      </c>
      <c r="F1872" t="inlineStr">
        <is>
          <t>CZK</t>
        </is>
      </c>
      <c r="G1872" s="7" t="n">
        <v>449452.663</v>
      </c>
      <c r="H1872" t="inlineStr">
        <is>
          <t>GBP</t>
        </is>
      </c>
      <c r="I1872" s="7" t="n">
        <v>15236.445</v>
      </c>
      <c r="J1872" s="8" t="n">
        <v>46254.73657407407</v>
      </c>
      <c r="K1872" t="inlineStr">
        <is>
          <t>CF260820 01866</t>
        </is>
      </c>
      <c r="L1872" t="inlineStr">
        <is>
          <t>GL.NOSTRO.CZK.BRYG.001</t>
        </is>
      </c>
      <c r="M1872" t="inlineStr">
        <is>
          <t>Vetchling Bank</t>
        </is>
      </c>
      <c r="N1872" t="inlineStr">
        <is>
          <t>BRYGCASH</t>
        </is>
      </c>
      <c r="O1872" t="inlineStr">
        <is>
          <t>NEW</t>
        </is>
      </c>
      <c r="Q1872" t="inlineStr">
        <is>
          <t>NETTER</t>
        </is>
      </c>
    </row>
    <row r="1873">
      <c r="A1873" t="inlineStr">
        <is>
          <t>898317028833</t>
        </is>
      </c>
      <c r="B1873" t="inlineStr">
        <is>
          <t>TCP</t>
        </is>
      </c>
      <c r="C1873" t="inlineStr">
        <is>
          <t>BRAA</t>
        </is>
      </c>
      <c r="D1873" s="6" t="n">
        <v>46254</v>
      </c>
      <c r="E1873" t="inlineStr">
        <is>
          <t>CR</t>
        </is>
      </c>
      <c r="F1873" t="inlineStr">
        <is>
          <t>GBP</t>
        </is>
      </c>
      <c r="G1873" s="7" t="n">
        <v>362833363.504</v>
      </c>
      <c r="H1873" t="inlineStr">
        <is>
          <t>GBP</t>
        </is>
      </c>
      <c r="I1873" s="7" t="n">
        <v>362833363.504</v>
      </c>
      <c r="J1873" s="8" t="n">
        <v>46254.30052083333</v>
      </c>
      <c r="K1873" t="inlineStr">
        <is>
          <t>CF260820 01867</t>
        </is>
      </c>
      <c r="L1873" t="inlineStr">
        <is>
          <t>GL.NOSTRO.GBP.BRAA.007</t>
        </is>
      </c>
      <c r="M1873" t="inlineStr">
        <is>
          <t>Oriel Trust</t>
        </is>
      </c>
      <c r="N1873" t="inlineStr">
        <is>
          <t>BRAATRSY</t>
        </is>
      </c>
      <c r="O1873" t="inlineStr">
        <is>
          <t>NEW</t>
        </is>
      </c>
      <c r="Q1873" t="inlineStr">
        <is>
          <t>NETTER</t>
        </is>
      </c>
    </row>
    <row r="1874">
      <c r="A1874" t="inlineStr">
        <is>
          <t>150316825069</t>
        </is>
      </c>
      <c r="B1874" t="inlineStr">
        <is>
          <t>TCP</t>
        </is>
      </c>
      <c r="C1874" t="inlineStr">
        <is>
          <t>BRGX</t>
        </is>
      </c>
      <c r="D1874" s="6" t="n">
        <v>46254</v>
      </c>
      <c r="E1874" t="inlineStr">
        <is>
          <t>CR</t>
        </is>
      </c>
      <c r="F1874" t="inlineStr">
        <is>
          <t>GBP</t>
        </is>
      </c>
      <c r="G1874" s="7" t="n">
        <v>5281828.453</v>
      </c>
      <c r="H1874" t="inlineStr">
        <is>
          <t>GBP</t>
        </is>
      </c>
      <c r="I1874" s="7" t="n">
        <v>5281828.453</v>
      </c>
      <c r="J1874" s="8" t="n">
        <v>46254.64209490741</v>
      </c>
      <c r="K1874" t="inlineStr">
        <is>
          <t>CF260820 01868</t>
        </is>
      </c>
      <c r="L1874" t="inlineStr">
        <is>
          <t>GL.NOSTRO.GBP.BRGX.007</t>
        </is>
      </c>
      <c r="M1874" t="inlineStr">
        <is>
          <t>Vetchling Settlement Bank</t>
        </is>
      </c>
      <c r="N1874" t="inlineStr">
        <is>
          <t>BRGXCASH</t>
        </is>
      </c>
      <c r="O1874" t="inlineStr">
        <is>
          <t>NEW</t>
        </is>
      </c>
      <c r="Q1874" t="inlineStr">
        <is>
          <t>NETTER</t>
        </is>
      </c>
    </row>
    <row r="1875">
      <c r="A1875" t="inlineStr">
        <is>
          <t>794226063698</t>
        </is>
      </c>
      <c r="B1875" t="inlineStr">
        <is>
          <t>TCX</t>
        </is>
      </c>
      <c r="C1875" t="inlineStr">
        <is>
          <t>BRMD</t>
        </is>
      </c>
      <c r="D1875" s="6" t="n">
        <v>46254</v>
      </c>
      <c r="E1875" t="inlineStr">
        <is>
          <t>CR</t>
        </is>
      </c>
      <c r="F1875" t="inlineStr">
        <is>
          <t>AED</t>
        </is>
      </c>
      <c r="G1875" s="7" t="n">
        <v>178683305.565</v>
      </c>
      <c r="H1875" t="inlineStr">
        <is>
          <t>GBP</t>
        </is>
      </c>
      <c r="I1875" s="7" t="n">
        <v>38059544.085</v>
      </c>
      <c r="J1875" s="8" t="n">
        <v>46254.32337962963</v>
      </c>
      <c r="K1875" t="inlineStr">
        <is>
          <t>CF260820 01869</t>
        </is>
      </c>
      <c r="L1875" t="inlineStr">
        <is>
          <t>GL.NOSTRO.AED.BRMD.001</t>
        </is>
      </c>
      <c r="M1875" t="inlineStr">
        <is>
          <t>Yarrow Bank</t>
        </is>
      </c>
      <c r="N1875" t="inlineStr">
        <is>
          <t>BRMDCASH</t>
        </is>
      </c>
      <c r="O1875" t="inlineStr">
        <is>
          <t>NEW</t>
        </is>
      </c>
      <c r="Q1875" t="inlineStr">
        <is>
          <t>NETTER</t>
        </is>
      </c>
    </row>
    <row r="1876">
      <c r="A1876" t="inlineStr">
        <is>
          <t>968942362772</t>
        </is>
      </c>
      <c r="B1876" t="inlineStr">
        <is>
          <t>TCP</t>
        </is>
      </c>
      <c r="C1876" t="inlineStr">
        <is>
          <t>BRYG</t>
        </is>
      </c>
      <c r="D1876" s="6" t="n">
        <v>46254</v>
      </c>
      <c r="E1876" t="inlineStr">
        <is>
          <t>DR</t>
        </is>
      </c>
      <c r="F1876" t="inlineStr">
        <is>
          <t>EUR</t>
        </is>
      </c>
      <c r="G1876" s="7" t="n">
        <v>-16993668.189</v>
      </c>
      <c r="H1876" t="inlineStr">
        <is>
          <t>GBP</t>
        </is>
      </c>
      <c r="I1876" s="7" t="n">
        <v>-14580567.306</v>
      </c>
      <c r="J1876" s="8" t="n">
        <v>46254.32909722222</v>
      </c>
      <c r="K1876" t="inlineStr">
        <is>
          <t>CF260820 01870</t>
        </is>
      </c>
      <c r="L1876" t="inlineStr">
        <is>
          <t>GL.NOSTRO.EUR.BRYG.008</t>
        </is>
      </c>
      <c r="M1876" t="inlineStr">
        <is>
          <t>Zephyr Bank</t>
        </is>
      </c>
      <c r="N1876" t="inlineStr">
        <is>
          <t>BRYGMM</t>
        </is>
      </c>
      <c r="O1876" t="inlineStr">
        <is>
          <t>NEW</t>
        </is>
      </c>
      <c r="P1876" t="inlineStr">
        <is>
          <t>NT26082000804</t>
        </is>
      </c>
      <c r="Q1876" t="inlineStr">
        <is>
          <t>INTERNAL</t>
        </is>
      </c>
    </row>
    <row r="1877">
      <c r="A1877" t="inlineStr">
        <is>
          <t>468341071172</t>
        </is>
      </c>
      <c r="B1877" t="inlineStr">
        <is>
          <t>TCP</t>
        </is>
      </c>
      <c r="C1877" t="inlineStr">
        <is>
          <t>BRCC</t>
        </is>
      </c>
      <c r="D1877" s="6" t="n">
        <v>46254</v>
      </c>
      <c r="E1877" t="inlineStr">
        <is>
          <t>DR</t>
        </is>
      </c>
      <c r="F1877" t="inlineStr">
        <is>
          <t>EUR</t>
        </is>
      </c>
      <c r="G1877" s="7" t="n">
        <v>-118003151.179</v>
      </c>
      <c r="H1877" t="inlineStr">
        <is>
          <t>GBP</t>
        </is>
      </c>
      <c r="I1877" s="7" t="n">
        <v>-101246703.712</v>
      </c>
      <c r="J1877" s="8" t="n">
        <v>46254.38240740741</v>
      </c>
      <c r="K1877" t="inlineStr">
        <is>
          <t>CF260820 01871</t>
        </is>
      </c>
      <c r="L1877" t="inlineStr">
        <is>
          <t>GL.NOSTRO.EUR.BRCC.006</t>
        </is>
      </c>
      <c r="M1877" t="inlineStr">
        <is>
          <t>Ironbark Trust</t>
        </is>
      </c>
      <c r="N1877" t="inlineStr">
        <is>
          <t>BRCCMM</t>
        </is>
      </c>
      <c r="O1877" t="inlineStr">
        <is>
          <t>NEW</t>
        </is>
      </c>
      <c r="P1877" t="inlineStr">
        <is>
          <t>NT26082000797</t>
        </is>
      </c>
      <c r="Q1877" t="inlineStr">
        <is>
          <t>GROSS</t>
        </is>
      </c>
    </row>
    <row r="1878">
      <c r="A1878" t="inlineStr">
        <is>
          <t>150316825069</t>
        </is>
      </c>
      <c r="B1878" t="inlineStr">
        <is>
          <t>TCP</t>
        </is>
      </c>
      <c r="C1878" t="inlineStr">
        <is>
          <t>BRGX</t>
        </is>
      </c>
      <c r="D1878" s="6" t="n">
        <v>46254</v>
      </c>
      <c r="E1878" t="inlineStr">
        <is>
          <t>DR</t>
        </is>
      </c>
      <c r="F1878" t="inlineStr">
        <is>
          <t>GBP</t>
        </is>
      </c>
      <c r="G1878" s="7" t="n">
        <v>-8086477.568</v>
      </c>
      <c r="H1878" t="inlineStr">
        <is>
          <t>GBP</t>
        </is>
      </c>
      <c r="I1878" s="7" t="n">
        <v>-8086477.568</v>
      </c>
      <c r="J1878" s="8" t="n">
        <v>46254.27932870371</v>
      </c>
      <c r="K1878" t="inlineStr">
        <is>
          <t>CF260820 01872</t>
        </is>
      </c>
      <c r="L1878" t="inlineStr">
        <is>
          <t>GL.NOSTRO.GBP.BRGX.007</t>
        </is>
      </c>
      <c r="M1878" t="inlineStr">
        <is>
          <t>Bramble Bank</t>
        </is>
      </c>
      <c r="N1878" t="inlineStr">
        <is>
          <t>BRGXMM</t>
        </is>
      </c>
      <c r="O1878" t="inlineStr">
        <is>
          <t>NEW</t>
        </is>
      </c>
      <c r="Q1878" t="inlineStr">
        <is>
          <t>NETTER</t>
        </is>
      </c>
    </row>
    <row r="1879">
      <c r="A1879" t="inlineStr">
        <is>
          <t>499062838623</t>
        </is>
      </c>
      <c r="B1879" t="inlineStr">
        <is>
          <t>TCQ</t>
        </is>
      </c>
      <c r="C1879" t="inlineStr">
        <is>
          <t>BRBX</t>
        </is>
      </c>
      <c r="D1879" s="6" t="n">
        <v>46254</v>
      </c>
      <c r="E1879" t="inlineStr">
        <is>
          <t>CR</t>
        </is>
      </c>
      <c r="F1879" t="inlineStr">
        <is>
          <t>USD</t>
        </is>
      </c>
      <c r="G1879" s="7" t="n">
        <v>2473.626</v>
      </c>
      <c r="H1879" t="inlineStr">
        <is>
          <t>GBP</t>
        </is>
      </c>
      <c r="I1879" s="7" t="n">
        <v>1939.323</v>
      </c>
      <c r="J1879" s="8" t="n">
        <v>46254.17048611111</v>
      </c>
      <c r="K1879" t="inlineStr">
        <is>
          <t>CF260820 01873</t>
        </is>
      </c>
      <c r="L1879" t="inlineStr">
        <is>
          <t>GL.NOSTRO.USD.BRBX.007</t>
        </is>
      </c>
      <c r="M1879" t="inlineStr">
        <is>
          <t>Harrow Clearing</t>
        </is>
      </c>
      <c r="N1879" t="inlineStr">
        <is>
          <t>BRBXMM</t>
        </is>
      </c>
      <c r="O1879" t="inlineStr">
        <is>
          <t>NEW</t>
        </is>
      </c>
      <c r="P1879" t="inlineStr">
        <is>
          <t>NT26082000816</t>
        </is>
      </c>
      <c r="Q1879" t="inlineStr">
        <is>
          <t>NETTER</t>
        </is>
      </c>
    </row>
    <row r="1880">
      <c r="A1880" t="inlineStr">
        <is>
          <t>120047354818</t>
        </is>
      </c>
      <c r="B1880" t="inlineStr">
        <is>
          <t>TCG</t>
        </is>
      </c>
      <c r="C1880" t="inlineStr">
        <is>
          <t>BRNK</t>
        </is>
      </c>
      <c r="D1880" s="6" t="n">
        <v>46254</v>
      </c>
      <c r="E1880" t="inlineStr">
        <is>
          <t>DR</t>
        </is>
      </c>
      <c r="F1880" t="inlineStr">
        <is>
          <t>USD</t>
        </is>
      </c>
      <c r="G1880" s="7" t="n">
        <v>-4409099.938</v>
      </c>
      <c r="H1880" t="inlineStr">
        <is>
          <t>GBP</t>
        </is>
      </c>
      <c r="I1880" s="7" t="n">
        <v>-3456734.351</v>
      </c>
      <c r="J1880" s="8" t="n">
        <v>46254.56351851852</v>
      </c>
      <c r="K1880" t="inlineStr">
        <is>
          <t>CF260820 01874</t>
        </is>
      </c>
      <c r="L1880" t="inlineStr">
        <is>
          <t>GL.NOSTRO.USD.BRNK.003</t>
        </is>
      </c>
      <c r="M1880" t="inlineStr">
        <is>
          <t>Yarrow Bank</t>
        </is>
      </c>
      <c r="N1880" t="inlineStr">
        <is>
          <t>BRNKMM</t>
        </is>
      </c>
      <c r="O1880" t="inlineStr">
        <is>
          <t>CANCEL</t>
        </is>
      </c>
      <c r="P1880" t="inlineStr">
        <is>
          <t>NT26082000825</t>
        </is>
      </c>
      <c r="Q1880" t="inlineStr">
        <is>
          <t>GROSS</t>
        </is>
      </c>
    </row>
    <row r="1881">
      <c r="A1881" t="inlineStr">
        <is>
          <t>968942362772</t>
        </is>
      </c>
      <c r="B1881" t="inlineStr">
        <is>
          <t>TCX</t>
        </is>
      </c>
      <c r="C1881" t="inlineStr">
        <is>
          <t>BRYG</t>
        </is>
      </c>
      <c r="D1881" s="6" t="n">
        <v>46254</v>
      </c>
      <c r="E1881" t="inlineStr">
        <is>
          <t>DR</t>
        </is>
      </c>
      <c r="F1881" t="inlineStr">
        <is>
          <t>EUR</t>
        </is>
      </c>
      <c r="G1881" s="7" t="n">
        <v>-203280696.083</v>
      </c>
      <c r="H1881" t="inlineStr">
        <is>
          <t>GBP</t>
        </is>
      </c>
      <c r="I1881" s="7" t="n">
        <v>-174414837.239</v>
      </c>
      <c r="J1881" s="8" t="n">
        <v>46254.70614583333</v>
      </c>
      <c r="K1881" t="inlineStr">
        <is>
          <t>CF260820 01875</t>
        </is>
      </c>
      <c r="L1881" t="inlineStr">
        <is>
          <t>GL.NOSTRO.EUR.BRYG.004</t>
        </is>
      </c>
      <c r="M1881" t="inlineStr">
        <is>
          <t>Fernway Settlement Bank</t>
        </is>
      </c>
      <c r="N1881" t="inlineStr">
        <is>
          <t>BRYGMM</t>
        </is>
      </c>
      <c r="O1881" t="inlineStr">
        <is>
          <t>NEW</t>
        </is>
      </c>
      <c r="Q1881" t="inlineStr">
        <is>
          <t>INTERNAL</t>
        </is>
      </c>
    </row>
    <row r="1882">
      <c r="A1882" t="inlineStr">
        <is>
          <t>499062838623</t>
        </is>
      </c>
      <c r="B1882" t="inlineStr">
        <is>
          <t>TCG</t>
        </is>
      </c>
      <c r="C1882" t="inlineStr">
        <is>
          <t>BRBX</t>
        </is>
      </c>
      <c r="D1882" s="6" t="n">
        <v>46254</v>
      </c>
      <c r="E1882" t="inlineStr">
        <is>
          <t>DR</t>
        </is>
      </c>
      <c r="F1882" t="inlineStr">
        <is>
          <t>USD</t>
        </is>
      </c>
      <c r="G1882" s="7" t="n">
        <v>-85589399.56299999</v>
      </c>
      <c r="H1882" t="inlineStr">
        <is>
          <t>GBP</t>
        </is>
      </c>
      <c r="I1882" s="7" t="n">
        <v>-67102089.257</v>
      </c>
      <c r="J1882" s="8" t="n">
        <v>46254.42521990741</v>
      </c>
      <c r="K1882" t="inlineStr">
        <is>
          <t>CF260820 01876</t>
        </is>
      </c>
      <c r="L1882" t="inlineStr">
        <is>
          <t>GL.NOSTRO.USD.BRBX.001</t>
        </is>
      </c>
      <c r="M1882" t="inlineStr">
        <is>
          <t>Juniper Settlement Bank</t>
        </is>
      </c>
      <c r="N1882" t="inlineStr">
        <is>
          <t>BRBX</t>
        </is>
      </c>
      <c r="O1882" t="inlineStr">
        <is>
          <t>NEW</t>
        </is>
      </c>
      <c r="Q1882" t="inlineStr">
        <is>
          <t>NETTER</t>
        </is>
      </c>
    </row>
    <row r="1883">
      <c r="A1883" t="inlineStr">
        <is>
          <t>794226063698</t>
        </is>
      </c>
      <c r="B1883" t="inlineStr">
        <is>
          <t>TCQ</t>
        </is>
      </c>
      <c r="C1883" t="inlineStr">
        <is>
          <t>BRMD</t>
        </is>
      </c>
      <c r="D1883" s="6" t="n">
        <v>46254</v>
      </c>
      <c r="E1883" t="inlineStr">
        <is>
          <t>DR</t>
        </is>
      </c>
      <c r="F1883" t="inlineStr">
        <is>
          <t>AED</t>
        </is>
      </c>
      <c r="G1883" s="7" t="n">
        <v>-12178142.226</v>
      </c>
      <c r="H1883" t="inlineStr">
        <is>
          <t>GBP</t>
        </is>
      </c>
      <c r="I1883" s="7" t="n">
        <v>-2593944.294</v>
      </c>
      <c r="J1883" s="8" t="n">
        <v>46254.57659722222</v>
      </c>
      <c r="K1883" t="inlineStr">
        <is>
          <t>CF260820 01877</t>
        </is>
      </c>
      <c r="L1883" t="inlineStr">
        <is>
          <t>GL.NOSTRO.AED.BRMD.006</t>
        </is>
      </c>
      <c r="M1883" t="inlineStr">
        <is>
          <t>Granite Clearing</t>
        </is>
      </c>
      <c r="N1883" t="inlineStr">
        <is>
          <t>BRMDMM</t>
        </is>
      </c>
      <c r="O1883" t="inlineStr">
        <is>
          <t>NEW</t>
        </is>
      </c>
      <c r="Q1883" t="inlineStr">
        <is>
          <t>NETTER</t>
        </is>
      </c>
    </row>
    <row r="1884">
      <c r="A1884" t="inlineStr">
        <is>
          <t>171857983160</t>
        </is>
      </c>
      <c r="B1884" t="inlineStr">
        <is>
          <t>TCQ</t>
        </is>
      </c>
      <c r="C1884" t="inlineStr">
        <is>
          <t>BRBX</t>
        </is>
      </c>
      <c r="D1884" s="6" t="n">
        <v>46254</v>
      </c>
      <c r="E1884" t="inlineStr">
        <is>
          <t>DR</t>
        </is>
      </c>
      <c r="F1884" t="inlineStr">
        <is>
          <t>AUD</t>
        </is>
      </c>
      <c r="G1884" s="7" t="n">
        <v>-508685.084</v>
      </c>
      <c r="H1884" t="inlineStr">
        <is>
          <t>GBP</t>
        </is>
      </c>
      <c r="I1884" s="7" t="n">
        <v>-260955.448</v>
      </c>
      <c r="J1884" s="8" t="n">
        <v>46254.65480324074</v>
      </c>
      <c r="K1884" t="inlineStr">
        <is>
          <t>CF260820 01878</t>
        </is>
      </c>
      <c r="L1884" t="inlineStr">
        <is>
          <t>GL.NOSTRO.AUD.BRBX.009</t>
        </is>
      </c>
      <c r="M1884" t="inlineStr">
        <is>
          <t>Granite Clearing</t>
        </is>
      </c>
      <c r="N1884" t="inlineStr">
        <is>
          <t>BRBXMM</t>
        </is>
      </c>
      <c r="O1884" t="inlineStr">
        <is>
          <t>NEW</t>
        </is>
      </c>
      <c r="Q1884" t="inlineStr">
        <is>
          <t>NETTER</t>
        </is>
      </c>
    </row>
    <row r="1885">
      <c r="A1885" t="inlineStr">
        <is>
          <t>150316825069</t>
        </is>
      </c>
      <c r="B1885" t="inlineStr">
        <is>
          <t>TCC</t>
        </is>
      </c>
      <c r="C1885" t="inlineStr">
        <is>
          <t>BRGX</t>
        </is>
      </c>
      <c r="D1885" s="6" t="n">
        <v>46254</v>
      </c>
      <c r="E1885" t="inlineStr">
        <is>
          <t>CR</t>
        </is>
      </c>
      <c r="F1885" t="inlineStr">
        <is>
          <t>GBP</t>
        </is>
      </c>
      <c r="G1885" s="7" t="n">
        <v>3165209.682</v>
      </c>
      <c r="H1885" t="inlineStr">
        <is>
          <t>GBP</t>
        </is>
      </c>
      <c r="I1885" s="7" t="n">
        <v>3165209.682</v>
      </c>
      <c r="J1885" s="8" t="n">
        <v>46254.71241898148</v>
      </c>
      <c r="K1885" t="inlineStr">
        <is>
          <t>CF260820 01879</t>
        </is>
      </c>
      <c r="L1885" t="inlineStr">
        <is>
          <t>GL.NOSTRO.GBP.BRGX.009</t>
        </is>
      </c>
      <c r="M1885" t="inlineStr">
        <is>
          <t>Pinehurst Settlement Bank</t>
        </is>
      </c>
      <c r="N1885" t="inlineStr">
        <is>
          <t>BRGXTRSY</t>
        </is>
      </c>
      <c r="O1885" t="inlineStr">
        <is>
          <t>NEW</t>
        </is>
      </c>
      <c r="P1885" t="inlineStr">
        <is>
          <t>NT26082000802</t>
        </is>
      </c>
      <c r="Q1885" t="inlineStr">
        <is>
          <t>GROSS</t>
        </is>
      </c>
    </row>
    <row r="1886">
      <c r="A1886" t="inlineStr">
        <is>
          <t>499062838623</t>
        </is>
      </c>
      <c r="B1886" t="inlineStr">
        <is>
          <t>TCX</t>
        </is>
      </c>
      <c r="C1886" t="inlineStr">
        <is>
          <t>BRBX</t>
        </is>
      </c>
      <c r="D1886" s="6" t="n">
        <v>46254</v>
      </c>
      <c r="E1886" t="inlineStr">
        <is>
          <t>DR</t>
        </is>
      </c>
      <c r="F1886" t="inlineStr">
        <is>
          <t>USD</t>
        </is>
      </c>
      <c r="G1886" s="7" t="n">
        <v>-8326613.267</v>
      </c>
      <c r="H1886" t="inlineStr">
        <is>
          <t>GBP</t>
        </is>
      </c>
      <c r="I1886" s="7" t="n">
        <v>-6528064.801</v>
      </c>
      <c r="J1886" s="8" t="n">
        <v>46254.66598379629</v>
      </c>
      <c r="K1886" t="inlineStr">
        <is>
          <t>CF260820 01880</t>
        </is>
      </c>
      <c r="L1886" t="inlineStr">
        <is>
          <t>GL.NOSTRO.USD.BRBX.004</t>
        </is>
      </c>
      <c r="M1886" t="inlineStr">
        <is>
          <t>Pinehurst Bank</t>
        </is>
      </c>
      <c r="N1886" t="inlineStr">
        <is>
          <t>BRBX</t>
        </is>
      </c>
      <c r="O1886" t="inlineStr">
        <is>
          <t>NEW</t>
        </is>
      </c>
      <c r="Q1886" t="inlineStr">
        <is>
          <t>NETTER</t>
        </is>
      </c>
    </row>
    <row r="1887">
      <c r="A1887" t="inlineStr">
        <is>
          <t>113829985108</t>
        </is>
      </c>
      <c r="B1887" t="inlineStr">
        <is>
          <t>TCP</t>
        </is>
      </c>
      <c r="C1887" t="inlineStr">
        <is>
          <t>BRGL</t>
        </is>
      </c>
      <c r="D1887" s="6" t="n">
        <v>46254</v>
      </c>
      <c r="E1887" t="inlineStr">
        <is>
          <t>CR</t>
        </is>
      </c>
      <c r="F1887" t="inlineStr">
        <is>
          <t>EUR</t>
        </is>
      </c>
      <c r="G1887" s="7" t="n">
        <v>17669997.323</v>
      </c>
      <c r="H1887" t="inlineStr">
        <is>
          <t>GBP</t>
        </is>
      </c>
      <c r="I1887" s="7" t="n">
        <v>15160857.703</v>
      </c>
      <c r="J1887" s="8" t="n">
        <v>46254.37085648148</v>
      </c>
      <c r="K1887" t="inlineStr">
        <is>
          <t>CF260820 01881</t>
        </is>
      </c>
      <c r="L1887" t="inlineStr">
        <is>
          <t>GL.NOSTRO.EUR.BRGL.004</t>
        </is>
      </c>
      <c r="M1887" t="inlineStr">
        <is>
          <t>Zephyr Bank</t>
        </is>
      </c>
      <c r="N1887" t="inlineStr">
        <is>
          <t>BRGL</t>
        </is>
      </c>
      <c r="O1887" t="inlineStr">
        <is>
          <t>NEW</t>
        </is>
      </c>
      <c r="P1887" t="inlineStr">
        <is>
          <t>NT26082000806</t>
        </is>
      </c>
      <c r="Q1887" t="inlineStr">
        <is>
          <t>NETTER</t>
        </is>
      </c>
    </row>
    <row r="1888">
      <c r="A1888" t="inlineStr">
        <is>
          <t>898317028833</t>
        </is>
      </c>
      <c r="B1888" t="inlineStr">
        <is>
          <t>TCQ</t>
        </is>
      </c>
      <c r="C1888" t="inlineStr">
        <is>
          <t>BRAA</t>
        </is>
      </c>
      <c r="D1888" s="6" t="n">
        <v>46254</v>
      </c>
      <c r="E1888" t="inlineStr">
        <is>
          <t>CR</t>
        </is>
      </c>
      <c r="F1888" t="inlineStr">
        <is>
          <t>GBP</t>
        </is>
      </c>
      <c r="G1888" s="7" t="n">
        <v>1568.57</v>
      </c>
      <c r="H1888" t="inlineStr">
        <is>
          <t>GBP</t>
        </is>
      </c>
      <c r="I1888" s="7" t="n">
        <v>1568.57</v>
      </c>
      <c r="J1888" s="8" t="n">
        <v>46254.56760416667</v>
      </c>
      <c r="K1888" t="inlineStr">
        <is>
          <t>CF260820 01882</t>
        </is>
      </c>
      <c r="L1888" t="inlineStr">
        <is>
          <t>GL.NOSTRO.GBP.BRAA.003</t>
        </is>
      </c>
      <c r="M1888" t="inlineStr">
        <is>
          <t>Fernway Settlement Bank</t>
        </is>
      </c>
      <c r="N1888" t="inlineStr">
        <is>
          <t>BRAA</t>
        </is>
      </c>
      <c r="O1888" t="inlineStr">
        <is>
          <t>NEW</t>
        </is>
      </c>
      <c r="Q1888" t="inlineStr">
        <is>
          <t>NETTER</t>
        </is>
      </c>
    </row>
    <row r="1889">
      <c r="A1889" t="inlineStr">
        <is>
          <t>359365220160</t>
        </is>
      </c>
      <c r="B1889" t="inlineStr">
        <is>
          <t>TCQ</t>
        </is>
      </c>
      <c r="C1889" t="inlineStr">
        <is>
          <t>BRGX</t>
        </is>
      </c>
      <c r="D1889" s="6" t="n">
        <v>46254</v>
      </c>
      <c r="E1889" t="inlineStr">
        <is>
          <t>CR</t>
        </is>
      </c>
      <c r="F1889" t="inlineStr">
        <is>
          <t>EUR</t>
        </is>
      </c>
      <c r="G1889" s="7" t="n">
        <v>26244399.978</v>
      </c>
      <c r="H1889" t="inlineStr">
        <is>
          <t>GBP</t>
        </is>
      </c>
      <c r="I1889" s="7" t="n">
        <v>22517695.181</v>
      </c>
      <c r="J1889" s="8" t="n">
        <v>46254.42699074074</v>
      </c>
      <c r="K1889" t="inlineStr">
        <is>
          <t>CF260820 01883</t>
        </is>
      </c>
      <c r="L1889" t="inlineStr">
        <is>
          <t>GL.NOSTRO.EUR.BRGX.001</t>
        </is>
      </c>
      <c r="M1889" t="inlineStr">
        <is>
          <t>Wrenfield Settlement Bank</t>
        </is>
      </c>
      <c r="N1889" t="inlineStr">
        <is>
          <t>BRGXCASH</t>
        </is>
      </c>
      <c r="O1889" t="inlineStr">
        <is>
          <t>NEW</t>
        </is>
      </c>
      <c r="Q1889" t="inlineStr">
        <is>
          <t>NETTER</t>
        </is>
      </c>
    </row>
    <row r="1890">
      <c r="A1890" t="inlineStr">
        <is>
          <t>499062838623</t>
        </is>
      </c>
      <c r="B1890" t="inlineStr">
        <is>
          <t>TCP</t>
        </is>
      </c>
      <c r="C1890" t="inlineStr">
        <is>
          <t>BRBX</t>
        </is>
      </c>
      <c r="D1890" s="6" t="n">
        <v>46254</v>
      </c>
      <c r="E1890" t="inlineStr">
        <is>
          <t>CR</t>
        </is>
      </c>
      <c r="F1890" t="inlineStr">
        <is>
          <t>USD</t>
        </is>
      </c>
      <c r="G1890" s="7" t="n">
        <v>113142639.311</v>
      </c>
      <c r="H1890" t="inlineStr">
        <is>
          <t>GBP</t>
        </is>
      </c>
      <c r="I1890" s="7" t="n">
        <v>88703829.22</v>
      </c>
      <c r="J1890" s="8" t="n">
        <v>46254.55268518518</v>
      </c>
      <c r="K1890" t="inlineStr">
        <is>
          <t>CF260820 01884</t>
        </is>
      </c>
      <c r="L1890" t="inlineStr">
        <is>
          <t>GL.NOSTRO.USD.BRBX.004</t>
        </is>
      </c>
      <c r="M1890" t="inlineStr">
        <is>
          <t>Alder Trust</t>
        </is>
      </c>
      <c r="N1890" t="inlineStr">
        <is>
          <t>BRBXCASH</t>
        </is>
      </c>
      <c r="O1890" t="inlineStr">
        <is>
          <t>NEW</t>
        </is>
      </c>
      <c r="Q1890" t="inlineStr">
        <is>
          <t>NETTER</t>
        </is>
      </c>
    </row>
    <row r="1891">
      <c r="A1891" t="inlineStr">
        <is>
          <t>794226063698</t>
        </is>
      </c>
      <c r="B1891" t="inlineStr">
        <is>
          <t>TCG</t>
        </is>
      </c>
      <c r="C1891" t="inlineStr">
        <is>
          <t>BRMD</t>
        </is>
      </c>
      <c r="D1891" s="6" t="n">
        <v>46254</v>
      </c>
      <c r="E1891" t="inlineStr">
        <is>
          <t>DR</t>
        </is>
      </c>
      <c r="F1891" t="inlineStr">
        <is>
          <t>AED</t>
        </is>
      </c>
      <c r="G1891" s="7" t="n">
        <v>-34768131.26</v>
      </c>
      <c r="H1891" t="inlineStr">
        <is>
          <t>GBP</t>
        </is>
      </c>
      <c r="I1891" s="7" t="n">
        <v>-7405611.958</v>
      </c>
      <c r="J1891" s="8" t="n">
        <v>46254.59869212963</v>
      </c>
      <c r="K1891" t="inlineStr">
        <is>
          <t>CF260820 01885</t>
        </is>
      </c>
      <c r="L1891" t="inlineStr">
        <is>
          <t>GL.NOSTRO.AED.BRMD.002</t>
        </is>
      </c>
      <c r="M1891" t="inlineStr">
        <is>
          <t>Zephyr Commercial Bank</t>
        </is>
      </c>
      <c r="N1891" t="inlineStr">
        <is>
          <t>BRMDTRSY</t>
        </is>
      </c>
      <c r="O1891" t="inlineStr">
        <is>
          <t>NEW</t>
        </is>
      </c>
      <c r="P1891" t="inlineStr">
        <is>
          <t>NT26082000808</t>
        </is>
      </c>
      <c r="Q1891" t="inlineStr">
        <is>
          <t>GROSS</t>
        </is>
      </c>
    </row>
    <row r="1892">
      <c r="A1892" t="inlineStr">
        <is>
          <t>150316825069</t>
        </is>
      </c>
      <c r="B1892" t="inlineStr">
        <is>
          <t>TCG</t>
        </is>
      </c>
      <c r="C1892" t="inlineStr">
        <is>
          <t>BRGX</t>
        </is>
      </c>
      <c r="D1892" s="6" t="n">
        <v>46254</v>
      </c>
      <c r="E1892" t="inlineStr">
        <is>
          <t>DR</t>
        </is>
      </c>
      <c r="F1892" t="inlineStr">
        <is>
          <t>GBP</t>
        </is>
      </c>
      <c r="G1892" s="7" t="n">
        <v>-893419.482</v>
      </c>
      <c r="H1892" t="inlineStr">
        <is>
          <t>GBP</t>
        </is>
      </c>
      <c r="I1892" s="7" t="n">
        <v>-893419.482</v>
      </c>
      <c r="J1892" s="8" t="n">
        <v>46254.47450231481</v>
      </c>
      <c r="K1892" t="inlineStr">
        <is>
          <t>CF260820 01886</t>
        </is>
      </c>
      <c r="L1892" t="inlineStr">
        <is>
          <t>GL.NOSTRO.GBP.BRGX.006</t>
        </is>
      </c>
      <c r="M1892" t="inlineStr">
        <is>
          <t>Redstart Commercial Bank</t>
        </is>
      </c>
      <c r="N1892" t="inlineStr">
        <is>
          <t>BRGXMM</t>
        </is>
      </c>
      <c r="O1892" t="inlineStr">
        <is>
          <t>NEW</t>
        </is>
      </c>
      <c r="P1892" t="inlineStr">
        <is>
          <t>NT26082000809</t>
        </is>
      </c>
      <c r="Q1892" t="inlineStr">
        <is>
          <t>NETTER</t>
        </is>
      </c>
    </row>
    <row r="1893">
      <c r="A1893" t="inlineStr">
        <is>
          <t>794226063698</t>
        </is>
      </c>
      <c r="B1893" t="inlineStr">
        <is>
          <t>TCP</t>
        </is>
      </c>
      <c r="C1893" t="inlineStr">
        <is>
          <t>BRMD</t>
        </is>
      </c>
      <c r="D1893" s="6" t="n">
        <v>46254</v>
      </c>
      <c r="E1893" t="inlineStr">
        <is>
          <t>CR</t>
        </is>
      </c>
      <c r="F1893" t="inlineStr">
        <is>
          <t>AED</t>
        </is>
      </c>
      <c r="G1893" s="7" t="n">
        <v>9441244.107000001</v>
      </c>
      <c r="H1893" t="inlineStr">
        <is>
          <t>GBP</t>
        </is>
      </c>
      <c r="I1893" s="7" t="n">
        <v>2010984.995</v>
      </c>
      <c r="J1893" s="8" t="n">
        <v>46254.66613425926</v>
      </c>
      <c r="K1893" t="inlineStr">
        <is>
          <t>CF260820 01887</t>
        </is>
      </c>
      <c r="L1893" t="inlineStr">
        <is>
          <t>GL.NOSTRO.AED.BRMD.003</t>
        </is>
      </c>
      <c r="M1893" t="inlineStr">
        <is>
          <t>Yarrow Bank</t>
        </is>
      </c>
      <c r="N1893" t="inlineStr">
        <is>
          <t>BRMDMM</t>
        </is>
      </c>
      <c r="O1893" t="inlineStr">
        <is>
          <t>NEW</t>
        </is>
      </c>
      <c r="Q1893" t="inlineStr">
        <is>
          <t>NETTER</t>
        </is>
      </c>
    </row>
    <row r="1894">
      <c r="A1894" t="inlineStr">
        <is>
          <t>700726936098</t>
        </is>
      </c>
      <c r="B1894" t="inlineStr">
        <is>
          <t>TCG</t>
        </is>
      </c>
      <c r="C1894" t="inlineStr">
        <is>
          <t>BRMD</t>
        </is>
      </c>
      <c r="D1894" s="6" t="n">
        <v>46254</v>
      </c>
      <c r="E1894" t="inlineStr">
        <is>
          <t>DR</t>
        </is>
      </c>
      <c r="F1894" t="inlineStr">
        <is>
          <t>SAR</t>
        </is>
      </c>
      <c r="G1894" s="7" t="n">
        <v>-18657288.945</v>
      </c>
      <c r="H1894" t="inlineStr">
        <is>
          <t>GBP</t>
        </is>
      </c>
      <c r="I1894" s="7" t="n">
        <v>-3899373.39</v>
      </c>
      <c r="J1894" s="8" t="n">
        <v>46254.29633101852</v>
      </c>
      <c r="K1894" t="inlineStr">
        <is>
          <t>CF260820 01888</t>
        </is>
      </c>
      <c r="L1894" t="inlineStr">
        <is>
          <t>GL.NOSTRO.SAR.BRMD.004</t>
        </is>
      </c>
      <c r="M1894" t="inlineStr">
        <is>
          <t>Larkspur Clearing</t>
        </is>
      </c>
      <c r="N1894" t="inlineStr">
        <is>
          <t>BRMDMM</t>
        </is>
      </c>
      <c r="O1894" t="inlineStr">
        <is>
          <t>NEW</t>
        </is>
      </c>
      <c r="P1894" t="inlineStr">
        <is>
          <t>NT26082000795</t>
        </is>
      </c>
      <c r="Q1894" t="inlineStr">
        <is>
          <t>GROSS</t>
        </is>
      </c>
    </row>
    <row r="1895">
      <c r="A1895" t="inlineStr">
        <is>
          <t>499062838623</t>
        </is>
      </c>
      <c r="B1895" t="inlineStr">
        <is>
          <t>TCG</t>
        </is>
      </c>
      <c r="C1895" t="inlineStr">
        <is>
          <t>BRBX</t>
        </is>
      </c>
      <c r="D1895" s="6" t="n">
        <v>46254</v>
      </c>
      <c r="E1895" t="inlineStr">
        <is>
          <t>DR</t>
        </is>
      </c>
      <c r="F1895" t="inlineStr">
        <is>
          <t>USD</t>
        </is>
      </c>
      <c r="G1895" s="7" t="n">
        <v>-47854873.652</v>
      </c>
      <c r="H1895" t="inlineStr">
        <is>
          <t>GBP</t>
        </is>
      </c>
      <c r="I1895" s="7" t="n">
        <v>-37518220.943</v>
      </c>
      <c r="J1895" s="8" t="n">
        <v>46254.28923611111</v>
      </c>
      <c r="K1895" t="inlineStr">
        <is>
          <t>CF260820 01889</t>
        </is>
      </c>
      <c r="L1895" t="inlineStr">
        <is>
          <t>GL.NOSTRO.USD.BRBX.004</t>
        </is>
      </c>
      <c r="M1895" t="inlineStr">
        <is>
          <t>Alder Trust</t>
        </is>
      </c>
      <c r="N1895" t="inlineStr">
        <is>
          <t>BRBX</t>
        </is>
      </c>
      <c r="O1895" t="inlineStr">
        <is>
          <t>NEW</t>
        </is>
      </c>
      <c r="Q1895" t="inlineStr">
        <is>
          <t>NETTER</t>
        </is>
      </c>
    </row>
    <row r="1896">
      <c r="A1896" t="inlineStr">
        <is>
          <t>171857983160</t>
        </is>
      </c>
      <c r="B1896" t="inlineStr">
        <is>
          <t>TCG</t>
        </is>
      </c>
      <c r="C1896" t="inlineStr">
        <is>
          <t>BRBX</t>
        </is>
      </c>
      <c r="D1896" s="6" t="n">
        <v>46254</v>
      </c>
      <c r="E1896" t="inlineStr">
        <is>
          <t>CR</t>
        </is>
      </c>
      <c r="F1896" t="inlineStr">
        <is>
          <t>AUD</t>
        </is>
      </c>
      <c r="G1896" s="7" t="n">
        <v>23674310.361</v>
      </c>
      <c r="H1896" t="inlineStr">
        <is>
          <t>GBP</t>
        </is>
      </c>
      <c r="I1896" s="7" t="n">
        <v>12144921.215</v>
      </c>
      <c r="J1896" s="8" t="n">
        <v>46254.70003472222</v>
      </c>
      <c r="K1896" t="inlineStr">
        <is>
          <t>CF260820 01890</t>
        </is>
      </c>
      <c r="L1896" t="inlineStr">
        <is>
          <t>GL.NOSTRO.AUD.BRBX.009</t>
        </is>
      </c>
      <c r="M1896" t="inlineStr">
        <is>
          <t>Granite Clearing</t>
        </is>
      </c>
      <c r="N1896" t="inlineStr">
        <is>
          <t>BRBXCASH</t>
        </is>
      </c>
      <c r="O1896" t="inlineStr">
        <is>
          <t>NEW</t>
        </is>
      </c>
      <c r="Q1896" t="inlineStr">
        <is>
          <t>GROSS</t>
        </is>
      </c>
    </row>
    <row r="1897">
      <c r="A1897" t="inlineStr">
        <is>
          <t>468341071172</t>
        </is>
      </c>
      <c r="B1897" t="inlineStr">
        <is>
          <t>TCP</t>
        </is>
      </c>
      <c r="C1897" t="inlineStr">
        <is>
          <t>BRCC</t>
        </is>
      </c>
      <c r="D1897" s="6" t="n">
        <v>46254</v>
      </c>
      <c r="E1897" t="inlineStr">
        <is>
          <t>CR</t>
        </is>
      </c>
      <c r="F1897" t="inlineStr">
        <is>
          <t>EUR</t>
        </is>
      </c>
      <c r="G1897" s="7" t="n">
        <v>3035704.698</v>
      </c>
      <c r="H1897" t="inlineStr">
        <is>
          <t>GBP</t>
        </is>
      </c>
      <c r="I1897" s="7" t="n">
        <v>2604634.631</v>
      </c>
      <c r="J1897" s="8" t="n">
        <v>46254.30521990741</v>
      </c>
      <c r="K1897" t="inlineStr">
        <is>
          <t>CF260820 01891</t>
        </is>
      </c>
      <c r="L1897" t="inlineStr">
        <is>
          <t>GL.NOSTRO.EUR.BRCC.002</t>
        </is>
      </c>
      <c r="M1897" t="inlineStr">
        <is>
          <t>Dunlin Trust</t>
        </is>
      </c>
      <c r="N1897" t="inlineStr">
        <is>
          <t>BRCCTRSY</t>
        </is>
      </c>
      <c r="O1897" t="inlineStr">
        <is>
          <t>NEW</t>
        </is>
      </c>
      <c r="Q1897" t="inlineStr">
        <is>
          <t>GROSS</t>
        </is>
      </c>
    </row>
    <row r="1898">
      <c r="A1898" t="inlineStr">
        <is>
          <t>150316825069</t>
        </is>
      </c>
      <c r="B1898" t="inlineStr">
        <is>
          <t>TCQ</t>
        </is>
      </c>
      <c r="C1898" t="inlineStr">
        <is>
          <t>BRGX</t>
        </is>
      </c>
      <c r="D1898" s="6" t="n">
        <v>46254</v>
      </c>
      <c r="E1898" t="inlineStr">
        <is>
          <t>CR</t>
        </is>
      </c>
      <c r="F1898" t="inlineStr">
        <is>
          <t>GBP</t>
        </is>
      </c>
      <c r="G1898" s="7" t="n">
        <v>3388372.002</v>
      </c>
      <c r="H1898" t="inlineStr">
        <is>
          <t>GBP</t>
        </is>
      </c>
      <c r="I1898" s="7" t="n">
        <v>3388372.002</v>
      </c>
      <c r="J1898" s="8" t="n">
        <v>46254.46474537037</v>
      </c>
      <c r="K1898" t="inlineStr">
        <is>
          <t>CF260820 01892</t>
        </is>
      </c>
      <c r="L1898" t="inlineStr">
        <is>
          <t>GL.NOSTRO.GBP.BRGX.007</t>
        </is>
      </c>
      <c r="M1898" t="inlineStr">
        <is>
          <t>Redstart Trust</t>
        </is>
      </c>
      <c r="N1898" t="inlineStr">
        <is>
          <t>BRGXMM</t>
        </is>
      </c>
      <c r="O1898" t="inlineStr">
        <is>
          <t>NEW</t>
        </is>
      </c>
      <c r="Q1898" t="inlineStr">
        <is>
          <t>GROSS</t>
        </is>
      </c>
    </row>
    <row r="1899">
      <c r="A1899" t="inlineStr">
        <is>
          <t>265771593142</t>
        </is>
      </c>
      <c r="B1899" t="inlineStr">
        <is>
          <t>TCG</t>
        </is>
      </c>
      <c r="C1899" t="inlineStr">
        <is>
          <t>BRYG</t>
        </is>
      </c>
      <c r="D1899" s="6" t="n">
        <v>46254</v>
      </c>
      <c r="E1899" t="inlineStr">
        <is>
          <t>DR</t>
        </is>
      </c>
      <c r="F1899" t="inlineStr">
        <is>
          <t>EUR</t>
        </is>
      </c>
      <c r="G1899" s="7" t="n">
        <v>-44199363.036</v>
      </c>
      <c r="H1899" t="inlineStr">
        <is>
          <t>GBP</t>
        </is>
      </c>
      <c r="I1899" s="7" t="n">
        <v>-37923053.485</v>
      </c>
      <c r="J1899" s="8" t="n">
        <v>46254.51722222222</v>
      </c>
      <c r="K1899" t="inlineStr">
        <is>
          <t>CF260820 01893</t>
        </is>
      </c>
      <c r="L1899" t="inlineStr">
        <is>
          <t>GL.NOSTRO.EUR.BRYG.008</t>
        </is>
      </c>
      <c r="M1899" t="inlineStr">
        <is>
          <t>Elmwood Settlement Bank</t>
        </is>
      </c>
      <c r="N1899" t="inlineStr">
        <is>
          <t>BRYGTRSY</t>
        </is>
      </c>
      <c r="O1899" t="inlineStr">
        <is>
          <t>NEW</t>
        </is>
      </c>
      <c r="Q1899" t="inlineStr">
        <is>
          <t>NETTER</t>
        </is>
      </c>
    </row>
    <row r="1900">
      <c r="A1900" t="inlineStr">
        <is>
          <t>468341071172</t>
        </is>
      </c>
      <c r="B1900" t="inlineStr">
        <is>
          <t>TCP</t>
        </is>
      </c>
      <c r="C1900" t="inlineStr">
        <is>
          <t>BRCC</t>
        </is>
      </c>
      <c r="D1900" s="6" t="n">
        <v>46254</v>
      </c>
      <c r="E1900" t="inlineStr">
        <is>
          <t>DR</t>
        </is>
      </c>
      <c r="F1900" t="inlineStr">
        <is>
          <t>EUR</t>
        </is>
      </c>
      <c r="G1900" s="7" t="n">
        <v>-23251465.188</v>
      </c>
      <c r="H1900" t="inlineStr">
        <is>
          <t>GBP</t>
        </is>
      </c>
      <c r="I1900" s="7" t="n">
        <v>-19949757.131</v>
      </c>
      <c r="J1900" s="8" t="n">
        <v>46254.38405092592</v>
      </c>
      <c r="K1900" t="inlineStr">
        <is>
          <t>CF260820 01894</t>
        </is>
      </c>
      <c r="L1900" t="inlineStr">
        <is>
          <t>GL.NOSTRO.EUR.BRCC.009</t>
        </is>
      </c>
      <c r="M1900" t="inlineStr">
        <is>
          <t>Wrenfield Settlement Bank</t>
        </is>
      </c>
      <c r="N1900" t="inlineStr">
        <is>
          <t>BRCC</t>
        </is>
      </c>
      <c r="O1900" t="inlineStr">
        <is>
          <t>NEW</t>
        </is>
      </c>
      <c r="P1900" t="inlineStr">
        <is>
          <t>NT26082000811</t>
        </is>
      </c>
      <c r="Q1900" t="inlineStr">
        <is>
          <t>NETTER</t>
        </is>
      </c>
    </row>
    <row r="1901">
      <c r="A1901" t="inlineStr">
        <is>
          <t>171857983160</t>
        </is>
      </c>
      <c r="B1901" t="inlineStr">
        <is>
          <t>TCC</t>
        </is>
      </c>
      <c r="C1901" t="inlineStr">
        <is>
          <t>BRBX</t>
        </is>
      </c>
      <c r="D1901" s="6" t="n">
        <v>46254</v>
      </c>
      <c r="E1901" t="inlineStr">
        <is>
          <t>CR</t>
        </is>
      </c>
      <c r="F1901" t="inlineStr">
        <is>
          <t>AUD</t>
        </is>
      </c>
      <c r="G1901" s="7" t="n">
        <v>55203484.446</v>
      </c>
      <c r="H1901" t="inlineStr">
        <is>
          <t>GBP</t>
        </is>
      </c>
      <c r="I1901" s="7" t="n">
        <v>28319387.521</v>
      </c>
      <c r="J1901" s="8" t="n">
        <v>46254.33400462963</v>
      </c>
      <c r="K1901" t="inlineStr">
        <is>
          <t>CF260820 01895</t>
        </is>
      </c>
      <c r="L1901" t="inlineStr">
        <is>
          <t>GL.NOSTRO.AUD.BRBX.001</t>
        </is>
      </c>
      <c r="M1901" t="inlineStr">
        <is>
          <t>Vetchling Bank</t>
        </is>
      </c>
      <c r="N1901" t="inlineStr">
        <is>
          <t>BRBXCASH</t>
        </is>
      </c>
      <c r="O1901" t="inlineStr">
        <is>
          <t>NEW</t>
        </is>
      </c>
      <c r="P1901" t="inlineStr">
        <is>
          <t>NT26082000801</t>
        </is>
      </c>
      <c r="Q1901" t="inlineStr">
        <is>
          <t>INTERNAL</t>
        </is>
      </c>
    </row>
    <row r="1902">
      <c r="A1902" t="inlineStr">
        <is>
          <t>953625291146</t>
        </is>
      </c>
      <c r="B1902" t="inlineStr">
        <is>
          <t>TCG</t>
        </is>
      </c>
      <c r="C1902" t="inlineStr">
        <is>
          <t>BRGL</t>
        </is>
      </c>
      <c r="D1902" s="6" t="n">
        <v>46254</v>
      </c>
      <c r="E1902" t="inlineStr">
        <is>
          <t>CR</t>
        </is>
      </c>
      <c r="F1902" t="inlineStr">
        <is>
          <t>USD</t>
        </is>
      </c>
      <c r="G1902" s="7" t="n">
        <v>828841049.247</v>
      </c>
      <c r="H1902" t="inlineStr">
        <is>
          <t>GBP</t>
        </is>
      </c>
      <c r="I1902" s="7" t="n">
        <v>649811382.61</v>
      </c>
      <c r="J1902" s="8" t="n">
        <v>46254.38060185185</v>
      </c>
      <c r="K1902" t="inlineStr">
        <is>
          <t>CF260820 01896</t>
        </is>
      </c>
      <c r="L1902" t="inlineStr">
        <is>
          <t>GL.NOSTRO.USD.BRGL.008</t>
        </is>
      </c>
      <c r="M1902" t="inlineStr">
        <is>
          <t>Oriel Trust</t>
        </is>
      </c>
      <c r="N1902" t="inlineStr">
        <is>
          <t>BRGLCASH</t>
        </is>
      </c>
      <c r="O1902" t="inlineStr">
        <is>
          <t>NEW</t>
        </is>
      </c>
      <c r="P1902" t="inlineStr">
        <is>
          <t>NT26082000794</t>
        </is>
      </c>
      <c r="Q1902" t="inlineStr">
        <is>
          <t>GROSS</t>
        </is>
      </c>
    </row>
    <row r="1903">
      <c r="A1903" t="inlineStr">
        <is>
          <t>150316825069</t>
        </is>
      </c>
      <c r="B1903" t="inlineStr">
        <is>
          <t>TCG</t>
        </is>
      </c>
      <c r="C1903" t="inlineStr">
        <is>
          <t>BRGX</t>
        </is>
      </c>
      <c r="D1903" s="6" t="n">
        <v>46254</v>
      </c>
      <c r="E1903" t="inlineStr">
        <is>
          <t>CR</t>
        </is>
      </c>
      <c r="F1903" t="inlineStr">
        <is>
          <t>GBP</t>
        </is>
      </c>
      <c r="G1903" s="7" t="n">
        <v>1306.225</v>
      </c>
      <c r="H1903" t="inlineStr">
        <is>
          <t>GBP</t>
        </is>
      </c>
      <c r="I1903" s="7" t="n">
        <v>1306.225</v>
      </c>
      <c r="J1903" s="8" t="n">
        <v>46254.38662037037</v>
      </c>
      <c r="K1903" t="inlineStr">
        <is>
          <t>CF260820 01897</t>
        </is>
      </c>
      <c r="L1903" t="inlineStr">
        <is>
          <t>GL.NOSTRO.GBP.BRGX.009</t>
        </is>
      </c>
      <c r="M1903" t="inlineStr">
        <is>
          <t>Vetchling Settlement Bank</t>
        </is>
      </c>
      <c r="N1903" t="inlineStr">
        <is>
          <t>BRGXTRSY</t>
        </is>
      </c>
      <c r="O1903" t="inlineStr">
        <is>
          <t>AMEND</t>
        </is>
      </c>
      <c r="P1903" t="inlineStr">
        <is>
          <t>NT26082000801</t>
        </is>
      </c>
      <c r="Q1903" t="inlineStr">
        <is>
          <t>NETTER</t>
        </is>
      </c>
    </row>
    <row r="1904">
      <c r="A1904" t="inlineStr">
        <is>
          <t>700726936098</t>
        </is>
      </c>
      <c r="B1904" t="inlineStr">
        <is>
          <t>TCC</t>
        </is>
      </c>
      <c r="C1904" t="inlineStr">
        <is>
          <t>BRMD</t>
        </is>
      </c>
      <c r="D1904" s="6" t="n">
        <v>46254</v>
      </c>
      <c r="E1904" t="inlineStr">
        <is>
          <t>CR</t>
        </is>
      </c>
      <c r="F1904" t="inlineStr">
        <is>
          <t>SAR</t>
        </is>
      </c>
      <c r="G1904" s="7" t="n">
        <v>11412222.359</v>
      </c>
      <c r="H1904" t="inlineStr">
        <is>
          <t>GBP</t>
        </is>
      </c>
      <c r="I1904" s="7" t="n">
        <v>2385154.473</v>
      </c>
      <c r="J1904" s="8" t="n">
        <v>46254.4020949074</v>
      </c>
      <c r="K1904" t="inlineStr">
        <is>
          <t>CF260820 01898</t>
        </is>
      </c>
      <c r="L1904" t="inlineStr">
        <is>
          <t>GL.NOSTRO.SAR.BRMD.005</t>
        </is>
      </c>
      <c r="M1904" t="inlineStr">
        <is>
          <t>Nightjar Trust</t>
        </is>
      </c>
      <c r="N1904" t="inlineStr">
        <is>
          <t>BRMD</t>
        </is>
      </c>
      <c r="O1904" t="inlineStr">
        <is>
          <t>NEW</t>
        </is>
      </c>
      <c r="P1904" t="inlineStr">
        <is>
          <t>NT26082000789</t>
        </is>
      </c>
      <c r="Q1904" t="inlineStr">
        <is>
          <t>NETTER</t>
        </is>
      </c>
    </row>
    <row r="1905">
      <c r="A1905" t="inlineStr">
        <is>
          <t>150316825069</t>
        </is>
      </c>
      <c r="B1905" t="inlineStr">
        <is>
          <t>TCG</t>
        </is>
      </c>
      <c r="C1905" t="inlineStr">
        <is>
          <t>BRGX</t>
        </is>
      </c>
      <c r="D1905" s="6" t="n">
        <v>46254</v>
      </c>
      <c r="E1905" t="inlineStr">
        <is>
          <t>DR</t>
        </is>
      </c>
      <c r="F1905" t="inlineStr">
        <is>
          <t>GBP</t>
        </is>
      </c>
      <c r="G1905" s="7" t="n">
        <v>-18312.404</v>
      </c>
      <c r="H1905" t="inlineStr">
        <is>
          <t>GBP</t>
        </is>
      </c>
      <c r="I1905" s="7" t="n">
        <v>-18312.404</v>
      </c>
      <c r="J1905" s="8" t="n">
        <v>46254.34310185185</v>
      </c>
      <c r="K1905" t="inlineStr">
        <is>
          <t>CF260820 01899</t>
        </is>
      </c>
      <c r="L1905" t="inlineStr">
        <is>
          <t>GL.NOSTRO.GBP.BRGX.005</t>
        </is>
      </c>
      <c r="M1905" t="inlineStr">
        <is>
          <t>Juniper Bank</t>
        </is>
      </c>
      <c r="N1905" t="inlineStr">
        <is>
          <t>BRGX</t>
        </is>
      </c>
      <c r="O1905" t="inlineStr">
        <is>
          <t>NEW</t>
        </is>
      </c>
      <c r="P1905" t="inlineStr">
        <is>
          <t>NT26082000822</t>
        </is>
      </c>
      <c r="Q1905" t="inlineStr">
        <is>
          <t>GROSS</t>
        </is>
      </c>
    </row>
    <row r="1906">
      <c r="A1906" t="inlineStr">
        <is>
          <t>132544340094</t>
        </is>
      </c>
      <c r="B1906" t="inlineStr">
        <is>
          <t>TCP</t>
        </is>
      </c>
      <c r="C1906" t="inlineStr">
        <is>
          <t>BRYG</t>
        </is>
      </c>
      <c r="D1906" s="6" t="n">
        <v>46254</v>
      </c>
      <c r="E1906" t="inlineStr">
        <is>
          <t>DR</t>
        </is>
      </c>
      <c r="F1906" t="inlineStr">
        <is>
          <t>CZK</t>
        </is>
      </c>
      <c r="G1906" s="7" t="n">
        <v>-3737571.674</v>
      </c>
      <c r="H1906" t="inlineStr">
        <is>
          <t>GBP</t>
        </is>
      </c>
      <c r="I1906" s="7" t="n">
        <v>-126703.68</v>
      </c>
      <c r="J1906" s="8" t="n">
        <v>46254.37087962963</v>
      </c>
      <c r="K1906" t="inlineStr">
        <is>
          <t>CF260820 01900</t>
        </is>
      </c>
      <c r="L1906" t="inlineStr">
        <is>
          <t>GL.NOSTRO.CZK.BRYG.006</t>
        </is>
      </c>
      <c r="M1906" t="inlineStr">
        <is>
          <t>Zephyr Commercial Bank</t>
        </is>
      </c>
      <c r="N1906" t="inlineStr">
        <is>
          <t>BRYGMM</t>
        </is>
      </c>
      <c r="O1906" t="inlineStr">
        <is>
          <t>NEW</t>
        </is>
      </c>
      <c r="Q1906" t="inlineStr">
        <is>
          <t>NETTER</t>
        </is>
      </c>
    </row>
    <row r="1907">
      <c r="A1907" t="inlineStr">
        <is>
          <t>794226063698</t>
        </is>
      </c>
      <c r="B1907" t="inlineStr">
        <is>
          <t>TCC</t>
        </is>
      </c>
      <c r="C1907" t="inlineStr">
        <is>
          <t>BRMD</t>
        </is>
      </c>
      <c r="D1907" s="6" t="n">
        <v>46254</v>
      </c>
      <c r="E1907" t="inlineStr">
        <is>
          <t>DR</t>
        </is>
      </c>
      <c r="F1907" t="inlineStr">
        <is>
          <t>AED</t>
        </is>
      </c>
      <c r="G1907" s="7" t="n">
        <v>-172566.03</v>
      </c>
      <c r="H1907" t="inlineStr">
        <is>
          <t>GBP</t>
        </is>
      </c>
      <c r="I1907" s="7" t="n">
        <v>-36756.564</v>
      </c>
      <c r="J1907" s="8" t="n">
        <v>46254.55582175926</v>
      </c>
      <c r="K1907" t="inlineStr">
        <is>
          <t>CF260820 01901</t>
        </is>
      </c>
      <c r="L1907" t="inlineStr">
        <is>
          <t>GL.NOSTRO.AED.BRMD.005</t>
        </is>
      </c>
      <c r="M1907" t="inlineStr">
        <is>
          <t>Nightjar Bank</t>
        </is>
      </c>
      <c r="N1907" t="inlineStr">
        <is>
          <t>BRMD</t>
        </is>
      </c>
      <c r="O1907" t="inlineStr">
        <is>
          <t>NEW</t>
        </is>
      </c>
      <c r="Q1907" t="inlineStr">
        <is>
          <t>NETTER</t>
        </is>
      </c>
    </row>
    <row r="1908">
      <c r="A1908" t="inlineStr">
        <is>
          <t>113829985108</t>
        </is>
      </c>
      <c r="B1908" t="inlineStr">
        <is>
          <t>TCG</t>
        </is>
      </c>
      <c r="C1908" t="inlineStr">
        <is>
          <t>BRGL</t>
        </is>
      </c>
      <c r="D1908" s="6" t="n">
        <v>46254</v>
      </c>
      <c r="E1908" t="inlineStr">
        <is>
          <t>DR</t>
        </is>
      </c>
      <c r="F1908" t="inlineStr">
        <is>
          <t>EUR</t>
        </is>
      </c>
      <c r="G1908" s="7" t="n">
        <v>-576677.303</v>
      </c>
      <c r="H1908" t="inlineStr">
        <is>
          <t>GBP</t>
        </is>
      </c>
      <c r="I1908" s="7" t="n">
        <v>-494789.126</v>
      </c>
      <c r="J1908" s="8" t="n">
        <v>46254.67416666666</v>
      </c>
      <c r="K1908" t="inlineStr">
        <is>
          <t>CF260820 01902</t>
        </is>
      </c>
      <c r="L1908" t="inlineStr">
        <is>
          <t>GL.NOSTRO.EUR.BRGL.004</t>
        </is>
      </c>
      <c r="M1908" t="inlineStr">
        <is>
          <t>Alder Trust</t>
        </is>
      </c>
      <c r="N1908" t="inlineStr">
        <is>
          <t>BRGL</t>
        </is>
      </c>
      <c r="O1908" t="inlineStr">
        <is>
          <t>NEW</t>
        </is>
      </c>
      <c r="Q1908" t="inlineStr">
        <is>
          <t>NETTER</t>
        </is>
      </c>
    </row>
    <row r="1909">
      <c r="A1909" t="inlineStr">
        <is>
          <t>284925023085</t>
        </is>
      </c>
      <c r="B1909" t="inlineStr">
        <is>
          <t>TCX</t>
        </is>
      </c>
      <c r="C1909" t="inlineStr">
        <is>
          <t>BRMD</t>
        </is>
      </c>
      <c r="D1909" s="6" t="n">
        <v>46254</v>
      </c>
      <c r="E1909" t="inlineStr">
        <is>
          <t>CR</t>
        </is>
      </c>
      <c r="F1909" t="inlineStr">
        <is>
          <t>MXN</t>
        </is>
      </c>
      <c r="G1909" s="7" t="n">
        <v>425087004.696</v>
      </c>
      <c r="H1909" t="inlineStr">
        <is>
          <t>GBP</t>
        </is>
      </c>
      <c r="I1909" s="7" t="n">
        <v>18193723.801</v>
      </c>
      <c r="J1909" s="8" t="n">
        <v>46254.30571759259</v>
      </c>
      <c r="K1909" t="inlineStr">
        <is>
          <t>CF260820 01903</t>
        </is>
      </c>
      <c r="L1909" t="inlineStr">
        <is>
          <t>GL.NOSTRO.MXN.BRMD.009</t>
        </is>
      </c>
      <c r="M1909" t="inlineStr">
        <is>
          <t>Juniper Bank</t>
        </is>
      </c>
      <c r="N1909" t="inlineStr">
        <is>
          <t>BRMDCASH</t>
        </is>
      </c>
      <c r="O1909" t="inlineStr">
        <is>
          <t>NEW</t>
        </is>
      </c>
      <c r="Q1909" t="inlineStr">
        <is>
          <t>NETTER</t>
        </is>
      </c>
    </row>
    <row r="1910">
      <c r="A1910" t="inlineStr">
        <is>
          <t>499062838623</t>
        </is>
      </c>
      <c r="B1910" t="inlineStr">
        <is>
          <t>TCC</t>
        </is>
      </c>
      <c r="C1910" t="inlineStr">
        <is>
          <t>BRBX</t>
        </is>
      </c>
      <c r="D1910" s="6" t="n">
        <v>46254</v>
      </c>
      <c r="E1910" t="inlineStr">
        <is>
          <t>DR</t>
        </is>
      </c>
      <c r="F1910" t="inlineStr">
        <is>
          <t>USD</t>
        </is>
      </c>
      <c r="G1910" s="7" t="n">
        <v>-2117987.85</v>
      </c>
      <c r="H1910" t="inlineStr">
        <is>
          <t>GBP</t>
        </is>
      </c>
      <c r="I1910" s="7" t="n">
        <v>-1660502.474</v>
      </c>
      <c r="J1910" s="8" t="n">
        <v>46254.36824074074</v>
      </c>
      <c r="K1910" t="inlineStr">
        <is>
          <t>CF260820 01904</t>
        </is>
      </c>
      <c r="L1910" t="inlineStr">
        <is>
          <t>GL.NOSTRO.USD.BRBX.006</t>
        </is>
      </c>
      <c r="M1910" t="inlineStr">
        <is>
          <t>Mallow Clearing</t>
        </is>
      </c>
      <c r="N1910" t="inlineStr">
        <is>
          <t>BRBXMM</t>
        </is>
      </c>
      <c r="O1910" t="inlineStr">
        <is>
          <t>NEW</t>
        </is>
      </c>
      <c r="P1910" t="inlineStr">
        <is>
          <t>NT26082000795</t>
        </is>
      </c>
      <c r="Q1910" t="inlineStr">
        <is>
          <t>NETTER</t>
        </is>
      </c>
    </row>
    <row r="1911">
      <c r="A1911" t="inlineStr">
        <is>
          <t>265771593142</t>
        </is>
      </c>
      <c r="B1911" t="inlineStr">
        <is>
          <t>TCG</t>
        </is>
      </c>
      <c r="C1911" t="inlineStr">
        <is>
          <t>BRYG</t>
        </is>
      </c>
      <c r="D1911" s="6" t="n">
        <v>46254</v>
      </c>
      <c r="E1911" t="inlineStr">
        <is>
          <t>CR</t>
        </is>
      </c>
      <c r="F1911" t="inlineStr">
        <is>
          <t>EUR</t>
        </is>
      </c>
      <c r="G1911" s="7" t="n">
        <v>684790837.9859999</v>
      </c>
      <c r="H1911" t="inlineStr">
        <is>
          <t>GBP</t>
        </is>
      </c>
      <c r="I1911" s="7" t="n">
        <v>587550538.992</v>
      </c>
      <c r="J1911" s="8" t="n">
        <v>46254.260625</v>
      </c>
      <c r="K1911" t="inlineStr">
        <is>
          <t>CF260820 01905</t>
        </is>
      </c>
      <c r="L1911" t="inlineStr">
        <is>
          <t>GL.NOSTRO.EUR.BRYG.002</t>
        </is>
      </c>
      <c r="M1911" t="inlineStr">
        <is>
          <t>Juniper Settlement Bank</t>
        </is>
      </c>
      <c r="N1911" t="inlineStr">
        <is>
          <t>BRYGTRSY</t>
        </is>
      </c>
      <c r="O1911" t="inlineStr">
        <is>
          <t>NEW</t>
        </is>
      </c>
      <c r="Q1911" t="inlineStr">
        <is>
          <t>NETTER</t>
        </is>
      </c>
    </row>
    <row r="1912">
      <c r="A1912" t="inlineStr">
        <is>
          <t>898317028833</t>
        </is>
      </c>
      <c r="B1912" t="inlineStr">
        <is>
          <t>TCG</t>
        </is>
      </c>
      <c r="C1912" t="inlineStr">
        <is>
          <t>BRAA</t>
        </is>
      </c>
      <c r="D1912" s="6" t="n">
        <v>46254</v>
      </c>
      <c r="E1912" t="inlineStr">
        <is>
          <t>CR</t>
        </is>
      </c>
      <c r="F1912" t="inlineStr">
        <is>
          <t>GBP</t>
        </is>
      </c>
      <c r="G1912" s="7" t="n">
        <v>71540119.594</v>
      </c>
      <c r="H1912" t="inlineStr">
        <is>
          <t>GBP</t>
        </is>
      </c>
      <c r="I1912" s="7" t="n">
        <v>71540119.594</v>
      </c>
      <c r="J1912" s="8" t="n">
        <v>46254.68328703703</v>
      </c>
      <c r="K1912" t="inlineStr">
        <is>
          <t>CF260820 01906</t>
        </is>
      </c>
      <c r="L1912" t="inlineStr">
        <is>
          <t>GL.NOSTRO.GBP.BRAA.002</t>
        </is>
      </c>
      <c r="M1912" t="inlineStr">
        <is>
          <t>Umberton Commercial Bank</t>
        </is>
      </c>
      <c r="N1912" t="inlineStr">
        <is>
          <t>BRAACASH</t>
        </is>
      </c>
      <c r="O1912" t="inlineStr">
        <is>
          <t>NEW</t>
        </is>
      </c>
      <c r="Q1912" t="inlineStr">
        <is>
          <t>NETTER</t>
        </is>
      </c>
    </row>
    <row r="1913">
      <c r="A1913" t="inlineStr">
        <is>
          <t>794226063698</t>
        </is>
      </c>
      <c r="B1913" t="inlineStr">
        <is>
          <t>TCP</t>
        </is>
      </c>
      <c r="C1913" t="inlineStr">
        <is>
          <t>BRMD</t>
        </is>
      </c>
      <c r="D1913" s="6" t="n">
        <v>46254</v>
      </c>
      <c r="E1913" t="inlineStr">
        <is>
          <t>DR</t>
        </is>
      </c>
      <c r="F1913" t="inlineStr">
        <is>
          <t>AED</t>
        </is>
      </c>
      <c r="G1913" s="7" t="n">
        <v>-996891372.546</v>
      </c>
      <c r="H1913" t="inlineStr">
        <is>
          <t>GBP</t>
        </is>
      </c>
      <c r="I1913" s="7" t="n">
        <v>-212337862.352</v>
      </c>
      <c r="J1913" s="8" t="n">
        <v>46254.72425925926</v>
      </c>
      <c r="K1913" t="inlineStr">
        <is>
          <t>CF260820 01907</t>
        </is>
      </c>
      <c r="L1913" t="inlineStr">
        <is>
          <t>GL.NOSTRO.AED.BRMD.001</t>
        </is>
      </c>
      <c r="M1913" t="inlineStr">
        <is>
          <t>Granite Clearing</t>
        </is>
      </c>
      <c r="N1913" t="inlineStr">
        <is>
          <t>BRMDTRSY</t>
        </is>
      </c>
      <c r="O1913" t="inlineStr">
        <is>
          <t>NEW</t>
        </is>
      </c>
      <c r="P1913" t="inlineStr">
        <is>
          <t>NT26082000815</t>
        </is>
      </c>
      <c r="Q1913" t="inlineStr">
        <is>
          <t>NETTER</t>
        </is>
      </c>
    </row>
    <row r="1914">
      <c r="A1914" t="inlineStr">
        <is>
          <t>910703979141</t>
        </is>
      </c>
      <c r="B1914" t="inlineStr">
        <is>
          <t>TCQ</t>
        </is>
      </c>
      <c r="C1914" t="inlineStr">
        <is>
          <t>BRCC</t>
        </is>
      </c>
      <c r="D1914" s="6" t="n">
        <v>46254</v>
      </c>
      <c r="E1914" t="inlineStr">
        <is>
          <t>DR</t>
        </is>
      </c>
      <c r="F1914" t="inlineStr">
        <is>
          <t>CHF</t>
        </is>
      </c>
      <c r="G1914" s="7" t="n">
        <v>-32821942.527</v>
      </c>
      <c r="H1914" t="inlineStr">
        <is>
          <t>GBP</t>
        </is>
      </c>
      <c r="I1914" s="7" t="n">
        <v>-29441282.447</v>
      </c>
      <c r="J1914" s="8" t="n">
        <v>46254.46108796296</v>
      </c>
      <c r="K1914" t="inlineStr">
        <is>
          <t>CF260820 01908</t>
        </is>
      </c>
      <c r="L1914" t="inlineStr">
        <is>
          <t>GL.NOSTRO.CHF.BRCC.007</t>
        </is>
      </c>
      <c r="M1914" t="inlineStr">
        <is>
          <t>Mallow Commercial Bank</t>
        </is>
      </c>
      <c r="N1914" t="inlineStr">
        <is>
          <t>BRCCMM</t>
        </is>
      </c>
      <c r="O1914" t="inlineStr">
        <is>
          <t>NEW</t>
        </is>
      </c>
      <c r="P1914" t="inlineStr">
        <is>
          <t>NT26082000807</t>
        </is>
      </c>
      <c r="Q1914" t="inlineStr">
        <is>
          <t>NETTER</t>
        </is>
      </c>
    </row>
    <row r="1915">
      <c r="A1915" t="inlineStr">
        <is>
          <t>468341071172</t>
        </is>
      </c>
      <c r="B1915" t="inlineStr">
        <is>
          <t>TCC</t>
        </is>
      </c>
      <c r="C1915" t="inlineStr">
        <is>
          <t>BRCC</t>
        </is>
      </c>
      <c r="D1915" s="6" t="n">
        <v>46254</v>
      </c>
      <c r="E1915" t="inlineStr">
        <is>
          <t>CR</t>
        </is>
      </c>
      <c r="F1915" t="inlineStr">
        <is>
          <t>EUR</t>
        </is>
      </c>
      <c r="G1915" s="7" t="n">
        <v>47434.173</v>
      </c>
      <c r="H1915" t="inlineStr">
        <is>
          <t>GBP</t>
        </is>
      </c>
      <c r="I1915" s="7" t="n">
        <v>40698.52</v>
      </c>
      <c r="J1915" s="8" t="n">
        <v>46254.48273148148</v>
      </c>
      <c r="K1915" t="inlineStr">
        <is>
          <t>CF260820 01909</t>
        </is>
      </c>
      <c r="L1915" t="inlineStr">
        <is>
          <t>GL.NOSTRO.EUR.BRCC.001</t>
        </is>
      </c>
      <c r="M1915" t="inlineStr">
        <is>
          <t>Dunlin Clearing</t>
        </is>
      </c>
      <c r="N1915" t="inlineStr">
        <is>
          <t>BRCCCASH</t>
        </is>
      </c>
      <c r="O1915" t="inlineStr">
        <is>
          <t>NEW</t>
        </is>
      </c>
      <c r="P1915" t="inlineStr">
        <is>
          <t>NT26082000825</t>
        </is>
      </c>
      <c r="Q1915" t="inlineStr">
        <is>
          <t>GROSS</t>
        </is>
      </c>
    </row>
    <row r="1916">
      <c r="A1916" t="inlineStr">
        <is>
          <t>468341071172</t>
        </is>
      </c>
      <c r="B1916" t="inlineStr">
        <is>
          <t>TCC</t>
        </is>
      </c>
      <c r="C1916" t="inlineStr">
        <is>
          <t>BRCC</t>
        </is>
      </c>
      <c r="D1916" s="6" t="n">
        <v>46254</v>
      </c>
      <c r="E1916" t="inlineStr">
        <is>
          <t>DR</t>
        </is>
      </c>
      <c r="F1916" t="inlineStr">
        <is>
          <t>EUR</t>
        </is>
      </c>
      <c r="G1916" s="7" t="n">
        <v>-2423674.81</v>
      </c>
      <c r="H1916" t="inlineStr">
        <is>
          <t>GBP</t>
        </is>
      </c>
      <c r="I1916" s="7" t="n">
        <v>-2079512.987</v>
      </c>
      <c r="J1916" s="8" t="n">
        <v>46254.26538194445</v>
      </c>
      <c r="K1916" t="inlineStr">
        <is>
          <t>CF260820 01910</t>
        </is>
      </c>
      <c r="L1916" t="inlineStr">
        <is>
          <t>GL.NOSTRO.EUR.BRCC.004</t>
        </is>
      </c>
      <c r="M1916" t="inlineStr">
        <is>
          <t>Sablewood Commercial Bank</t>
        </is>
      </c>
      <c r="N1916" t="inlineStr">
        <is>
          <t>BRCCMM</t>
        </is>
      </c>
      <c r="O1916" t="inlineStr">
        <is>
          <t>NEW</t>
        </is>
      </c>
      <c r="P1916" t="inlineStr">
        <is>
          <t>NT26082000823</t>
        </is>
      </c>
      <c r="Q1916" t="inlineStr">
        <is>
          <t>NETTER</t>
        </is>
      </c>
    </row>
    <row r="1917">
      <c r="A1917" t="inlineStr">
        <is>
          <t>968942362772</t>
        </is>
      </c>
      <c r="B1917" t="inlineStr">
        <is>
          <t>TCC</t>
        </is>
      </c>
      <c r="C1917" t="inlineStr">
        <is>
          <t>BRYG</t>
        </is>
      </c>
      <c r="D1917" s="6" t="n">
        <v>46254</v>
      </c>
      <c r="E1917" t="inlineStr">
        <is>
          <t>CR</t>
        </is>
      </c>
      <c r="F1917" t="inlineStr">
        <is>
          <t>EUR</t>
        </is>
      </c>
      <c r="G1917" s="7" t="n">
        <v>5865307.147</v>
      </c>
      <c r="H1917" t="inlineStr">
        <is>
          <t>GBP</t>
        </is>
      </c>
      <c r="I1917" s="7" t="n">
        <v>5032433.532</v>
      </c>
      <c r="J1917" s="8" t="n">
        <v>46254.55207175926</v>
      </c>
      <c r="K1917" t="inlineStr">
        <is>
          <t>CF260820 01911</t>
        </is>
      </c>
      <c r="L1917" t="inlineStr">
        <is>
          <t>GL.NOSTRO.EUR.BRYG.004</t>
        </is>
      </c>
      <c r="M1917" t="inlineStr">
        <is>
          <t>Pinehurst Bank</t>
        </is>
      </c>
      <c r="N1917" t="inlineStr">
        <is>
          <t>BRYGMM</t>
        </is>
      </c>
      <c r="O1917" t="inlineStr">
        <is>
          <t>NEW</t>
        </is>
      </c>
      <c r="Q1917" t="inlineStr">
        <is>
          <t>INTERNAL</t>
        </is>
      </c>
    </row>
    <row r="1918">
      <c r="A1918" t="inlineStr">
        <is>
          <t>910703979141</t>
        </is>
      </c>
      <c r="B1918" t="inlineStr">
        <is>
          <t>TCG</t>
        </is>
      </c>
      <c r="C1918" t="inlineStr">
        <is>
          <t>BRCC</t>
        </is>
      </c>
      <c r="D1918" s="6" t="n">
        <v>46254</v>
      </c>
      <c r="E1918" t="inlineStr">
        <is>
          <t>DR</t>
        </is>
      </c>
      <c r="F1918" t="inlineStr">
        <is>
          <t>CHF</t>
        </is>
      </c>
      <c r="G1918" s="7" t="n">
        <v>-132684701.573</v>
      </c>
      <c r="H1918" t="inlineStr">
        <is>
          <t>GBP</t>
        </is>
      </c>
      <c r="I1918" s="7" t="n">
        <v>-119018177.311</v>
      </c>
      <c r="J1918" s="8" t="n">
        <v>46254.748125</v>
      </c>
      <c r="K1918" t="inlineStr">
        <is>
          <t>CF260820 01912</t>
        </is>
      </c>
      <c r="L1918" t="inlineStr">
        <is>
          <t>GL.NOSTRO.CHF.BRCC.004</t>
        </is>
      </c>
      <c r="M1918" t="inlineStr">
        <is>
          <t>Sablewood Clearing</t>
        </is>
      </c>
      <c r="N1918" t="inlineStr">
        <is>
          <t>BRCCTRSY</t>
        </is>
      </c>
      <c r="O1918" t="inlineStr">
        <is>
          <t>NEW</t>
        </is>
      </c>
      <c r="P1918" t="inlineStr">
        <is>
          <t>NT26082000813</t>
        </is>
      </c>
      <c r="Q1918" t="inlineStr">
        <is>
          <t>NETTER</t>
        </is>
      </c>
    </row>
    <row r="1919">
      <c r="A1919" t="inlineStr">
        <is>
          <t>150316825069</t>
        </is>
      </c>
      <c r="B1919" t="inlineStr">
        <is>
          <t>TCX</t>
        </is>
      </c>
      <c r="C1919" t="inlineStr">
        <is>
          <t>BRGX</t>
        </is>
      </c>
      <c r="D1919" s="6" t="n">
        <v>46254</v>
      </c>
      <c r="E1919" t="inlineStr">
        <is>
          <t>CR</t>
        </is>
      </c>
      <c r="F1919" t="inlineStr">
        <is>
          <t>GBP</t>
        </is>
      </c>
      <c r="G1919" s="7" t="n">
        <v>1147345.061</v>
      </c>
      <c r="H1919" t="inlineStr">
        <is>
          <t>GBP</t>
        </is>
      </c>
      <c r="I1919" s="7" t="n">
        <v>1147345.061</v>
      </c>
      <c r="J1919" s="8" t="n">
        <v>46254.42755787037</v>
      </c>
      <c r="K1919" t="inlineStr">
        <is>
          <t>CF260820 01913</t>
        </is>
      </c>
      <c r="L1919" t="inlineStr">
        <is>
          <t>GL.NOSTRO.GBP.BRGX.006</t>
        </is>
      </c>
      <c r="M1919" t="inlineStr">
        <is>
          <t>Pinehurst Settlement Bank</t>
        </is>
      </c>
      <c r="N1919" t="inlineStr">
        <is>
          <t>BRGX</t>
        </is>
      </c>
      <c r="O1919" t="inlineStr">
        <is>
          <t>NEW</t>
        </is>
      </c>
      <c r="Q1919" t="inlineStr">
        <is>
          <t>NETTER</t>
        </is>
      </c>
    </row>
    <row r="1920">
      <c r="A1920" t="inlineStr">
        <is>
          <t>927538182434</t>
        </is>
      </c>
      <c r="B1920" t="inlineStr">
        <is>
          <t>TCQ</t>
        </is>
      </c>
      <c r="C1920" t="inlineStr">
        <is>
          <t>BRNK</t>
        </is>
      </c>
      <c r="D1920" s="6" t="n">
        <v>46254</v>
      </c>
      <c r="E1920" t="inlineStr">
        <is>
          <t>CR</t>
        </is>
      </c>
      <c r="F1920" t="inlineStr">
        <is>
          <t>CNY</t>
        </is>
      </c>
      <c r="G1920" s="7" t="n">
        <v>14138792.723</v>
      </c>
      <c r="H1920" t="inlineStr">
        <is>
          <t>GBP</t>
        </is>
      </c>
      <c r="I1920" s="7" t="n">
        <v>1541128.407</v>
      </c>
      <c r="J1920" s="8" t="n">
        <v>46254.44686342592</v>
      </c>
      <c r="K1920" t="inlineStr">
        <is>
          <t>CF260820 01914</t>
        </is>
      </c>
      <c r="L1920" t="inlineStr">
        <is>
          <t>GL.NOSTRO.CNY.BRNK.006</t>
        </is>
      </c>
      <c r="M1920" t="inlineStr">
        <is>
          <t>Sablewood Bank</t>
        </is>
      </c>
      <c r="N1920" t="inlineStr">
        <is>
          <t>BRNKCASH</t>
        </is>
      </c>
      <c r="O1920" t="inlineStr">
        <is>
          <t>NEW</t>
        </is>
      </c>
      <c r="Q1920" t="inlineStr">
        <is>
          <t>NETTER</t>
        </is>
      </c>
    </row>
    <row r="1921">
      <c r="A1921" t="inlineStr">
        <is>
          <t>968942362772</t>
        </is>
      </c>
      <c r="B1921" t="inlineStr">
        <is>
          <t>TCX</t>
        </is>
      </c>
      <c r="C1921" t="inlineStr">
        <is>
          <t>BRYG</t>
        </is>
      </c>
      <c r="D1921" s="6" t="n">
        <v>46254</v>
      </c>
      <c r="E1921" t="inlineStr">
        <is>
          <t>CR</t>
        </is>
      </c>
      <c r="F1921" t="inlineStr">
        <is>
          <t>EUR</t>
        </is>
      </c>
      <c r="G1921" s="7" t="n">
        <v>439961417.344</v>
      </c>
      <c r="H1921" t="inlineStr">
        <is>
          <t>GBP</t>
        </is>
      </c>
      <c r="I1921" s="7" t="n">
        <v>377486896.081</v>
      </c>
      <c r="J1921" s="8" t="n">
        <v>46254.7655787037</v>
      </c>
      <c r="K1921" t="inlineStr">
        <is>
          <t>CF260820 01915</t>
        </is>
      </c>
      <c r="L1921" t="inlineStr">
        <is>
          <t>GL.NOSTRO.EUR.BRYG.001</t>
        </is>
      </c>
      <c r="M1921" t="inlineStr">
        <is>
          <t>Mallow Trust</t>
        </is>
      </c>
      <c r="N1921" t="inlineStr">
        <is>
          <t>BRYG</t>
        </is>
      </c>
      <c r="O1921" t="inlineStr">
        <is>
          <t>NEW</t>
        </is>
      </c>
      <c r="P1921" t="inlineStr">
        <is>
          <t>NT26082000812</t>
        </is>
      </c>
      <c r="Q1921" t="inlineStr">
        <is>
          <t>NETTER</t>
        </is>
      </c>
    </row>
    <row r="1922">
      <c r="A1922" t="inlineStr">
        <is>
          <t>968942362772</t>
        </is>
      </c>
      <c r="B1922" t="inlineStr">
        <is>
          <t>TCP</t>
        </is>
      </c>
      <c r="C1922" t="inlineStr">
        <is>
          <t>BRYG</t>
        </is>
      </c>
      <c r="D1922" s="6" t="n">
        <v>46254</v>
      </c>
      <c r="E1922" t="inlineStr">
        <is>
          <t>CR</t>
        </is>
      </c>
      <c r="F1922" t="inlineStr">
        <is>
          <t>EUR</t>
        </is>
      </c>
      <c r="G1922" s="7" t="n">
        <v>166362.452</v>
      </c>
      <c r="H1922" t="inlineStr">
        <is>
          <t>GBP</t>
        </is>
      </c>
      <c r="I1922" s="7" t="n">
        <v>142738.984</v>
      </c>
      <c r="J1922" s="8" t="n">
        <v>46254.43071759259</v>
      </c>
      <c r="K1922" t="inlineStr">
        <is>
          <t>CF260820 01916</t>
        </is>
      </c>
      <c r="L1922" t="inlineStr">
        <is>
          <t>GL.NOSTRO.EUR.BRYG.001</t>
        </is>
      </c>
      <c r="M1922" t="inlineStr">
        <is>
          <t>Umberton Commercial Bank</t>
        </is>
      </c>
      <c r="N1922" t="inlineStr">
        <is>
          <t>BRYGMM</t>
        </is>
      </c>
      <c r="O1922" t="inlineStr">
        <is>
          <t>NEW</t>
        </is>
      </c>
      <c r="P1922" t="inlineStr">
        <is>
          <t>NT26082000802</t>
        </is>
      </c>
      <c r="Q1922" t="inlineStr">
        <is>
          <t>GROSS</t>
        </is>
      </c>
    </row>
    <row r="1923">
      <c r="A1923" t="inlineStr">
        <is>
          <t>927538182434</t>
        </is>
      </c>
      <c r="B1923" t="inlineStr">
        <is>
          <t>TCX</t>
        </is>
      </c>
      <c r="C1923" t="inlineStr">
        <is>
          <t>BRNK</t>
        </is>
      </c>
      <c r="D1923" s="6" t="n">
        <v>46254</v>
      </c>
      <c r="E1923" t="inlineStr">
        <is>
          <t>CR</t>
        </is>
      </c>
      <c r="F1923" t="inlineStr">
        <is>
          <t>CNY</t>
        </is>
      </c>
      <c r="G1923" s="7" t="n">
        <v>16991003.24</v>
      </c>
      <c r="H1923" t="inlineStr">
        <is>
          <t>GBP</t>
        </is>
      </c>
      <c r="I1923" s="7" t="n">
        <v>1852019.353</v>
      </c>
      <c r="J1923" s="8" t="n">
        <v>46254.36891203704</v>
      </c>
      <c r="K1923" t="inlineStr">
        <is>
          <t>CF260820 01917</t>
        </is>
      </c>
      <c r="L1923" t="inlineStr">
        <is>
          <t>GL.NOSTRO.CNY.BRNK.005</t>
        </is>
      </c>
      <c r="M1923" t="inlineStr">
        <is>
          <t>Dunlin Bank</t>
        </is>
      </c>
      <c r="N1923" t="inlineStr">
        <is>
          <t>BRNKMM</t>
        </is>
      </c>
      <c r="O1923" t="inlineStr">
        <is>
          <t>NEW</t>
        </is>
      </c>
      <c r="Q1923" t="inlineStr">
        <is>
          <t>NETTER</t>
        </is>
      </c>
    </row>
    <row r="1924">
      <c r="A1924" t="inlineStr">
        <is>
          <t>468341071172</t>
        </is>
      </c>
      <c r="B1924" t="inlineStr">
        <is>
          <t>TCP</t>
        </is>
      </c>
      <c r="C1924" t="inlineStr">
        <is>
          <t>BRCC</t>
        </is>
      </c>
      <c r="D1924" s="6" t="n">
        <v>46254</v>
      </c>
      <c r="E1924" t="inlineStr">
        <is>
          <t>DR</t>
        </is>
      </c>
      <c r="F1924" t="inlineStr">
        <is>
          <t>EUR</t>
        </is>
      </c>
      <c r="G1924" s="7" t="n">
        <v>-119102437.316</v>
      </c>
      <c r="H1924" t="inlineStr">
        <is>
          <t>GBP</t>
        </is>
      </c>
      <c r="I1924" s="7" t="n">
        <v>-102189891.217</v>
      </c>
      <c r="J1924" s="8" t="n">
        <v>46254.80851851852</v>
      </c>
      <c r="K1924" t="inlineStr">
        <is>
          <t>CF260820 01918</t>
        </is>
      </c>
      <c r="L1924" t="inlineStr">
        <is>
          <t>GL.NOSTRO.EUR.BRCC.005</t>
        </is>
      </c>
      <c r="M1924" t="inlineStr">
        <is>
          <t>Elmwood Bank</t>
        </is>
      </c>
      <c r="N1924" t="inlineStr">
        <is>
          <t>BRCCMM</t>
        </is>
      </c>
      <c r="O1924" t="inlineStr">
        <is>
          <t>NEW</t>
        </is>
      </c>
      <c r="P1924" t="inlineStr">
        <is>
          <t>NT26082000802</t>
        </is>
      </c>
      <c r="Q1924" t="inlineStr">
        <is>
          <t>NETTER</t>
        </is>
      </c>
    </row>
    <row r="1925">
      <c r="A1925" t="inlineStr">
        <is>
          <t>621381112674</t>
        </is>
      </c>
      <c r="B1925" t="inlineStr">
        <is>
          <t>TCC</t>
        </is>
      </c>
      <c r="C1925" t="inlineStr">
        <is>
          <t>BRAA</t>
        </is>
      </c>
      <c r="D1925" s="6" t="n">
        <v>46254</v>
      </c>
      <c r="E1925" t="inlineStr">
        <is>
          <t>CR</t>
        </is>
      </c>
      <c r="F1925" t="inlineStr">
        <is>
          <t>PLN</t>
        </is>
      </c>
      <c r="G1925" s="7" t="n">
        <v>48920879.453</v>
      </c>
      <c r="H1925" t="inlineStr">
        <is>
          <t>GBP</t>
        </is>
      </c>
      <c r="I1925" s="7" t="n">
        <v>9686334.131999999</v>
      </c>
      <c r="J1925" s="8" t="n">
        <v>46254.44521990741</v>
      </c>
      <c r="K1925" t="inlineStr">
        <is>
          <t>CF260820 01919</t>
        </is>
      </c>
      <c r="L1925" t="inlineStr">
        <is>
          <t>GL.NOSTRO.PLN.BRAA.004</t>
        </is>
      </c>
      <c r="M1925" t="inlineStr">
        <is>
          <t>Elmwood Clearing</t>
        </is>
      </c>
      <c r="N1925" t="inlineStr">
        <is>
          <t>BRAATRSY</t>
        </is>
      </c>
      <c r="O1925" t="inlineStr">
        <is>
          <t>NEW</t>
        </is>
      </c>
      <c r="P1925" t="inlineStr">
        <is>
          <t>NT26082000805</t>
        </is>
      </c>
      <c r="Q1925" t="inlineStr">
        <is>
          <t>GROSS</t>
        </is>
      </c>
    </row>
    <row r="1926">
      <c r="A1926" t="inlineStr">
        <is>
          <t>621381112674</t>
        </is>
      </c>
      <c r="B1926" t="inlineStr">
        <is>
          <t>TCP</t>
        </is>
      </c>
      <c r="C1926" t="inlineStr">
        <is>
          <t>BRAA</t>
        </is>
      </c>
      <c r="D1926" s="6" t="n">
        <v>46254</v>
      </c>
      <c r="E1926" t="inlineStr">
        <is>
          <t>CR</t>
        </is>
      </c>
      <c r="F1926" t="inlineStr">
        <is>
          <t>PLN</t>
        </is>
      </c>
      <c r="G1926" s="7" t="n">
        <v>695291.681</v>
      </c>
      <c r="H1926" t="inlineStr">
        <is>
          <t>GBP</t>
        </is>
      </c>
      <c r="I1926" s="7" t="n">
        <v>137667.753</v>
      </c>
      <c r="J1926" s="8" t="n">
        <v>46254.40332175926</v>
      </c>
      <c r="K1926" t="inlineStr">
        <is>
          <t>CF260820 01920</t>
        </is>
      </c>
      <c r="L1926" t="inlineStr">
        <is>
          <t>GL.NOSTRO.PLN.BRAA.002</t>
        </is>
      </c>
      <c r="M1926" t="inlineStr">
        <is>
          <t>Fernway Settlement Bank</t>
        </is>
      </c>
      <c r="N1926" t="inlineStr">
        <is>
          <t>BRAAMM</t>
        </is>
      </c>
      <c r="O1926" t="inlineStr">
        <is>
          <t>NEW</t>
        </is>
      </c>
      <c r="Q1926" t="inlineStr">
        <is>
          <t>NETTER</t>
        </is>
      </c>
    </row>
    <row r="1927">
      <c r="A1927" t="inlineStr">
        <is>
          <t>132544340094</t>
        </is>
      </c>
      <c r="B1927" t="inlineStr">
        <is>
          <t>TCP</t>
        </is>
      </c>
      <c r="C1927" t="inlineStr">
        <is>
          <t>BRYG</t>
        </is>
      </c>
      <c r="D1927" s="6" t="n">
        <v>46254</v>
      </c>
      <c r="E1927" t="inlineStr">
        <is>
          <t>CR</t>
        </is>
      </c>
      <c r="F1927" t="inlineStr">
        <is>
          <t>CZK</t>
        </is>
      </c>
      <c r="G1927" s="7" t="n">
        <v>14919239.266</v>
      </c>
      <c r="H1927" t="inlineStr">
        <is>
          <t>GBP</t>
        </is>
      </c>
      <c r="I1927" s="7" t="n">
        <v>505762.211</v>
      </c>
      <c r="J1927" s="8" t="n">
        <v>46254.28061342592</v>
      </c>
      <c r="K1927" t="inlineStr">
        <is>
          <t>CF260820 01921</t>
        </is>
      </c>
      <c r="L1927" t="inlineStr">
        <is>
          <t>GL.NOSTRO.CZK.BRYG.004</t>
        </is>
      </c>
      <c r="M1927" t="inlineStr">
        <is>
          <t>Vetchling Commercial Bank</t>
        </is>
      </c>
      <c r="N1927" t="inlineStr">
        <is>
          <t>BRYGCASH</t>
        </is>
      </c>
      <c r="O1927" t="inlineStr">
        <is>
          <t>NEW</t>
        </is>
      </c>
      <c r="Q1927" t="inlineStr">
        <is>
          <t>NETTER</t>
        </is>
      </c>
    </row>
    <row r="1928">
      <c r="A1928" t="inlineStr">
        <is>
          <t>132544340094</t>
        </is>
      </c>
      <c r="B1928" t="inlineStr">
        <is>
          <t>TCG</t>
        </is>
      </c>
      <c r="C1928" t="inlineStr">
        <is>
          <t>BRYG</t>
        </is>
      </c>
      <c r="D1928" s="6" t="n">
        <v>46254</v>
      </c>
      <c r="E1928" t="inlineStr">
        <is>
          <t>DR</t>
        </is>
      </c>
      <c r="F1928" t="inlineStr">
        <is>
          <t>CZK</t>
        </is>
      </c>
      <c r="G1928" s="7" t="n">
        <v>-466.045</v>
      </c>
      <c r="H1928" t="inlineStr">
        <is>
          <t>GBP</t>
        </is>
      </c>
      <c r="I1928" s="7" t="n">
        <v>-15.799</v>
      </c>
      <c r="J1928" s="8" t="n">
        <v>46254.58518518518</v>
      </c>
      <c r="K1928" t="inlineStr">
        <is>
          <t>CF260820 01922</t>
        </is>
      </c>
      <c r="L1928" t="inlineStr">
        <is>
          <t>GL.NOSTRO.CZK.BRYG.007</t>
        </is>
      </c>
      <c r="M1928" t="inlineStr">
        <is>
          <t>Harrow Clearing</t>
        </is>
      </c>
      <c r="N1928" t="inlineStr">
        <is>
          <t>BRYGCASH</t>
        </is>
      </c>
      <c r="O1928" t="inlineStr">
        <is>
          <t>NEW</t>
        </is>
      </c>
      <c r="Q1928" t="inlineStr">
        <is>
          <t>NETTER</t>
        </is>
      </c>
    </row>
    <row r="1929">
      <c r="A1929" t="inlineStr">
        <is>
          <t>113829985108</t>
        </is>
      </c>
      <c r="B1929" t="inlineStr">
        <is>
          <t>TCP</t>
        </is>
      </c>
      <c r="C1929" t="inlineStr">
        <is>
          <t>BRGL</t>
        </is>
      </c>
      <c r="D1929" s="6" t="n">
        <v>46254</v>
      </c>
      <c r="E1929" t="inlineStr">
        <is>
          <t>DR</t>
        </is>
      </c>
      <c r="F1929" t="inlineStr">
        <is>
          <t>EUR</t>
        </is>
      </c>
      <c r="G1929" s="7" t="n">
        <v>-17377487.069</v>
      </c>
      <c r="H1929" t="inlineStr">
        <is>
          <t>GBP</t>
        </is>
      </c>
      <c r="I1929" s="7" t="n">
        <v>-14909883.905</v>
      </c>
      <c r="J1929" s="8" t="n">
        <v>46254.52504629629</v>
      </c>
      <c r="K1929" t="inlineStr">
        <is>
          <t>CF260820 01923</t>
        </is>
      </c>
      <c r="L1929" t="inlineStr">
        <is>
          <t>GL.NOSTRO.EUR.BRGL.001</t>
        </is>
      </c>
      <c r="M1929" t="inlineStr">
        <is>
          <t>Granite Clearing</t>
        </is>
      </c>
      <c r="N1929" t="inlineStr">
        <is>
          <t>BRGLCASH</t>
        </is>
      </c>
      <c r="O1929" t="inlineStr">
        <is>
          <t>NEW</t>
        </is>
      </c>
      <c r="Q1929" t="inlineStr">
        <is>
          <t>NETTER</t>
        </is>
      </c>
    </row>
    <row r="1930">
      <c r="A1930" t="inlineStr">
        <is>
          <t>968942362772</t>
        </is>
      </c>
      <c r="B1930" t="inlineStr">
        <is>
          <t>TCG</t>
        </is>
      </c>
      <c r="C1930" t="inlineStr">
        <is>
          <t>BRYG</t>
        </is>
      </c>
      <c r="D1930" s="6" t="n">
        <v>46254</v>
      </c>
      <c r="E1930" t="inlineStr">
        <is>
          <t>DR</t>
        </is>
      </c>
      <c r="F1930" t="inlineStr">
        <is>
          <t>EUR</t>
        </is>
      </c>
      <c r="G1930" s="7" t="n">
        <v>-253311471.591</v>
      </c>
      <c r="H1930" t="inlineStr">
        <is>
          <t>GBP</t>
        </is>
      </c>
      <c r="I1930" s="7" t="n">
        <v>-217341242.625</v>
      </c>
      <c r="J1930" s="8" t="n">
        <v>46254.47546296296</v>
      </c>
      <c r="K1930" t="inlineStr">
        <is>
          <t>CF260820 01924</t>
        </is>
      </c>
      <c r="L1930" t="inlineStr">
        <is>
          <t>GL.NOSTRO.EUR.BRYG.005</t>
        </is>
      </c>
      <c r="M1930" t="inlineStr">
        <is>
          <t>Wrenfield Settlement Bank</t>
        </is>
      </c>
      <c r="N1930" t="inlineStr">
        <is>
          <t>BRYG</t>
        </is>
      </c>
      <c r="O1930" t="inlineStr">
        <is>
          <t>NEW</t>
        </is>
      </c>
      <c r="Q1930" t="inlineStr">
        <is>
          <t>NETTER</t>
        </is>
      </c>
    </row>
    <row r="1931">
      <c r="A1931" t="inlineStr">
        <is>
          <t>700726936098</t>
        </is>
      </c>
      <c r="B1931" t="inlineStr">
        <is>
          <t>TCP</t>
        </is>
      </c>
      <c r="C1931" t="inlineStr">
        <is>
          <t>BRMD</t>
        </is>
      </c>
      <c r="D1931" s="6" t="n">
        <v>46254</v>
      </c>
      <c r="E1931" t="inlineStr">
        <is>
          <t>CR</t>
        </is>
      </c>
      <c r="F1931" t="inlineStr">
        <is>
          <t>SAR</t>
        </is>
      </c>
      <c r="G1931" s="7" t="n">
        <v>6368263.864</v>
      </c>
      <c r="H1931" t="inlineStr">
        <is>
          <t>GBP</t>
        </is>
      </c>
      <c r="I1931" s="7" t="n">
        <v>1330967.148</v>
      </c>
      <c r="J1931" s="8" t="n">
        <v>46254.30195601852</v>
      </c>
      <c r="K1931" t="inlineStr">
        <is>
          <t>CF260820 01925</t>
        </is>
      </c>
      <c r="L1931" t="inlineStr">
        <is>
          <t>GL.NOSTRO.SAR.BRMD.007</t>
        </is>
      </c>
      <c r="M1931" t="inlineStr">
        <is>
          <t>Vetchling Bank</t>
        </is>
      </c>
      <c r="N1931" t="inlineStr">
        <is>
          <t>BRMDCASH</t>
        </is>
      </c>
      <c r="O1931" t="inlineStr">
        <is>
          <t>NEW</t>
        </is>
      </c>
      <c r="Q1931" t="inlineStr">
        <is>
          <t>INTERNAL</t>
        </is>
      </c>
    </row>
    <row r="1932">
      <c r="A1932" t="inlineStr">
        <is>
          <t>150316825069</t>
        </is>
      </c>
      <c r="B1932" t="inlineStr">
        <is>
          <t>TCC</t>
        </is>
      </c>
      <c r="C1932" t="inlineStr">
        <is>
          <t>BRGX</t>
        </is>
      </c>
      <c r="D1932" s="6" t="n">
        <v>46254</v>
      </c>
      <c r="E1932" t="inlineStr">
        <is>
          <t>CR</t>
        </is>
      </c>
      <c r="F1932" t="inlineStr">
        <is>
          <t>GBP</t>
        </is>
      </c>
      <c r="G1932" s="7" t="n">
        <v>107457279.469</v>
      </c>
      <c r="H1932" t="inlineStr">
        <is>
          <t>GBP</t>
        </is>
      </c>
      <c r="I1932" s="7" t="n">
        <v>107457279.469</v>
      </c>
      <c r="J1932" s="8" t="n">
        <v>46254.6602662037</v>
      </c>
      <c r="K1932" t="inlineStr">
        <is>
          <t>CF260820 01926</t>
        </is>
      </c>
      <c r="L1932" t="inlineStr">
        <is>
          <t>GL.NOSTRO.GBP.BRGX.009</t>
        </is>
      </c>
      <c r="M1932" t="inlineStr">
        <is>
          <t>Elmwood Bank</t>
        </is>
      </c>
      <c r="N1932" t="inlineStr">
        <is>
          <t>BRGXMM</t>
        </is>
      </c>
      <c r="O1932" t="inlineStr">
        <is>
          <t>NEW</t>
        </is>
      </c>
      <c r="Q1932" t="inlineStr">
        <is>
          <t>NETTER</t>
        </is>
      </c>
    </row>
    <row r="1933">
      <c r="A1933" t="inlineStr">
        <is>
          <t>171857983160</t>
        </is>
      </c>
      <c r="B1933" t="inlineStr">
        <is>
          <t>TCX</t>
        </is>
      </c>
      <c r="C1933" t="inlineStr">
        <is>
          <t>BRBX</t>
        </is>
      </c>
      <c r="D1933" s="6" t="n">
        <v>46254</v>
      </c>
      <c r="E1933" t="inlineStr">
        <is>
          <t>DR</t>
        </is>
      </c>
      <c r="F1933" t="inlineStr">
        <is>
          <t>AUD</t>
        </is>
      </c>
      <c r="G1933" s="7" t="n">
        <v>-484352404.978</v>
      </c>
      <c r="H1933" t="inlineStr">
        <is>
          <t>GBP</t>
        </is>
      </c>
      <c r="I1933" s="7" t="n">
        <v>-248472783.754</v>
      </c>
      <c r="J1933" s="8" t="n">
        <v>46254.37567129629</v>
      </c>
      <c r="K1933" t="inlineStr">
        <is>
          <t>CF260820 01927</t>
        </is>
      </c>
      <c r="L1933" t="inlineStr">
        <is>
          <t>GL.NOSTRO.AUD.BRBX.004</t>
        </is>
      </c>
      <c r="M1933" t="inlineStr">
        <is>
          <t>Harrow Clearing</t>
        </is>
      </c>
      <c r="N1933" t="inlineStr">
        <is>
          <t>BRBX</t>
        </is>
      </c>
      <c r="O1933" t="inlineStr">
        <is>
          <t>NEW</t>
        </is>
      </c>
      <c r="P1933" t="inlineStr">
        <is>
          <t>NT26082000821</t>
        </is>
      </c>
      <c r="Q1933" t="inlineStr">
        <is>
          <t>INTERNAL</t>
        </is>
      </c>
    </row>
    <row r="1934">
      <c r="A1934" t="inlineStr">
        <is>
          <t>150316825069</t>
        </is>
      </c>
      <c r="B1934" t="inlineStr">
        <is>
          <t>TCC</t>
        </is>
      </c>
      <c r="C1934" t="inlineStr">
        <is>
          <t>BRGX</t>
        </is>
      </c>
      <c r="D1934" s="6" t="n">
        <v>46254</v>
      </c>
      <c r="E1934" t="inlineStr">
        <is>
          <t>DR</t>
        </is>
      </c>
      <c r="F1934" t="inlineStr">
        <is>
          <t>GBP</t>
        </is>
      </c>
      <c r="G1934" s="7" t="n">
        <v>-2896196.63</v>
      </c>
      <c r="H1934" t="inlineStr">
        <is>
          <t>GBP</t>
        </is>
      </c>
      <c r="I1934" s="7" t="n">
        <v>-2896196.63</v>
      </c>
      <c r="J1934" s="8" t="n">
        <v>46254.68586805555</v>
      </c>
      <c r="K1934" t="inlineStr">
        <is>
          <t>CF260820 01928</t>
        </is>
      </c>
      <c r="L1934" t="inlineStr">
        <is>
          <t>GL.NOSTRO.GBP.BRGX.004</t>
        </is>
      </c>
      <c r="M1934" t="inlineStr">
        <is>
          <t>Nightjar Trust</t>
        </is>
      </c>
      <c r="N1934" t="inlineStr">
        <is>
          <t>BRGXMM</t>
        </is>
      </c>
      <c r="O1934" t="inlineStr">
        <is>
          <t>NEW</t>
        </is>
      </c>
      <c r="Q1934" t="inlineStr">
        <is>
          <t>GROSS</t>
        </is>
      </c>
    </row>
    <row r="1935">
      <c r="A1935" t="inlineStr">
        <is>
          <t>499062838623</t>
        </is>
      </c>
      <c r="B1935" t="inlineStr">
        <is>
          <t>TCQ</t>
        </is>
      </c>
      <c r="C1935" t="inlineStr">
        <is>
          <t>BRBX</t>
        </is>
      </c>
      <c r="D1935" s="6" t="n">
        <v>46254</v>
      </c>
      <c r="E1935" t="inlineStr">
        <is>
          <t>DR</t>
        </is>
      </c>
      <c r="F1935" t="inlineStr">
        <is>
          <t>USD</t>
        </is>
      </c>
      <c r="G1935" s="7" t="n">
        <v>-1.798</v>
      </c>
      <c r="H1935" t="inlineStr">
        <is>
          <t>GBP</t>
        </is>
      </c>
      <c r="I1935" s="7" t="n">
        <v>-1.41</v>
      </c>
      <c r="J1935" s="8" t="n">
        <v>46254.53829861111</v>
      </c>
      <c r="K1935" t="inlineStr">
        <is>
          <t>CF260820 01929</t>
        </is>
      </c>
      <c r="L1935" t="inlineStr">
        <is>
          <t>GL.NOSTRO.USD.BRBX.007</t>
        </is>
      </c>
      <c r="M1935" t="inlineStr">
        <is>
          <t>Dunlin Bank</t>
        </is>
      </c>
      <c r="N1935" t="inlineStr">
        <is>
          <t>BRBX</t>
        </is>
      </c>
      <c r="O1935" t="inlineStr">
        <is>
          <t>NEW</t>
        </is>
      </c>
      <c r="Q1935" t="inlineStr">
        <is>
          <t>NETTER</t>
        </is>
      </c>
    </row>
    <row r="1936">
      <c r="A1936" t="inlineStr">
        <is>
          <t>132544340094</t>
        </is>
      </c>
      <c r="B1936" t="inlineStr">
        <is>
          <t>TCP</t>
        </is>
      </c>
      <c r="C1936" t="inlineStr">
        <is>
          <t>BRYG</t>
        </is>
      </c>
      <c r="D1936" s="6" t="n">
        <v>46254</v>
      </c>
      <c r="E1936" t="inlineStr">
        <is>
          <t>CR</t>
        </is>
      </c>
      <c r="F1936" t="inlineStr">
        <is>
          <t>CZK</t>
        </is>
      </c>
      <c r="G1936" s="7" t="n">
        <v>285117040.416</v>
      </c>
      <c r="H1936" t="inlineStr">
        <is>
          <t>GBP</t>
        </is>
      </c>
      <c r="I1936" s="7" t="n">
        <v>9665467.67</v>
      </c>
      <c r="J1936" s="8" t="n">
        <v>46254.37604166667</v>
      </c>
      <c r="K1936" t="inlineStr">
        <is>
          <t>CF260820 01930</t>
        </is>
      </c>
      <c r="L1936" t="inlineStr">
        <is>
          <t>GL.NOSTRO.CZK.BRYG.002</t>
        </is>
      </c>
      <c r="M1936" t="inlineStr">
        <is>
          <t>Redstart Trust</t>
        </is>
      </c>
      <c r="N1936" t="inlineStr">
        <is>
          <t>BRYGTRSY</t>
        </is>
      </c>
      <c r="O1936" t="inlineStr">
        <is>
          <t>NEW</t>
        </is>
      </c>
      <c r="P1936" t="inlineStr">
        <is>
          <t>NT26082000804</t>
        </is>
      </c>
      <c r="Q1936" t="inlineStr">
        <is>
          <t>GROSS</t>
        </is>
      </c>
    </row>
    <row r="1937">
      <c r="A1937" t="inlineStr">
        <is>
          <t>910703979141</t>
        </is>
      </c>
      <c r="B1937" t="inlineStr">
        <is>
          <t>TCQ</t>
        </is>
      </c>
      <c r="C1937" t="inlineStr">
        <is>
          <t>BRCC</t>
        </is>
      </c>
      <c r="D1937" s="6" t="n">
        <v>46254</v>
      </c>
      <c r="E1937" t="inlineStr">
        <is>
          <t>DR</t>
        </is>
      </c>
      <c r="F1937" t="inlineStr">
        <is>
          <t>CHF</t>
        </is>
      </c>
      <c r="G1937" s="7" t="n">
        <v>-44130820.234</v>
      </c>
      <c r="H1937" t="inlineStr">
        <is>
          <t>GBP</t>
        </is>
      </c>
      <c r="I1937" s="7" t="n">
        <v>-39585345.75</v>
      </c>
      <c r="J1937" s="8" t="n">
        <v>46254.35258101852</v>
      </c>
      <c r="K1937" t="inlineStr">
        <is>
          <t>CF260820 01931</t>
        </is>
      </c>
      <c r="L1937" t="inlineStr">
        <is>
          <t>GL.NOSTRO.CHF.BRCC.005</t>
        </is>
      </c>
      <c r="M1937" t="inlineStr">
        <is>
          <t>Cedar Commercial Bank</t>
        </is>
      </c>
      <c r="N1937" t="inlineStr">
        <is>
          <t>BRCCCASH</t>
        </is>
      </c>
      <c r="O1937" t="inlineStr">
        <is>
          <t>NEW</t>
        </is>
      </c>
      <c r="Q1937" t="inlineStr">
        <is>
          <t>GROSS</t>
        </is>
      </c>
    </row>
    <row r="1938">
      <c r="A1938" t="inlineStr">
        <is>
          <t>468341071172</t>
        </is>
      </c>
      <c r="B1938" t="inlineStr">
        <is>
          <t>TCQ</t>
        </is>
      </c>
      <c r="C1938" t="inlineStr">
        <is>
          <t>BRCC</t>
        </is>
      </c>
      <c r="D1938" s="6" t="n">
        <v>46254</v>
      </c>
      <c r="E1938" t="inlineStr">
        <is>
          <t>DR</t>
        </is>
      </c>
      <c r="F1938" t="inlineStr">
        <is>
          <t>EUR</t>
        </is>
      </c>
      <c r="G1938" s="7" t="n">
        <v>-336.797</v>
      </c>
      <c r="H1938" t="inlineStr">
        <is>
          <t>GBP</t>
        </is>
      </c>
      <c r="I1938" s="7" t="n">
        <v>-288.972</v>
      </c>
      <c r="J1938" s="8" t="n">
        <v>46254.70221064815</v>
      </c>
      <c r="K1938" t="inlineStr">
        <is>
          <t>CF260820 01932</t>
        </is>
      </c>
      <c r="L1938" t="inlineStr">
        <is>
          <t>GL.NOSTRO.EUR.BRCC.002</t>
        </is>
      </c>
      <c r="M1938" t="inlineStr">
        <is>
          <t>Vetchling Settlement Bank</t>
        </is>
      </c>
      <c r="N1938" t="inlineStr">
        <is>
          <t>BRCC</t>
        </is>
      </c>
      <c r="O1938" t="inlineStr">
        <is>
          <t>NEW</t>
        </is>
      </c>
      <c r="Q1938" t="inlineStr">
        <is>
          <t>INTERNAL</t>
        </is>
      </c>
    </row>
    <row r="1939">
      <c r="A1939" t="inlineStr">
        <is>
          <t>150316825069</t>
        </is>
      </c>
      <c r="B1939" t="inlineStr">
        <is>
          <t>TCG</t>
        </is>
      </c>
      <c r="C1939" t="inlineStr">
        <is>
          <t>BRGX</t>
        </is>
      </c>
      <c r="D1939" s="6" t="n">
        <v>46254</v>
      </c>
      <c r="E1939" t="inlineStr">
        <is>
          <t>DR</t>
        </is>
      </c>
      <c r="F1939" t="inlineStr">
        <is>
          <t>GBP</t>
        </is>
      </c>
      <c r="G1939" s="7" t="n">
        <v>-495532.775</v>
      </c>
      <c r="H1939" t="inlineStr">
        <is>
          <t>GBP</t>
        </is>
      </c>
      <c r="I1939" s="7" t="n">
        <v>-495532.775</v>
      </c>
      <c r="J1939" s="8" t="n">
        <v>46254.67715277777</v>
      </c>
      <c r="K1939" t="inlineStr">
        <is>
          <t>CF260820 01933</t>
        </is>
      </c>
      <c r="L1939" t="inlineStr">
        <is>
          <t>GL.NOSTRO.GBP.BRGX.001</t>
        </is>
      </c>
      <c r="M1939" t="inlineStr">
        <is>
          <t>Fernway Settlement Bank</t>
        </is>
      </c>
      <c r="N1939" t="inlineStr">
        <is>
          <t>BRGXCASH</t>
        </is>
      </c>
      <c r="O1939" t="inlineStr">
        <is>
          <t>AMEND</t>
        </is>
      </c>
      <c r="P1939" t="inlineStr">
        <is>
          <t>NT26082000792</t>
        </is>
      </c>
      <c r="Q1939" t="inlineStr">
        <is>
          <t>INTERNAL</t>
        </is>
      </c>
    </row>
    <row r="1940">
      <c r="A1940" t="inlineStr">
        <is>
          <t>150316825069</t>
        </is>
      </c>
      <c r="B1940" t="inlineStr">
        <is>
          <t>TCC</t>
        </is>
      </c>
      <c r="C1940" t="inlineStr">
        <is>
          <t>BRGX</t>
        </is>
      </c>
      <c r="D1940" s="6" t="n">
        <v>46254</v>
      </c>
      <c r="E1940" t="inlineStr">
        <is>
          <t>CR</t>
        </is>
      </c>
      <c r="F1940" t="inlineStr">
        <is>
          <t>GBP</t>
        </is>
      </c>
      <c r="G1940" s="7" t="n">
        <v>2370488.011</v>
      </c>
      <c r="H1940" t="inlineStr">
        <is>
          <t>GBP</t>
        </is>
      </c>
      <c r="I1940" s="7" t="n">
        <v>2370488.011</v>
      </c>
      <c r="J1940" s="8" t="n">
        <v>46254.62228009259</v>
      </c>
      <c r="K1940" t="inlineStr">
        <is>
          <t>CF260820 01934</t>
        </is>
      </c>
      <c r="L1940" t="inlineStr">
        <is>
          <t>GL.NOSTRO.GBP.BRGX.007</t>
        </is>
      </c>
      <c r="M1940" t="inlineStr">
        <is>
          <t>Thornbury Bank</t>
        </is>
      </c>
      <c r="N1940" t="inlineStr">
        <is>
          <t>BRGXMM</t>
        </is>
      </c>
      <c r="O1940" t="inlineStr">
        <is>
          <t>NEW</t>
        </is>
      </c>
      <c r="P1940" t="inlineStr">
        <is>
          <t>NT26082000795</t>
        </is>
      </c>
      <c r="Q1940" t="inlineStr">
        <is>
          <t>NETTER</t>
        </is>
      </c>
    </row>
    <row r="1941">
      <c r="A1941" t="inlineStr">
        <is>
          <t>910703979141</t>
        </is>
      </c>
      <c r="B1941" t="inlineStr">
        <is>
          <t>TCC</t>
        </is>
      </c>
      <c r="C1941" t="inlineStr">
        <is>
          <t>BRCC</t>
        </is>
      </c>
      <c r="D1941" s="6" t="n">
        <v>46254</v>
      </c>
      <c r="E1941" t="inlineStr">
        <is>
          <t>DR</t>
        </is>
      </c>
      <c r="F1941" t="inlineStr">
        <is>
          <t>CHF</t>
        </is>
      </c>
      <c r="G1941" s="7" t="n">
        <v>-836115.209</v>
      </c>
      <c r="H1941" t="inlineStr">
        <is>
          <t>GBP</t>
        </is>
      </c>
      <c r="I1941" s="7" t="n">
        <v>-749995.3419999999</v>
      </c>
      <c r="J1941" s="8" t="n">
        <v>46254.66212962963</v>
      </c>
      <c r="K1941" t="inlineStr">
        <is>
          <t>CF260820 01935</t>
        </is>
      </c>
      <c r="L1941" t="inlineStr">
        <is>
          <t>GL.NOSTRO.CHF.BRCC.008</t>
        </is>
      </c>
      <c r="M1941" t="inlineStr">
        <is>
          <t>Yarrow Bank</t>
        </is>
      </c>
      <c r="N1941" t="inlineStr">
        <is>
          <t>BRCC</t>
        </is>
      </c>
      <c r="O1941" t="inlineStr">
        <is>
          <t>NEW</t>
        </is>
      </c>
      <c r="Q1941" t="inlineStr">
        <is>
          <t>NETTER</t>
        </is>
      </c>
    </row>
    <row r="1942">
      <c r="A1942" t="inlineStr">
        <is>
          <t>132544340094</t>
        </is>
      </c>
      <c r="B1942" t="inlineStr">
        <is>
          <t>TCX</t>
        </is>
      </c>
      <c r="C1942" t="inlineStr">
        <is>
          <t>BRYG</t>
        </is>
      </c>
      <c r="D1942" s="6" t="n">
        <v>46254</v>
      </c>
      <c r="E1942" t="inlineStr">
        <is>
          <t>DR</t>
        </is>
      </c>
      <c r="F1942" t="inlineStr">
        <is>
          <t>CZK</t>
        </is>
      </c>
      <c r="G1942" s="7" t="n">
        <v>-5033.155</v>
      </c>
      <c r="H1942" t="inlineStr">
        <is>
          <t>GBP</t>
        </is>
      </c>
      <c r="I1942" s="7" t="n">
        <v>-170.624</v>
      </c>
      <c r="J1942" s="8" t="n">
        <v>46254.34417824074</v>
      </c>
      <c r="K1942" t="inlineStr">
        <is>
          <t>CF260820 01936</t>
        </is>
      </c>
      <c r="L1942" t="inlineStr">
        <is>
          <t>GL.NOSTRO.CZK.BRYG.003</t>
        </is>
      </c>
      <c r="M1942" t="inlineStr">
        <is>
          <t>Pinehurst Settlement Bank</t>
        </is>
      </c>
      <c r="N1942" t="inlineStr">
        <is>
          <t>BRYGTRSY</t>
        </is>
      </c>
      <c r="O1942" t="inlineStr">
        <is>
          <t>NEW</t>
        </is>
      </c>
      <c r="P1942" t="inlineStr">
        <is>
          <t>NT26082000791</t>
        </is>
      </c>
      <c r="Q1942" t="inlineStr">
        <is>
          <t>NETTER</t>
        </is>
      </c>
    </row>
    <row r="1943">
      <c r="A1943" t="inlineStr">
        <is>
          <t>150316825069</t>
        </is>
      </c>
      <c r="B1943" t="inlineStr">
        <is>
          <t>TCP</t>
        </is>
      </c>
      <c r="C1943" t="inlineStr">
        <is>
          <t>BRGX</t>
        </is>
      </c>
      <c r="D1943" s="6" t="n">
        <v>46254</v>
      </c>
      <c r="E1943" t="inlineStr">
        <is>
          <t>CR</t>
        </is>
      </c>
      <c r="F1943" t="inlineStr">
        <is>
          <t>GBP</t>
        </is>
      </c>
      <c r="G1943" s="7" t="n">
        <v>111134036.529</v>
      </c>
      <c r="H1943" t="inlineStr">
        <is>
          <t>GBP</t>
        </is>
      </c>
      <c r="I1943" s="7" t="n">
        <v>111134036.529</v>
      </c>
      <c r="J1943" s="8" t="n">
        <v>46254.60988425926</v>
      </c>
      <c r="K1943" t="inlineStr">
        <is>
          <t>CF260820 01937</t>
        </is>
      </c>
      <c r="L1943" t="inlineStr">
        <is>
          <t>GL.NOSTRO.GBP.BRGX.006</t>
        </is>
      </c>
      <c r="M1943" t="inlineStr">
        <is>
          <t>Dunlin Bank</t>
        </is>
      </c>
      <c r="N1943" t="inlineStr">
        <is>
          <t>BRGXCASH</t>
        </is>
      </c>
      <c r="O1943" t="inlineStr">
        <is>
          <t>CANCEL</t>
        </is>
      </c>
      <c r="Q1943" t="inlineStr">
        <is>
          <t>NETTER</t>
        </is>
      </c>
    </row>
    <row r="1944">
      <c r="A1944" t="inlineStr">
        <is>
          <t>265771593142</t>
        </is>
      </c>
      <c r="B1944" t="inlineStr">
        <is>
          <t>TCQ</t>
        </is>
      </c>
      <c r="C1944" t="inlineStr">
        <is>
          <t>BRYG</t>
        </is>
      </c>
      <c r="D1944" s="6" t="n">
        <v>46254</v>
      </c>
      <c r="E1944" t="inlineStr">
        <is>
          <t>DR</t>
        </is>
      </c>
      <c r="F1944" t="inlineStr">
        <is>
          <t>EUR</t>
        </is>
      </c>
      <c r="G1944" s="7" t="n">
        <v>-205435305.25</v>
      </c>
      <c r="H1944" t="inlineStr">
        <is>
          <t>GBP</t>
        </is>
      </c>
      <c r="I1944" s="7" t="n">
        <v>-176263491.905</v>
      </c>
      <c r="J1944" s="8" t="n">
        <v>46254.65383101852</v>
      </c>
      <c r="K1944" t="inlineStr">
        <is>
          <t>CF260820 01938</t>
        </is>
      </c>
      <c r="L1944" t="inlineStr">
        <is>
          <t>GL.NOSTRO.EUR.BRYG.003</t>
        </is>
      </c>
      <c r="M1944" t="inlineStr">
        <is>
          <t>Umberton Commercial Bank</t>
        </is>
      </c>
      <c r="N1944" t="inlineStr">
        <is>
          <t>BRYGCASH</t>
        </is>
      </c>
      <c r="O1944" t="inlineStr">
        <is>
          <t>NEW</t>
        </is>
      </c>
      <c r="P1944" t="inlineStr">
        <is>
          <t>NT26082000789</t>
        </is>
      </c>
      <c r="Q1944" t="inlineStr">
        <is>
          <t>INTERNAL</t>
        </is>
      </c>
    </row>
    <row r="1945">
      <c r="A1945" t="inlineStr">
        <is>
          <t>898317028833</t>
        </is>
      </c>
      <c r="B1945" t="inlineStr">
        <is>
          <t>TCC</t>
        </is>
      </c>
      <c r="C1945" t="inlineStr">
        <is>
          <t>BRAA</t>
        </is>
      </c>
      <c r="D1945" s="6" t="n">
        <v>46254</v>
      </c>
      <c r="E1945" t="inlineStr">
        <is>
          <t>DR</t>
        </is>
      </c>
      <c r="F1945" t="inlineStr">
        <is>
          <t>GBP</t>
        </is>
      </c>
      <c r="G1945" s="7" t="n">
        <v>-22640.55</v>
      </c>
      <c r="H1945" t="inlineStr">
        <is>
          <t>GBP</t>
        </is>
      </c>
      <c r="I1945" s="7" t="n">
        <v>-22640.55</v>
      </c>
      <c r="J1945" s="8" t="n">
        <v>46254.71021990741</v>
      </c>
      <c r="K1945" t="inlineStr">
        <is>
          <t>CF260820 01939</t>
        </is>
      </c>
      <c r="L1945" t="inlineStr">
        <is>
          <t>GL.NOSTRO.GBP.BRAA.009</t>
        </is>
      </c>
      <c r="M1945" t="inlineStr">
        <is>
          <t>Elmwood Bank</t>
        </is>
      </c>
      <c r="N1945" t="inlineStr">
        <is>
          <t>BRAACASH</t>
        </is>
      </c>
      <c r="O1945" t="inlineStr">
        <is>
          <t>NEW</t>
        </is>
      </c>
      <c r="Q1945" t="inlineStr">
        <is>
          <t>NETTER</t>
        </is>
      </c>
    </row>
    <row r="1946">
      <c r="A1946" t="inlineStr">
        <is>
          <t>910703979141</t>
        </is>
      </c>
      <c r="B1946" t="inlineStr">
        <is>
          <t>TCP</t>
        </is>
      </c>
      <c r="C1946" t="inlineStr">
        <is>
          <t>BRCC</t>
        </is>
      </c>
      <c r="D1946" s="6" t="n">
        <v>46254</v>
      </c>
      <c r="E1946" t="inlineStr">
        <is>
          <t>DR</t>
        </is>
      </c>
      <c r="F1946" t="inlineStr">
        <is>
          <t>CHF</t>
        </is>
      </c>
      <c r="G1946" s="7" t="n">
        <v>-117031436.149</v>
      </c>
      <c r="H1946" t="inlineStr">
        <is>
          <t>GBP</t>
        </is>
      </c>
      <c r="I1946" s="7" t="n">
        <v>-104977198.226</v>
      </c>
      <c r="J1946" s="8" t="n">
        <v>46254.56850694444</v>
      </c>
      <c r="K1946" t="inlineStr">
        <is>
          <t>CF260820 01940</t>
        </is>
      </c>
      <c r="L1946" t="inlineStr">
        <is>
          <t>GL.NOSTRO.CHF.BRCC.001</t>
        </is>
      </c>
      <c r="M1946" t="inlineStr">
        <is>
          <t>Vetchling Settlement Bank</t>
        </is>
      </c>
      <c r="N1946" t="inlineStr">
        <is>
          <t>BRCC</t>
        </is>
      </c>
      <c r="O1946" t="inlineStr">
        <is>
          <t>AMEND</t>
        </is>
      </c>
      <c r="Q1946" t="inlineStr">
        <is>
          <t>INTERNAL</t>
        </is>
      </c>
    </row>
    <row r="1947">
      <c r="A1947" t="inlineStr">
        <is>
          <t>910703979141</t>
        </is>
      </c>
      <c r="B1947" t="inlineStr">
        <is>
          <t>TCX</t>
        </is>
      </c>
      <c r="C1947" t="inlineStr">
        <is>
          <t>BRCC</t>
        </is>
      </c>
      <c r="D1947" s="6" t="n">
        <v>46254</v>
      </c>
      <c r="E1947" t="inlineStr">
        <is>
          <t>DR</t>
        </is>
      </c>
      <c r="F1947" t="inlineStr">
        <is>
          <t>CHF</t>
        </is>
      </c>
      <c r="G1947" s="7" t="n">
        <v>-416984300.238</v>
      </c>
      <c r="H1947" t="inlineStr">
        <is>
          <t>GBP</t>
        </is>
      </c>
      <c r="I1947" s="7" t="n">
        <v>-374034917.313</v>
      </c>
      <c r="J1947" s="8" t="n">
        <v>46254.32285879629</v>
      </c>
      <c r="K1947" t="inlineStr">
        <is>
          <t>CF260820 01941</t>
        </is>
      </c>
      <c r="L1947" t="inlineStr">
        <is>
          <t>GL.NOSTRO.CHF.BRCC.001</t>
        </is>
      </c>
      <c r="M1947" t="inlineStr">
        <is>
          <t>Ironbark Trust</t>
        </is>
      </c>
      <c r="N1947" t="inlineStr">
        <is>
          <t>BRCCMM</t>
        </is>
      </c>
      <c r="O1947" t="inlineStr">
        <is>
          <t>NEW</t>
        </is>
      </c>
      <c r="Q1947" t="inlineStr">
        <is>
          <t>NETTER</t>
        </is>
      </c>
    </row>
    <row r="1948">
      <c r="A1948" t="inlineStr">
        <is>
          <t>113829985108</t>
        </is>
      </c>
      <c r="B1948" t="inlineStr">
        <is>
          <t>TCP</t>
        </is>
      </c>
      <c r="C1948" t="inlineStr">
        <is>
          <t>BRGL</t>
        </is>
      </c>
      <c r="D1948" s="6" t="n">
        <v>46254</v>
      </c>
      <c r="E1948" t="inlineStr">
        <is>
          <t>CR</t>
        </is>
      </c>
      <c r="F1948" t="inlineStr">
        <is>
          <t>EUR</t>
        </is>
      </c>
      <c r="G1948" s="7" t="n">
        <v>24123448.675</v>
      </c>
      <c r="H1948" t="inlineStr">
        <is>
          <t>GBP</t>
        </is>
      </c>
      <c r="I1948" s="7" t="n">
        <v>20697918.963</v>
      </c>
      <c r="J1948" s="8" t="n">
        <v>46254.77756944444</v>
      </c>
      <c r="K1948" t="inlineStr">
        <is>
          <t>CF260820 01942</t>
        </is>
      </c>
      <c r="L1948" t="inlineStr">
        <is>
          <t>GL.NOSTRO.EUR.BRGL.004</t>
        </is>
      </c>
      <c r="M1948" t="inlineStr">
        <is>
          <t>Sablewood Clearing</t>
        </is>
      </c>
      <c r="N1948" t="inlineStr">
        <is>
          <t>BRGLMM</t>
        </is>
      </c>
      <c r="O1948" t="inlineStr">
        <is>
          <t>NEW</t>
        </is>
      </c>
      <c r="Q1948" t="inlineStr">
        <is>
          <t>NETTER</t>
        </is>
      </c>
    </row>
    <row r="1949">
      <c r="A1949" t="inlineStr">
        <is>
          <t>898317028833</t>
        </is>
      </c>
      <c r="B1949" t="inlineStr">
        <is>
          <t>TCQ</t>
        </is>
      </c>
      <c r="C1949" t="inlineStr">
        <is>
          <t>BRAA</t>
        </is>
      </c>
      <c r="D1949" s="6" t="n">
        <v>46254</v>
      </c>
      <c r="E1949" t="inlineStr">
        <is>
          <t>DR</t>
        </is>
      </c>
      <c r="F1949" t="inlineStr">
        <is>
          <t>GBP</t>
        </is>
      </c>
      <c r="G1949" s="7" t="n">
        <v>-21796.4</v>
      </c>
      <c r="H1949" t="inlineStr">
        <is>
          <t>GBP</t>
        </is>
      </c>
      <c r="I1949" s="7" t="n">
        <v>-21796.4</v>
      </c>
      <c r="J1949" s="8" t="n">
        <v>46254.62188657407</v>
      </c>
      <c r="K1949" t="inlineStr">
        <is>
          <t>CF260820 01943</t>
        </is>
      </c>
      <c r="L1949" t="inlineStr">
        <is>
          <t>GL.NOSTRO.GBP.BRAA.009</t>
        </is>
      </c>
      <c r="M1949" t="inlineStr">
        <is>
          <t>Alder Trust</t>
        </is>
      </c>
      <c r="N1949" t="inlineStr">
        <is>
          <t>BRAAMM</t>
        </is>
      </c>
      <c r="O1949" t="inlineStr">
        <is>
          <t>AMEND</t>
        </is>
      </c>
      <c r="Q1949" t="inlineStr">
        <is>
          <t>INTERNAL</t>
        </is>
      </c>
    </row>
    <row r="1950">
      <c r="A1950" t="inlineStr">
        <is>
          <t>284925023085</t>
        </is>
      </c>
      <c r="B1950" t="inlineStr">
        <is>
          <t>TCQ</t>
        </is>
      </c>
      <c r="C1950" t="inlineStr">
        <is>
          <t>BRMD</t>
        </is>
      </c>
      <c r="D1950" s="6" t="n">
        <v>46254</v>
      </c>
      <c r="E1950" t="inlineStr">
        <is>
          <t>DR</t>
        </is>
      </c>
      <c r="F1950" t="inlineStr">
        <is>
          <t>MXN</t>
        </is>
      </c>
      <c r="G1950" s="7" t="n">
        <v>-13778215.604</v>
      </c>
      <c r="H1950" t="inlineStr">
        <is>
          <t>GBP</t>
        </is>
      </c>
      <c r="I1950" s="7" t="n">
        <v>-589707.628</v>
      </c>
      <c r="J1950" s="8" t="n">
        <v>46254.58893518519</v>
      </c>
      <c r="K1950" t="inlineStr">
        <is>
          <t>CF260820 01944</t>
        </is>
      </c>
      <c r="L1950" t="inlineStr">
        <is>
          <t>GL.NOSTRO.MXN.BRMD.002</t>
        </is>
      </c>
      <c r="M1950" t="inlineStr">
        <is>
          <t>Redstart Commercial Bank</t>
        </is>
      </c>
      <c r="N1950" t="inlineStr">
        <is>
          <t>BRMDTRSY</t>
        </is>
      </c>
      <c r="O1950" t="inlineStr">
        <is>
          <t>NEW</t>
        </is>
      </c>
      <c r="Q1950" t="inlineStr">
        <is>
          <t>NETTER</t>
        </is>
      </c>
    </row>
    <row r="1951">
      <c r="A1951" t="inlineStr">
        <is>
          <t>359365220160</t>
        </is>
      </c>
      <c r="B1951" t="inlineStr">
        <is>
          <t>TCX</t>
        </is>
      </c>
      <c r="C1951" t="inlineStr">
        <is>
          <t>BRGX</t>
        </is>
      </c>
      <c r="D1951" s="6" t="n">
        <v>46254</v>
      </c>
      <c r="E1951" t="inlineStr">
        <is>
          <t>DR</t>
        </is>
      </c>
      <c r="F1951" t="inlineStr">
        <is>
          <t>EUR</t>
        </is>
      </c>
      <c r="G1951" s="7" t="n">
        <v>-102865929.236</v>
      </c>
      <c r="H1951" t="inlineStr">
        <is>
          <t>GBP</t>
        </is>
      </c>
      <c r="I1951" s="7" t="n">
        <v>-88258967.28399999</v>
      </c>
      <c r="J1951" s="8" t="n">
        <v>46254.39648148148</v>
      </c>
      <c r="K1951" t="inlineStr">
        <is>
          <t>CF260820 01945</t>
        </is>
      </c>
      <c r="L1951" t="inlineStr">
        <is>
          <t>GL.NOSTRO.EUR.BRGX.009</t>
        </is>
      </c>
      <c r="M1951" t="inlineStr">
        <is>
          <t>Vetchling Settlement Bank</t>
        </is>
      </c>
      <c r="N1951" t="inlineStr">
        <is>
          <t>BRGXCASH</t>
        </is>
      </c>
      <c r="O1951" t="inlineStr">
        <is>
          <t>AMEND</t>
        </is>
      </c>
      <c r="P1951" t="inlineStr">
        <is>
          <t>NT26082000807</t>
        </is>
      </c>
      <c r="Q1951" t="inlineStr">
        <is>
          <t>NETTER</t>
        </is>
      </c>
    </row>
    <row r="1952">
      <c r="A1952" t="inlineStr">
        <is>
          <t>794226063698</t>
        </is>
      </c>
      <c r="B1952" t="inlineStr">
        <is>
          <t>TCQ</t>
        </is>
      </c>
      <c r="C1952" t="inlineStr">
        <is>
          <t>BRMD</t>
        </is>
      </c>
      <c r="D1952" s="6" t="n">
        <v>46254</v>
      </c>
      <c r="E1952" t="inlineStr">
        <is>
          <t>DR</t>
        </is>
      </c>
      <c r="F1952" t="inlineStr">
        <is>
          <t>AED</t>
        </is>
      </c>
      <c r="G1952" s="7" t="n">
        <v>-53937569.446</v>
      </c>
      <c r="H1952" t="inlineStr">
        <is>
          <t>GBP</t>
        </is>
      </c>
      <c r="I1952" s="7" t="n">
        <v>-11488702.292</v>
      </c>
      <c r="J1952" s="8" t="n">
        <v>46254.74623842593</v>
      </c>
      <c r="K1952" t="inlineStr">
        <is>
          <t>CF260820 01946</t>
        </is>
      </c>
      <c r="L1952" t="inlineStr">
        <is>
          <t>GL.NOSTRO.AED.BRMD.002</t>
        </is>
      </c>
      <c r="M1952" t="inlineStr">
        <is>
          <t>Ironbark Commercial Bank</t>
        </is>
      </c>
      <c r="N1952" t="inlineStr">
        <is>
          <t>BRMD</t>
        </is>
      </c>
      <c r="O1952" t="inlineStr">
        <is>
          <t>NEW</t>
        </is>
      </c>
      <c r="Q1952" t="inlineStr">
        <is>
          <t>NETTER</t>
        </is>
      </c>
    </row>
    <row r="1953">
      <c r="A1953" t="inlineStr">
        <is>
          <t>150316825069</t>
        </is>
      </c>
      <c r="B1953" t="inlineStr">
        <is>
          <t>TCQ</t>
        </is>
      </c>
      <c r="C1953" t="inlineStr">
        <is>
          <t>BRGX</t>
        </is>
      </c>
      <c r="D1953" s="6" t="n">
        <v>46254</v>
      </c>
      <c r="E1953" t="inlineStr">
        <is>
          <t>CR</t>
        </is>
      </c>
      <c r="F1953" t="inlineStr">
        <is>
          <t>GBP</t>
        </is>
      </c>
      <c r="G1953" s="7" t="n">
        <v>33992006.512</v>
      </c>
      <c r="H1953" t="inlineStr">
        <is>
          <t>GBP</t>
        </is>
      </c>
      <c r="I1953" s="7" t="n">
        <v>33992006.512</v>
      </c>
      <c r="J1953" s="8" t="n">
        <v>46254.62413194445</v>
      </c>
      <c r="K1953" t="inlineStr">
        <is>
          <t>CF260820 01947</t>
        </is>
      </c>
      <c r="L1953" t="inlineStr">
        <is>
          <t>GL.NOSTRO.GBP.BRGX.006</t>
        </is>
      </c>
      <c r="M1953" t="inlineStr">
        <is>
          <t>Ironbark Trust</t>
        </is>
      </c>
      <c r="N1953" t="inlineStr">
        <is>
          <t>BRGXTRSY</t>
        </is>
      </c>
      <c r="O1953" t="inlineStr">
        <is>
          <t>NEW</t>
        </is>
      </c>
      <c r="Q1953" t="inlineStr">
        <is>
          <t>NETTER</t>
        </is>
      </c>
    </row>
    <row r="1954">
      <c r="A1954" t="inlineStr">
        <is>
          <t>132544340094</t>
        </is>
      </c>
      <c r="B1954" t="inlineStr">
        <is>
          <t>TCC</t>
        </is>
      </c>
      <c r="C1954" t="inlineStr">
        <is>
          <t>BRYG</t>
        </is>
      </c>
      <c r="D1954" s="6" t="n">
        <v>46254</v>
      </c>
      <c r="E1954" t="inlineStr">
        <is>
          <t>DR</t>
        </is>
      </c>
      <c r="F1954" t="inlineStr">
        <is>
          <t>CZK</t>
        </is>
      </c>
      <c r="G1954" s="7" t="n">
        <v>-2335780.135</v>
      </c>
      <c r="H1954" t="inlineStr">
        <is>
          <t>GBP</t>
        </is>
      </c>
      <c r="I1954" s="7" t="n">
        <v>-79182.947</v>
      </c>
      <c r="J1954" s="8" t="n">
        <v>46254.36309027778</v>
      </c>
      <c r="K1954" t="inlineStr">
        <is>
          <t>CF260820 01948</t>
        </is>
      </c>
      <c r="L1954" t="inlineStr">
        <is>
          <t>GL.NOSTRO.CZK.BRYG.007</t>
        </is>
      </c>
      <c r="M1954" t="inlineStr">
        <is>
          <t>Zephyr Commercial Bank</t>
        </is>
      </c>
      <c r="N1954" t="inlineStr">
        <is>
          <t>BRYG</t>
        </is>
      </c>
      <c r="O1954" t="inlineStr">
        <is>
          <t>NEW</t>
        </is>
      </c>
      <c r="Q1954" t="inlineStr">
        <is>
          <t>GROSS</t>
        </is>
      </c>
    </row>
    <row r="1955">
      <c r="A1955" t="inlineStr">
        <is>
          <t>968942362772</t>
        </is>
      </c>
      <c r="B1955" t="inlineStr">
        <is>
          <t>TCC</t>
        </is>
      </c>
      <c r="C1955" t="inlineStr">
        <is>
          <t>BRYG</t>
        </is>
      </c>
      <c r="D1955" s="6" t="n">
        <v>46254</v>
      </c>
      <c r="E1955" t="inlineStr">
        <is>
          <t>CR</t>
        </is>
      </c>
      <c r="F1955" t="inlineStr">
        <is>
          <t>EUR</t>
        </is>
      </c>
      <c r="G1955" s="7" t="n">
        <v>18937633.449</v>
      </c>
      <c r="H1955" t="inlineStr">
        <is>
          <t>GBP</t>
        </is>
      </c>
      <c r="I1955" s="7" t="n">
        <v>16248489.499</v>
      </c>
      <c r="J1955" s="8" t="n">
        <v>46254.35568287037</v>
      </c>
      <c r="K1955" t="inlineStr">
        <is>
          <t>CF260820 01949</t>
        </is>
      </c>
      <c r="L1955" t="inlineStr">
        <is>
          <t>GL.NOSTRO.EUR.BRYG.008</t>
        </is>
      </c>
      <c r="M1955" t="inlineStr">
        <is>
          <t>Nightjar Trust</t>
        </is>
      </c>
      <c r="N1955" t="inlineStr">
        <is>
          <t>BRYG</t>
        </is>
      </c>
      <c r="O1955" t="inlineStr">
        <is>
          <t>NEW</t>
        </is>
      </c>
      <c r="Q1955" t="inlineStr">
        <is>
          <t>GROSS</t>
        </is>
      </c>
    </row>
    <row r="1956">
      <c r="A1956" t="inlineStr">
        <is>
          <t>113829985108</t>
        </is>
      </c>
      <c r="B1956" t="inlineStr">
        <is>
          <t>TCX</t>
        </is>
      </c>
      <c r="C1956" t="inlineStr">
        <is>
          <t>BRGL</t>
        </is>
      </c>
      <c r="D1956" s="6" t="n">
        <v>46254</v>
      </c>
      <c r="E1956" t="inlineStr">
        <is>
          <t>DR</t>
        </is>
      </c>
      <c r="F1956" t="inlineStr">
        <is>
          <t>EUR</t>
        </is>
      </c>
      <c r="G1956" s="7" t="n">
        <v>-764691889.839</v>
      </c>
      <c r="H1956" t="inlineStr">
        <is>
          <t>GBP</t>
        </is>
      </c>
      <c r="I1956" s="7" t="n">
        <v>-656105641.482</v>
      </c>
      <c r="J1956" s="8" t="n">
        <v>46254.52200231481</v>
      </c>
      <c r="K1956" t="inlineStr">
        <is>
          <t>CF260820 01950</t>
        </is>
      </c>
      <c r="L1956" t="inlineStr">
        <is>
          <t>GL.NOSTRO.EUR.BRGL.005</t>
        </is>
      </c>
      <c r="M1956" t="inlineStr">
        <is>
          <t>Pinehurst Bank</t>
        </is>
      </c>
      <c r="N1956" t="inlineStr">
        <is>
          <t>BRGL</t>
        </is>
      </c>
      <c r="O1956" t="inlineStr">
        <is>
          <t>AMEND</t>
        </is>
      </c>
      <c r="P1956" t="inlineStr">
        <is>
          <t>NT26082000808</t>
        </is>
      </c>
      <c r="Q1956" t="inlineStr">
        <is>
          <t>INTERNAL</t>
        </is>
      </c>
    </row>
    <row r="1957">
      <c r="A1957" t="inlineStr">
        <is>
          <t>171857983160</t>
        </is>
      </c>
      <c r="B1957" t="inlineStr">
        <is>
          <t>TCQ</t>
        </is>
      </c>
      <c r="C1957" t="inlineStr">
        <is>
          <t>BRBX</t>
        </is>
      </c>
      <c r="D1957" s="6" t="n">
        <v>46254</v>
      </c>
      <c r="E1957" t="inlineStr">
        <is>
          <t>DR</t>
        </is>
      </c>
      <c r="F1957" t="inlineStr">
        <is>
          <t>AUD</t>
        </is>
      </c>
      <c r="G1957" s="7" t="n">
        <v>-93098756.18000001</v>
      </c>
      <c r="H1957" t="inlineStr">
        <is>
          <t>GBP</t>
        </is>
      </c>
      <c r="I1957" s="7" t="n">
        <v>-47759661.92</v>
      </c>
      <c r="J1957" s="8" t="n">
        <v>46254.28994212963</v>
      </c>
      <c r="K1957" t="inlineStr">
        <is>
          <t>CF260820 01951</t>
        </is>
      </c>
      <c r="L1957" t="inlineStr">
        <is>
          <t>GL.NOSTRO.AUD.BRBX.005</t>
        </is>
      </c>
      <c r="M1957" t="inlineStr">
        <is>
          <t>Umberton Commercial Bank</t>
        </is>
      </c>
      <c r="N1957" t="inlineStr">
        <is>
          <t>BRBX</t>
        </is>
      </c>
      <c r="O1957" t="inlineStr">
        <is>
          <t>NEW</t>
        </is>
      </c>
      <c r="P1957" t="inlineStr">
        <is>
          <t>NT26082000790</t>
        </is>
      </c>
      <c r="Q1957" t="inlineStr">
        <is>
          <t>NETTER</t>
        </is>
      </c>
    </row>
    <row r="1958">
      <c r="A1958" t="inlineStr">
        <is>
          <t>794226063698</t>
        </is>
      </c>
      <c r="B1958" t="inlineStr">
        <is>
          <t>TCG</t>
        </is>
      </c>
      <c r="C1958" t="inlineStr">
        <is>
          <t>BRMD</t>
        </is>
      </c>
      <c r="D1958" s="6" t="n">
        <v>46254</v>
      </c>
      <c r="E1958" t="inlineStr">
        <is>
          <t>CR</t>
        </is>
      </c>
      <c r="F1958" t="inlineStr">
        <is>
          <t>AED</t>
        </is>
      </c>
      <c r="G1958" s="7" t="n">
        <v>190179697.425</v>
      </c>
      <c r="H1958" t="inlineStr">
        <is>
          <t>GBP</t>
        </is>
      </c>
      <c r="I1958" s="7" t="n">
        <v>40508275.552</v>
      </c>
      <c r="J1958" s="8" t="n">
        <v>46254.35163194445</v>
      </c>
      <c r="K1958" t="inlineStr">
        <is>
          <t>CF260820 01952</t>
        </is>
      </c>
      <c r="L1958" t="inlineStr">
        <is>
          <t>GL.NOSTRO.AED.BRMD.005</t>
        </is>
      </c>
      <c r="M1958" t="inlineStr">
        <is>
          <t>Alder Trust</t>
        </is>
      </c>
      <c r="N1958" t="inlineStr">
        <is>
          <t>BRMDCASH</t>
        </is>
      </c>
      <c r="O1958" t="inlineStr">
        <is>
          <t>NEW</t>
        </is>
      </c>
      <c r="P1958" t="inlineStr">
        <is>
          <t>NT26082000822</t>
        </is>
      </c>
      <c r="Q1958" t="inlineStr">
        <is>
          <t>NETTER</t>
        </is>
      </c>
    </row>
    <row r="1959">
      <c r="A1959" t="inlineStr">
        <is>
          <t>794226063698</t>
        </is>
      </c>
      <c r="B1959" t="inlineStr">
        <is>
          <t>TCQ</t>
        </is>
      </c>
      <c r="C1959" t="inlineStr">
        <is>
          <t>BRMD</t>
        </is>
      </c>
      <c r="D1959" s="6" t="n">
        <v>46254</v>
      </c>
      <c r="E1959" t="inlineStr">
        <is>
          <t>CR</t>
        </is>
      </c>
      <c r="F1959" t="inlineStr">
        <is>
          <t>AED</t>
        </is>
      </c>
      <c r="G1959" s="7" t="n">
        <v>6306848.862</v>
      </c>
      <c r="H1959" t="inlineStr">
        <is>
          <t>GBP</t>
        </is>
      </c>
      <c r="I1959" s="7" t="n">
        <v>1343358.808</v>
      </c>
      <c r="J1959" s="8" t="n">
        <v>46254.31765046297</v>
      </c>
      <c r="K1959" t="inlineStr">
        <is>
          <t>CF260820 01953</t>
        </is>
      </c>
      <c r="L1959" t="inlineStr">
        <is>
          <t>GL.NOSTRO.AED.BRMD.001</t>
        </is>
      </c>
      <c r="M1959" t="inlineStr">
        <is>
          <t>Yarrow Bank</t>
        </is>
      </c>
      <c r="N1959" t="inlineStr">
        <is>
          <t>BRMDMM</t>
        </is>
      </c>
      <c r="O1959" t="inlineStr">
        <is>
          <t>NEW</t>
        </is>
      </c>
      <c r="Q1959" t="inlineStr">
        <is>
          <t>NETTER</t>
        </is>
      </c>
    </row>
    <row r="1960">
      <c r="A1960" t="inlineStr">
        <is>
          <t>499062838623</t>
        </is>
      </c>
      <c r="B1960" t="inlineStr">
        <is>
          <t>TCP</t>
        </is>
      </c>
      <c r="C1960" t="inlineStr">
        <is>
          <t>BRBX</t>
        </is>
      </c>
      <c r="D1960" s="6" t="n">
        <v>46254</v>
      </c>
      <c r="E1960" t="inlineStr">
        <is>
          <t>DR</t>
        </is>
      </c>
      <c r="F1960" t="inlineStr">
        <is>
          <t>USD</t>
        </is>
      </c>
      <c r="G1960" s="7" t="n">
        <v>-4228554.643</v>
      </c>
      <c r="H1960" t="inlineStr">
        <is>
          <t>GBP</t>
        </is>
      </c>
      <c r="I1960" s="7" t="n">
        <v>-3315186.84</v>
      </c>
      <c r="J1960" s="8" t="n">
        <v>46254.35371527778</v>
      </c>
      <c r="K1960" t="inlineStr">
        <is>
          <t>CF260820 01954</t>
        </is>
      </c>
      <c r="L1960" t="inlineStr">
        <is>
          <t>GL.NOSTRO.USD.BRBX.001</t>
        </is>
      </c>
      <c r="M1960" t="inlineStr">
        <is>
          <t>Elmwood Settlement Bank</t>
        </is>
      </c>
      <c r="N1960" t="inlineStr">
        <is>
          <t>BRBXMM</t>
        </is>
      </c>
      <c r="O1960" t="inlineStr">
        <is>
          <t>NEW</t>
        </is>
      </c>
      <c r="P1960" t="inlineStr">
        <is>
          <t>NT26082000802</t>
        </is>
      </c>
      <c r="Q1960" t="inlineStr">
        <is>
          <t>NETTER</t>
        </is>
      </c>
    </row>
    <row r="1961">
      <c r="A1961" t="inlineStr">
        <is>
          <t>150316825069</t>
        </is>
      </c>
      <c r="B1961" t="inlineStr">
        <is>
          <t>TCC</t>
        </is>
      </c>
      <c r="C1961" t="inlineStr">
        <is>
          <t>BRGX</t>
        </is>
      </c>
      <c r="D1961" s="6" t="n">
        <v>46254</v>
      </c>
      <c r="E1961" t="inlineStr">
        <is>
          <t>DR</t>
        </is>
      </c>
      <c r="F1961" t="inlineStr">
        <is>
          <t>GBP</t>
        </is>
      </c>
      <c r="G1961" s="7" t="n">
        <v>-196580823.393</v>
      </c>
      <c r="H1961" t="inlineStr">
        <is>
          <t>GBP</t>
        </is>
      </c>
      <c r="I1961" s="7" t="n">
        <v>-196580823.393</v>
      </c>
      <c r="J1961" s="8" t="n">
        <v>46254.6937962963</v>
      </c>
      <c r="K1961" t="inlineStr">
        <is>
          <t>CF260820 01955</t>
        </is>
      </c>
      <c r="L1961" t="inlineStr">
        <is>
          <t>GL.NOSTRO.GBP.BRGX.008</t>
        </is>
      </c>
      <c r="M1961" t="inlineStr">
        <is>
          <t>Juniper Bank</t>
        </is>
      </c>
      <c r="N1961" t="inlineStr">
        <is>
          <t>BRGXMM</t>
        </is>
      </c>
      <c r="O1961" t="inlineStr">
        <is>
          <t>NEW</t>
        </is>
      </c>
      <c r="Q1961" t="inlineStr">
        <is>
          <t>NETTER</t>
        </is>
      </c>
    </row>
    <row r="1962">
      <c r="A1962" t="inlineStr">
        <is>
          <t>794226063698</t>
        </is>
      </c>
      <c r="B1962" t="inlineStr">
        <is>
          <t>TCC</t>
        </is>
      </c>
      <c r="C1962" t="inlineStr">
        <is>
          <t>BRMD</t>
        </is>
      </c>
      <c r="D1962" s="6" t="n">
        <v>46254</v>
      </c>
      <c r="E1962" t="inlineStr">
        <is>
          <t>CR</t>
        </is>
      </c>
      <c r="F1962" t="inlineStr">
        <is>
          <t>AED</t>
        </is>
      </c>
      <c r="G1962" s="7" t="n">
        <v>6175031.073</v>
      </c>
      <c r="H1962" t="inlineStr">
        <is>
          <t>GBP</t>
        </is>
      </c>
      <c r="I1962" s="7" t="n">
        <v>1315281.619</v>
      </c>
      <c r="J1962" s="8" t="n">
        <v>46254.6824537037</v>
      </c>
      <c r="K1962" t="inlineStr">
        <is>
          <t>CF260820 01956</t>
        </is>
      </c>
      <c r="L1962" t="inlineStr">
        <is>
          <t>GL.NOSTRO.AED.BRMD.004</t>
        </is>
      </c>
      <c r="M1962" t="inlineStr">
        <is>
          <t>Dunlin Bank</t>
        </is>
      </c>
      <c r="N1962" t="inlineStr">
        <is>
          <t>BRMDMM</t>
        </is>
      </c>
      <c r="O1962" t="inlineStr">
        <is>
          <t>AMEND</t>
        </is>
      </c>
      <c r="P1962" t="inlineStr">
        <is>
          <t>NT26082000823</t>
        </is>
      </c>
      <c r="Q1962" t="inlineStr">
        <is>
          <t>INTERNAL</t>
        </is>
      </c>
    </row>
    <row r="1963">
      <c r="A1963" t="inlineStr">
        <is>
          <t>120047354818</t>
        </is>
      </c>
      <c r="B1963" t="inlineStr">
        <is>
          <t>TCC</t>
        </is>
      </c>
      <c r="C1963" t="inlineStr">
        <is>
          <t>BRNK</t>
        </is>
      </c>
      <c r="D1963" s="6" t="n">
        <v>46254</v>
      </c>
      <c r="E1963" t="inlineStr">
        <is>
          <t>DR</t>
        </is>
      </c>
      <c r="F1963" t="inlineStr">
        <is>
          <t>USD</t>
        </is>
      </c>
      <c r="G1963" s="7" t="n">
        <v>-2298374.884</v>
      </c>
      <c r="H1963" t="inlineStr">
        <is>
          <t>GBP</t>
        </is>
      </c>
      <c r="I1963" s="7" t="n">
        <v>-1801925.909</v>
      </c>
      <c r="J1963" s="8" t="n">
        <v>46254.7312962963</v>
      </c>
      <c r="K1963" t="inlineStr">
        <is>
          <t>CF260820 01957</t>
        </is>
      </c>
      <c r="L1963" t="inlineStr">
        <is>
          <t>GL.NOSTRO.USD.BRNK.004</t>
        </is>
      </c>
      <c r="M1963" t="inlineStr">
        <is>
          <t>Pinehurst Bank</t>
        </is>
      </c>
      <c r="N1963" t="inlineStr">
        <is>
          <t>BRNKMM</t>
        </is>
      </c>
      <c r="O1963" t="inlineStr">
        <is>
          <t>NEW</t>
        </is>
      </c>
      <c r="Q1963" t="inlineStr">
        <is>
          <t>GROSS</t>
        </is>
      </c>
    </row>
    <row r="1964">
      <c r="A1964" t="inlineStr">
        <is>
          <t>898317028833</t>
        </is>
      </c>
      <c r="B1964" t="inlineStr">
        <is>
          <t>TCP</t>
        </is>
      </c>
      <c r="C1964" t="inlineStr">
        <is>
          <t>BRAA</t>
        </is>
      </c>
      <c r="D1964" s="6" t="n">
        <v>46254</v>
      </c>
      <c r="E1964" t="inlineStr">
        <is>
          <t>DR</t>
        </is>
      </c>
      <c r="F1964" t="inlineStr">
        <is>
          <t>GBP</t>
        </is>
      </c>
      <c r="G1964" s="7" t="n">
        <v>-503462355.204</v>
      </c>
      <c r="H1964" t="inlineStr">
        <is>
          <t>GBP</t>
        </is>
      </c>
      <c r="I1964" s="7" t="n">
        <v>-503462355.204</v>
      </c>
      <c r="J1964" s="8" t="n">
        <v>46254.66947916667</v>
      </c>
      <c r="K1964" t="inlineStr">
        <is>
          <t>CF260820 01958</t>
        </is>
      </c>
      <c r="L1964" t="inlineStr">
        <is>
          <t>GL.NOSTRO.GBP.BRAA.008</t>
        </is>
      </c>
      <c r="M1964" t="inlineStr">
        <is>
          <t>Oriel Trust</t>
        </is>
      </c>
      <c r="N1964" t="inlineStr">
        <is>
          <t>BRAATRSY</t>
        </is>
      </c>
      <c r="O1964" t="inlineStr">
        <is>
          <t>NEW</t>
        </is>
      </c>
      <c r="Q1964" t="inlineStr">
        <is>
          <t>NETTER</t>
        </is>
      </c>
    </row>
    <row r="1965">
      <c r="A1965" t="inlineStr">
        <is>
          <t>794226063698</t>
        </is>
      </c>
      <c r="B1965" t="inlineStr">
        <is>
          <t>TCP</t>
        </is>
      </c>
      <c r="C1965" t="inlineStr">
        <is>
          <t>BRMD</t>
        </is>
      </c>
      <c r="D1965" s="6" t="n">
        <v>46254</v>
      </c>
      <c r="E1965" t="inlineStr">
        <is>
          <t>CR</t>
        </is>
      </c>
      <c r="F1965" t="inlineStr">
        <is>
          <t>AED</t>
        </is>
      </c>
      <c r="G1965" s="7" t="n">
        <v>6599687.04</v>
      </c>
      <c r="H1965" t="inlineStr">
        <is>
          <t>GBP</t>
        </is>
      </c>
      <c r="I1965" s="7" t="n">
        <v>1405733.34</v>
      </c>
      <c r="J1965" s="8" t="n">
        <v>46254.68287037037</v>
      </c>
      <c r="K1965" t="inlineStr">
        <is>
          <t>CF260820 01959</t>
        </is>
      </c>
      <c r="L1965" t="inlineStr">
        <is>
          <t>GL.NOSTRO.AED.BRMD.003</t>
        </is>
      </c>
      <c r="M1965" t="inlineStr">
        <is>
          <t>Juniper Bank</t>
        </is>
      </c>
      <c r="N1965" t="inlineStr">
        <is>
          <t>BRMDCASH</t>
        </is>
      </c>
      <c r="O1965" t="inlineStr">
        <is>
          <t>NEW</t>
        </is>
      </c>
      <c r="P1965" t="inlineStr">
        <is>
          <t>NT26082000793</t>
        </is>
      </c>
      <c r="Q1965" t="inlineStr">
        <is>
          <t>NETTER</t>
        </is>
      </c>
    </row>
    <row r="1966">
      <c r="A1966" t="inlineStr">
        <is>
          <t>150316825069</t>
        </is>
      </c>
      <c r="B1966" t="inlineStr">
        <is>
          <t>TCX</t>
        </is>
      </c>
      <c r="C1966" t="inlineStr">
        <is>
          <t>BRGX</t>
        </is>
      </c>
      <c r="D1966" s="6" t="n">
        <v>46254</v>
      </c>
      <c r="E1966" t="inlineStr">
        <is>
          <t>CR</t>
        </is>
      </c>
      <c r="F1966" t="inlineStr">
        <is>
          <t>GBP</t>
        </is>
      </c>
      <c r="G1966" s="7" t="n">
        <v>6172073.327</v>
      </c>
      <c r="H1966" t="inlineStr">
        <is>
          <t>GBP</t>
        </is>
      </c>
      <c r="I1966" s="7" t="n">
        <v>6172073.327</v>
      </c>
      <c r="J1966" s="8" t="n">
        <v>46254.40795138889</v>
      </c>
      <c r="K1966" t="inlineStr">
        <is>
          <t>CF260820 01960</t>
        </is>
      </c>
      <c r="L1966" t="inlineStr">
        <is>
          <t>GL.NOSTRO.GBP.BRGX.007</t>
        </is>
      </c>
      <c r="M1966" t="inlineStr">
        <is>
          <t>Elmwood Bank</t>
        </is>
      </c>
      <c r="N1966" t="inlineStr">
        <is>
          <t>BRGXCASH</t>
        </is>
      </c>
      <c r="O1966" t="inlineStr">
        <is>
          <t>NEW</t>
        </is>
      </c>
      <c r="Q1966" t="inlineStr">
        <is>
          <t>GROSS</t>
        </is>
      </c>
    </row>
    <row r="1967">
      <c r="A1967" t="inlineStr">
        <is>
          <t>132544340094</t>
        </is>
      </c>
      <c r="B1967" t="inlineStr">
        <is>
          <t>TCP</t>
        </is>
      </c>
      <c r="C1967" t="inlineStr">
        <is>
          <t>BRYG</t>
        </is>
      </c>
      <c r="D1967" s="6" t="n">
        <v>46254</v>
      </c>
      <c r="E1967" t="inlineStr">
        <is>
          <t>CR</t>
        </is>
      </c>
      <c r="F1967" t="inlineStr">
        <is>
          <t>CZK</t>
        </is>
      </c>
      <c r="G1967" s="7" t="n">
        <v>3394077.054</v>
      </c>
      <c r="H1967" t="inlineStr">
        <is>
          <t>GBP</t>
        </is>
      </c>
      <c r="I1967" s="7" t="n">
        <v>115059.212</v>
      </c>
      <c r="J1967" s="8" t="n">
        <v>46254.57371527778</v>
      </c>
      <c r="K1967" t="inlineStr">
        <is>
          <t>CF260820 01961</t>
        </is>
      </c>
      <c r="L1967" t="inlineStr">
        <is>
          <t>GL.NOSTRO.CZK.BRYG.009</t>
        </is>
      </c>
      <c r="M1967" t="inlineStr">
        <is>
          <t>Yarrow Commercial Bank</t>
        </is>
      </c>
      <c r="N1967" t="inlineStr">
        <is>
          <t>BRYGTRSY</t>
        </is>
      </c>
      <c r="O1967" t="inlineStr">
        <is>
          <t>NEW</t>
        </is>
      </c>
      <c r="Q1967" t="inlineStr">
        <is>
          <t>NETTER</t>
        </is>
      </c>
    </row>
    <row r="1968">
      <c r="A1968" t="inlineStr">
        <is>
          <t>132544340094</t>
        </is>
      </c>
      <c r="B1968" t="inlineStr">
        <is>
          <t>TCP</t>
        </is>
      </c>
      <c r="C1968" t="inlineStr">
        <is>
          <t>BRYG</t>
        </is>
      </c>
      <c r="D1968" s="6" t="n">
        <v>46254</v>
      </c>
      <c r="E1968" t="inlineStr">
        <is>
          <t>CR</t>
        </is>
      </c>
      <c r="F1968" t="inlineStr">
        <is>
          <t>CZK</t>
        </is>
      </c>
      <c r="G1968" s="7" t="n">
        <v>21553207.239</v>
      </c>
      <c r="H1968" t="inlineStr">
        <is>
          <t>GBP</t>
        </is>
      </c>
      <c r="I1968" s="7" t="n">
        <v>730653.725</v>
      </c>
      <c r="J1968" s="8" t="n">
        <v>46254.53493055556</v>
      </c>
      <c r="K1968" t="inlineStr">
        <is>
          <t>CF260820 01962</t>
        </is>
      </c>
      <c r="L1968" t="inlineStr">
        <is>
          <t>GL.NOSTRO.CZK.BRYG.008</t>
        </is>
      </c>
      <c r="M1968" t="inlineStr">
        <is>
          <t>Sablewood Bank</t>
        </is>
      </c>
      <c r="N1968" t="inlineStr">
        <is>
          <t>BRYGTRSY</t>
        </is>
      </c>
      <c r="O1968" t="inlineStr">
        <is>
          <t>NEW</t>
        </is>
      </c>
      <c r="P1968" t="inlineStr">
        <is>
          <t>NT26082000807</t>
        </is>
      </c>
      <c r="Q1968" t="inlineStr">
        <is>
          <t>NETTER</t>
        </is>
      </c>
    </row>
    <row r="1969">
      <c r="A1969" t="inlineStr">
        <is>
          <t>953625291146</t>
        </is>
      </c>
      <c r="B1969" t="inlineStr">
        <is>
          <t>TCP</t>
        </is>
      </c>
      <c r="C1969" t="inlineStr">
        <is>
          <t>BRGL</t>
        </is>
      </c>
      <c r="D1969" s="6" t="n">
        <v>46254</v>
      </c>
      <c r="E1969" t="inlineStr">
        <is>
          <t>DR</t>
        </is>
      </c>
      <c r="F1969" t="inlineStr">
        <is>
          <t>USD</t>
        </is>
      </c>
      <c r="G1969" s="7" t="n">
        <v>-48897787.304</v>
      </c>
      <c r="H1969" t="inlineStr">
        <is>
          <t>GBP</t>
        </is>
      </c>
      <c r="I1969" s="7" t="n">
        <v>-38335865.246</v>
      </c>
      <c r="J1969" s="8" t="n">
        <v>46254.63873842593</v>
      </c>
      <c r="K1969" t="inlineStr">
        <is>
          <t>CF260820 01963</t>
        </is>
      </c>
      <c r="L1969" t="inlineStr">
        <is>
          <t>GL.NOSTRO.USD.BRGL.009</t>
        </is>
      </c>
      <c r="M1969" t="inlineStr">
        <is>
          <t>Mallow Trust</t>
        </is>
      </c>
      <c r="N1969" t="inlineStr">
        <is>
          <t>BRGL</t>
        </is>
      </c>
      <c r="O1969" t="inlineStr">
        <is>
          <t>NEW</t>
        </is>
      </c>
      <c r="P1969" t="inlineStr">
        <is>
          <t>NT26082000793</t>
        </is>
      </c>
      <c r="Q1969" t="inlineStr">
        <is>
          <t>NETTER</t>
        </is>
      </c>
    </row>
    <row r="1970">
      <c r="A1970" t="inlineStr">
        <is>
          <t>150316825069</t>
        </is>
      </c>
      <c r="B1970" t="inlineStr">
        <is>
          <t>TCX</t>
        </is>
      </c>
      <c r="C1970" t="inlineStr">
        <is>
          <t>BRGX</t>
        </is>
      </c>
      <c r="D1970" s="6" t="n">
        <v>46254</v>
      </c>
      <c r="E1970" t="inlineStr">
        <is>
          <t>CR</t>
        </is>
      </c>
      <c r="F1970" t="inlineStr">
        <is>
          <t>GBP</t>
        </is>
      </c>
      <c r="G1970" s="7" t="n">
        <v>41990656.151</v>
      </c>
      <c r="H1970" t="inlineStr">
        <is>
          <t>GBP</t>
        </is>
      </c>
      <c r="I1970" s="7" t="n">
        <v>41990656.151</v>
      </c>
      <c r="J1970" s="8" t="n">
        <v>46254.40954861111</v>
      </c>
      <c r="K1970" t="inlineStr">
        <is>
          <t>CF260820 01964</t>
        </is>
      </c>
      <c r="L1970" t="inlineStr">
        <is>
          <t>GL.NOSTRO.GBP.BRGX.003</t>
        </is>
      </c>
      <c r="M1970" t="inlineStr">
        <is>
          <t>Juniper Settlement Bank</t>
        </is>
      </c>
      <c r="N1970" t="inlineStr">
        <is>
          <t>BRGXTRSY</t>
        </is>
      </c>
      <c r="O1970" t="inlineStr">
        <is>
          <t>NEW</t>
        </is>
      </c>
      <c r="Q1970" t="inlineStr">
        <is>
          <t>NETTER</t>
        </is>
      </c>
    </row>
    <row r="1971">
      <c r="A1971" t="inlineStr">
        <is>
          <t>150316825069</t>
        </is>
      </c>
      <c r="B1971" t="inlineStr">
        <is>
          <t>TCG</t>
        </is>
      </c>
      <c r="C1971" t="inlineStr">
        <is>
          <t>BRGX</t>
        </is>
      </c>
      <c r="D1971" s="6" t="n">
        <v>46254</v>
      </c>
      <c r="E1971" t="inlineStr">
        <is>
          <t>CR</t>
        </is>
      </c>
      <c r="F1971" t="inlineStr">
        <is>
          <t>GBP</t>
        </is>
      </c>
      <c r="G1971" s="7" t="n">
        <v>975068.0600000001</v>
      </c>
      <c r="H1971" t="inlineStr">
        <is>
          <t>GBP</t>
        </is>
      </c>
      <c r="I1971" s="7" t="n">
        <v>975068.0600000001</v>
      </c>
      <c r="J1971" s="8" t="n">
        <v>46254.68728009259</v>
      </c>
      <c r="K1971" t="inlineStr">
        <is>
          <t>CF260820 01965</t>
        </is>
      </c>
      <c r="L1971" t="inlineStr">
        <is>
          <t>GL.NOSTRO.GBP.BRGX.005</t>
        </is>
      </c>
      <c r="M1971" t="inlineStr">
        <is>
          <t>Elmwood Bank</t>
        </is>
      </c>
      <c r="N1971" t="inlineStr">
        <is>
          <t>BRGX</t>
        </is>
      </c>
      <c r="O1971" t="inlineStr">
        <is>
          <t>NEW</t>
        </is>
      </c>
      <c r="Q1971" t="inlineStr">
        <is>
          <t>GROSS</t>
        </is>
      </c>
    </row>
    <row r="1972">
      <c r="A1972" t="inlineStr">
        <is>
          <t>968942362772</t>
        </is>
      </c>
      <c r="B1972" t="inlineStr">
        <is>
          <t>TCQ</t>
        </is>
      </c>
      <c r="C1972" t="inlineStr">
        <is>
          <t>BRYG</t>
        </is>
      </c>
      <c r="D1972" s="6" t="n">
        <v>46254</v>
      </c>
      <c r="E1972" t="inlineStr">
        <is>
          <t>CR</t>
        </is>
      </c>
      <c r="F1972" t="inlineStr">
        <is>
          <t>EUR</t>
        </is>
      </c>
      <c r="G1972" s="7" t="n">
        <v>35841341.953</v>
      </c>
      <c r="H1972" t="inlineStr">
        <is>
          <t>GBP</t>
        </is>
      </c>
      <c r="I1972" s="7" t="n">
        <v>30751871.396</v>
      </c>
      <c r="J1972" s="8" t="n">
        <v>46254.48252314814</v>
      </c>
      <c r="K1972" t="inlineStr">
        <is>
          <t>CF260820 01966</t>
        </is>
      </c>
      <c r="L1972" t="inlineStr">
        <is>
          <t>GL.NOSTRO.EUR.BRYG.004</t>
        </is>
      </c>
      <c r="M1972" t="inlineStr">
        <is>
          <t>Vetchling Bank</t>
        </is>
      </c>
      <c r="N1972" t="inlineStr">
        <is>
          <t>BRYGCASH</t>
        </is>
      </c>
      <c r="O1972" t="inlineStr">
        <is>
          <t>NEW</t>
        </is>
      </c>
      <c r="P1972" t="inlineStr">
        <is>
          <t>NT26082000808</t>
        </is>
      </c>
      <c r="Q1972" t="inlineStr">
        <is>
          <t>NETTER</t>
        </is>
      </c>
    </row>
    <row r="1973">
      <c r="A1973" t="inlineStr">
        <is>
          <t>132544340094</t>
        </is>
      </c>
      <c r="B1973" t="inlineStr">
        <is>
          <t>TCP</t>
        </is>
      </c>
      <c r="C1973" t="inlineStr">
        <is>
          <t>BRYG</t>
        </is>
      </c>
      <c r="D1973" s="6" t="n">
        <v>46254</v>
      </c>
      <c r="E1973" t="inlineStr">
        <is>
          <t>DR</t>
        </is>
      </c>
      <c r="F1973" t="inlineStr">
        <is>
          <t>CZK</t>
        </is>
      </c>
      <c r="G1973" s="7" t="n">
        <v>-50287.956</v>
      </c>
      <c r="H1973" t="inlineStr">
        <is>
          <t>GBP</t>
        </is>
      </c>
      <c r="I1973" s="7" t="n">
        <v>-1704.762</v>
      </c>
      <c r="J1973" s="8" t="n">
        <v>46254.4393287037</v>
      </c>
      <c r="K1973" t="inlineStr">
        <is>
          <t>CF260820 01967</t>
        </is>
      </c>
      <c r="L1973" t="inlineStr">
        <is>
          <t>GL.NOSTRO.CZK.BRYG.009</t>
        </is>
      </c>
      <c r="M1973" t="inlineStr">
        <is>
          <t>Larkspur Clearing</t>
        </is>
      </c>
      <c r="N1973" t="inlineStr">
        <is>
          <t>BRYGCASH</t>
        </is>
      </c>
      <c r="O1973" t="inlineStr">
        <is>
          <t>NEW</t>
        </is>
      </c>
      <c r="Q1973" t="inlineStr">
        <is>
          <t>GROSS</t>
        </is>
      </c>
    </row>
    <row r="1974">
      <c r="A1974" t="inlineStr">
        <is>
          <t>794226063698</t>
        </is>
      </c>
      <c r="B1974" t="inlineStr">
        <is>
          <t>TCC</t>
        </is>
      </c>
      <c r="C1974" t="inlineStr">
        <is>
          <t>BRMD</t>
        </is>
      </c>
      <c r="D1974" s="6" t="n">
        <v>46254</v>
      </c>
      <c r="E1974" t="inlineStr">
        <is>
          <t>DR</t>
        </is>
      </c>
      <c r="F1974" t="inlineStr">
        <is>
          <t>AED</t>
        </is>
      </c>
      <c r="G1974" s="7" t="n">
        <v>-21713499.449</v>
      </c>
      <c r="H1974" t="inlineStr">
        <is>
          <t>GBP</t>
        </is>
      </c>
      <c r="I1974" s="7" t="n">
        <v>-4624975.383</v>
      </c>
      <c r="J1974" s="8" t="n">
        <v>46254.56961805555</v>
      </c>
      <c r="K1974" t="inlineStr">
        <is>
          <t>CF260820 01968</t>
        </is>
      </c>
      <c r="L1974" t="inlineStr">
        <is>
          <t>GL.NOSTRO.AED.BRMD.008</t>
        </is>
      </c>
      <c r="M1974" t="inlineStr">
        <is>
          <t>Bramble Bank</t>
        </is>
      </c>
      <c r="N1974" t="inlineStr">
        <is>
          <t>BRMDMM</t>
        </is>
      </c>
      <c r="O1974" t="inlineStr">
        <is>
          <t>AMEND</t>
        </is>
      </c>
      <c r="Q1974" t="inlineStr">
        <is>
          <t>NETTER</t>
        </is>
      </c>
    </row>
    <row r="1975">
      <c r="A1975" t="inlineStr">
        <is>
          <t>265771593142</t>
        </is>
      </c>
      <c r="B1975" t="inlineStr">
        <is>
          <t>TCX</t>
        </is>
      </c>
      <c r="C1975" t="inlineStr">
        <is>
          <t>BRYG</t>
        </is>
      </c>
      <c r="D1975" s="6" t="n">
        <v>46254</v>
      </c>
      <c r="E1975" t="inlineStr">
        <is>
          <t>DR</t>
        </is>
      </c>
      <c r="F1975" t="inlineStr">
        <is>
          <t>EUR</t>
        </is>
      </c>
      <c r="G1975" s="7" t="n">
        <v>-853010.018</v>
      </c>
      <c r="H1975" t="inlineStr">
        <is>
          <t>GBP</t>
        </is>
      </c>
      <c r="I1975" s="7" t="n">
        <v>-731882.595</v>
      </c>
      <c r="J1975" s="8" t="n">
        <v>46254.44759259259</v>
      </c>
      <c r="K1975" t="inlineStr">
        <is>
          <t>CF260820 01969</t>
        </is>
      </c>
      <c r="L1975" t="inlineStr">
        <is>
          <t>GL.NOSTRO.EUR.BRYG.007</t>
        </is>
      </c>
      <c r="M1975" t="inlineStr">
        <is>
          <t>Mallow Trust</t>
        </is>
      </c>
      <c r="N1975" t="inlineStr">
        <is>
          <t>BRYG</t>
        </is>
      </c>
      <c r="O1975" t="inlineStr">
        <is>
          <t>NEW</t>
        </is>
      </c>
      <c r="Q1975" t="inlineStr">
        <is>
          <t>INTERNAL</t>
        </is>
      </c>
    </row>
    <row r="1976">
      <c r="A1976" t="inlineStr">
        <is>
          <t>794226063698</t>
        </is>
      </c>
      <c r="B1976" t="inlineStr">
        <is>
          <t>TCC</t>
        </is>
      </c>
      <c r="C1976" t="inlineStr">
        <is>
          <t>BRMD</t>
        </is>
      </c>
      <c r="D1976" s="6" t="n">
        <v>46254</v>
      </c>
      <c r="E1976" t="inlineStr">
        <is>
          <t>CR</t>
        </is>
      </c>
      <c r="F1976" t="inlineStr">
        <is>
          <t>AED</t>
        </is>
      </c>
      <c r="G1976" s="7" t="n">
        <v>1042589.698</v>
      </c>
      <c r="H1976" t="inlineStr">
        <is>
          <t>GBP</t>
        </is>
      </c>
      <c r="I1976" s="7" t="n">
        <v>222071.606</v>
      </c>
      <c r="J1976" s="8" t="n">
        <v>46254.64484953704</v>
      </c>
      <c r="K1976" t="inlineStr">
        <is>
          <t>CF260820 01970</t>
        </is>
      </c>
      <c r="L1976" t="inlineStr">
        <is>
          <t>GL.NOSTRO.AED.BRMD.003</t>
        </is>
      </c>
      <c r="M1976" t="inlineStr">
        <is>
          <t>Alder Trust</t>
        </is>
      </c>
      <c r="N1976" t="inlineStr">
        <is>
          <t>BRMDTRSY</t>
        </is>
      </c>
      <c r="O1976" t="inlineStr">
        <is>
          <t>AMEND</t>
        </is>
      </c>
      <c r="Q1976" t="inlineStr">
        <is>
          <t>GROSS</t>
        </is>
      </c>
    </row>
    <row r="1977">
      <c r="A1977" t="inlineStr">
        <is>
          <t>265771593142</t>
        </is>
      </c>
      <c r="B1977" t="inlineStr">
        <is>
          <t>TCG</t>
        </is>
      </c>
      <c r="C1977" t="inlineStr">
        <is>
          <t>BRYG</t>
        </is>
      </c>
      <c r="D1977" s="6" t="n">
        <v>46254</v>
      </c>
      <c r="E1977" t="inlineStr">
        <is>
          <t>CR</t>
        </is>
      </c>
      <c r="F1977" t="inlineStr">
        <is>
          <t>EUR</t>
        </is>
      </c>
      <c r="G1977" s="7" t="n">
        <v>280131.586</v>
      </c>
      <c r="H1977" t="inlineStr">
        <is>
          <t>GBP</t>
        </is>
      </c>
      <c r="I1977" s="7" t="n">
        <v>240352.901</v>
      </c>
      <c r="J1977" s="8" t="n">
        <v>46254.35533564815</v>
      </c>
      <c r="K1977" t="inlineStr">
        <is>
          <t>CF260820 01971</t>
        </is>
      </c>
      <c r="L1977" t="inlineStr">
        <is>
          <t>GL.NOSTRO.EUR.BRYG.008</t>
        </is>
      </c>
      <c r="M1977" t="inlineStr">
        <is>
          <t>Elmwood Trust</t>
        </is>
      </c>
      <c r="N1977" t="inlineStr">
        <is>
          <t>BRYGMM</t>
        </is>
      </c>
      <c r="O1977" t="inlineStr">
        <is>
          <t>NEW</t>
        </is>
      </c>
      <c r="Q1977" t="inlineStr">
        <is>
          <t>GROSS</t>
        </is>
      </c>
    </row>
    <row r="1978">
      <c r="A1978" t="inlineStr">
        <is>
          <t>794226063698</t>
        </is>
      </c>
      <c r="B1978" t="inlineStr">
        <is>
          <t>TCC</t>
        </is>
      </c>
      <c r="C1978" t="inlineStr">
        <is>
          <t>BRMD</t>
        </is>
      </c>
      <c r="D1978" s="6" t="n">
        <v>46254</v>
      </c>
      <c r="E1978" t="inlineStr">
        <is>
          <t>DR</t>
        </is>
      </c>
      <c r="F1978" t="inlineStr">
        <is>
          <t>AED</t>
        </is>
      </c>
      <c r="G1978" s="7" t="n">
        <v>-513731033.922</v>
      </c>
      <c r="H1978" t="inlineStr">
        <is>
          <t>GBP</t>
        </is>
      </c>
      <c r="I1978" s="7" t="n">
        <v>-109424710.225</v>
      </c>
      <c r="J1978" s="8" t="n">
        <v>46254.7097337963</v>
      </c>
      <c r="K1978" t="inlineStr">
        <is>
          <t>CF260820 01972</t>
        </is>
      </c>
      <c r="L1978" t="inlineStr">
        <is>
          <t>GL.NOSTRO.AED.BRMD.008</t>
        </is>
      </c>
      <c r="M1978" t="inlineStr">
        <is>
          <t>Wrenfield Settlement Bank</t>
        </is>
      </c>
      <c r="N1978" t="inlineStr">
        <is>
          <t>BRMDTRSY</t>
        </is>
      </c>
      <c r="O1978" t="inlineStr">
        <is>
          <t>NEW</t>
        </is>
      </c>
      <c r="P1978" t="inlineStr">
        <is>
          <t>NT26082000810</t>
        </is>
      </c>
      <c r="Q1978" t="inlineStr">
        <is>
          <t>INTERNAL</t>
        </is>
      </c>
    </row>
    <row r="1979">
      <c r="A1979" t="inlineStr">
        <is>
          <t>794226063698</t>
        </is>
      </c>
      <c r="B1979" t="inlineStr">
        <is>
          <t>TCP</t>
        </is>
      </c>
      <c r="C1979" t="inlineStr">
        <is>
          <t>BRMD</t>
        </is>
      </c>
      <c r="D1979" s="6" t="n">
        <v>46254</v>
      </c>
      <c r="E1979" t="inlineStr">
        <is>
          <t>CR</t>
        </is>
      </c>
      <c r="F1979" t="inlineStr">
        <is>
          <t>AED</t>
        </is>
      </c>
      <c r="G1979" s="7" t="n">
        <v>1.03</v>
      </c>
      <c r="H1979" t="inlineStr">
        <is>
          <t>GBP</t>
        </is>
      </c>
      <c r="I1979" s="7" t="n">
        <v>0.219</v>
      </c>
      <c r="J1979" s="8" t="n">
        <v>46254.46368055556</v>
      </c>
      <c r="K1979" t="inlineStr">
        <is>
          <t>CF260820 01973</t>
        </is>
      </c>
      <c r="L1979" t="inlineStr">
        <is>
          <t>GL.NOSTRO.AED.BRMD.009</t>
        </is>
      </c>
      <c r="M1979" t="inlineStr">
        <is>
          <t>Nightjar Bank</t>
        </is>
      </c>
      <c r="N1979" t="inlineStr">
        <is>
          <t>BRMD</t>
        </is>
      </c>
      <c r="O1979" t="inlineStr">
        <is>
          <t>NEW</t>
        </is>
      </c>
      <c r="Q1979" t="inlineStr">
        <is>
          <t>GROSS</t>
        </is>
      </c>
    </row>
    <row r="1980">
      <c r="A1980" t="inlineStr">
        <is>
          <t>968942362772</t>
        </is>
      </c>
      <c r="B1980" t="inlineStr">
        <is>
          <t>TCQ</t>
        </is>
      </c>
      <c r="C1980" t="inlineStr">
        <is>
          <t>BRYG</t>
        </is>
      </c>
      <c r="D1980" s="6" t="n">
        <v>46254</v>
      </c>
      <c r="E1980" t="inlineStr">
        <is>
          <t>DR</t>
        </is>
      </c>
      <c r="F1980" t="inlineStr">
        <is>
          <t>EUR</t>
        </is>
      </c>
      <c r="G1980" s="7" t="n">
        <v>-332923.898</v>
      </c>
      <c r="H1980" t="inlineStr">
        <is>
          <t>GBP</t>
        </is>
      </c>
      <c r="I1980" s="7" t="n">
        <v>-285648.704</v>
      </c>
      <c r="J1980" s="8" t="n">
        <v>46254.62106481481</v>
      </c>
      <c r="K1980" t="inlineStr">
        <is>
          <t>CF260820 01974</t>
        </is>
      </c>
      <c r="L1980" t="inlineStr">
        <is>
          <t>GL.NOSTRO.EUR.BRYG.002</t>
        </is>
      </c>
      <c r="M1980" t="inlineStr">
        <is>
          <t>Granite Clearing</t>
        </is>
      </c>
      <c r="N1980" t="inlineStr">
        <is>
          <t>BRYG</t>
        </is>
      </c>
      <c r="O1980" t="inlineStr">
        <is>
          <t>NEW</t>
        </is>
      </c>
      <c r="P1980" t="inlineStr">
        <is>
          <t>NT26082000805</t>
        </is>
      </c>
      <c r="Q1980" t="inlineStr">
        <is>
          <t>GROSS</t>
        </is>
      </c>
    </row>
    <row r="1981">
      <c r="A1981" t="inlineStr">
        <is>
          <t>468341071172</t>
        </is>
      </c>
      <c r="B1981" t="inlineStr">
        <is>
          <t>TCX</t>
        </is>
      </c>
      <c r="C1981" t="inlineStr">
        <is>
          <t>BRCC</t>
        </is>
      </c>
      <c r="D1981" s="6" t="n">
        <v>46254</v>
      </c>
      <c r="E1981" t="inlineStr">
        <is>
          <t>DR</t>
        </is>
      </c>
      <c r="F1981" t="inlineStr">
        <is>
          <t>EUR</t>
        </is>
      </c>
      <c r="G1981" s="7" t="n">
        <v>-192807484.208</v>
      </c>
      <c r="H1981" t="inlineStr">
        <is>
          <t>GBP</t>
        </is>
      </c>
      <c r="I1981" s="7" t="n">
        <v>-165428821.45</v>
      </c>
      <c r="J1981" s="8" t="n">
        <v>46254.6325462963</v>
      </c>
      <c r="K1981" t="inlineStr">
        <is>
          <t>CF260820 01975</t>
        </is>
      </c>
      <c r="L1981" t="inlineStr">
        <is>
          <t>GL.NOSTRO.EUR.BRCC.004</t>
        </is>
      </c>
      <c r="M1981" t="inlineStr">
        <is>
          <t>Granite Bank</t>
        </is>
      </c>
      <c r="N1981" t="inlineStr">
        <is>
          <t>BRCCMM</t>
        </is>
      </c>
      <c r="O1981" t="inlineStr">
        <is>
          <t>CANCEL</t>
        </is>
      </c>
      <c r="Q1981" t="inlineStr">
        <is>
          <t>NETTER</t>
        </is>
      </c>
    </row>
    <row r="1982">
      <c r="A1982" t="inlineStr">
        <is>
          <t>499062838623</t>
        </is>
      </c>
      <c r="B1982" t="inlineStr">
        <is>
          <t>TCC</t>
        </is>
      </c>
      <c r="C1982" t="inlineStr">
        <is>
          <t>BRBX</t>
        </is>
      </c>
      <c r="D1982" s="6" t="n">
        <v>46254</v>
      </c>
      <c r="E1982" t="inlineStr">
        <is>
          <t>CR</t>
        </is>
      </c>
      <c r="F1982" t="inlineStr">
        <is>
          <t>USD</t>
        </is>
      </c>
      <c r="G1982" s="7" t="n">
        <v>416253.89</v>
      </c>
      <c r="H1982" t="inlineStr">
        <is>
          <t>GBP</t>
        </is>
      </c>
      <c r="I1982" s="7" t="n">
        <v>326343.05</v>
      </c>
      <c r="J1982" s="8" t="n">
        <v>46254.59252314815</v>
      </c>
      <c r="K1982" t="inlineStr">
        <is>
          <t>CF260820 01976</t>
        </is>
      </c>
      <c r="L1982" t="inlineStr">
        <is>
          <t>GL.NOSTRO.USD.BRBX.001</t>
        </is>
      </c>
      <c r="M1982" t="inlineStr">
        <is>
          <t>Redstart Commercial Bank</t>
        </is>
      </c>
      <c r="N1982" t="inlineStr">
        <is>
          <t>BRBX</t>
        </is>
      </c>
      <c r="O1982" t="inlineStr">
        <is>
          <t>NEW</t>
        </is>
      </c>
      <c r="P1982" t="inlineStr">
        <is>
          <t>NT26082000810</t>
        </is>
      </c>
      <c r="Q1982" t="inlineStr">
        <is>
          <t>NETTER</t>
        </is>
      </c>
    </row>
    <row r="1983">
      <c r="A1983" t="inlineStr">
        <is>
          <t>284925023085</t>
        </is>
      </c>
      <c r="B1983" t="inlineStr">
        <is>
          <t>TCP</t>
        </is>
      </c>
      <c r="C1983" t="inlineStr">
        <is>
          <t>BRMD</t>
        </is>
      </c>
      <c r="D1983" s="6" t="n">
        <v>46254</v>
      </c>
      <c r="E1983" t="inlineStr">
        <is>
          <t>CR</t>
        </is>
      </c>
      <c r="F1983" t="inlineStr">
        <is>
          <t>MXN</t>
        </is>
      </c>
      <c r="G1983" s="7" t="n">
        <v>109299120.336</v>
      </c>
      <c r="H1983" t="inlineStr">
        <is>
          <t>GBP</t>
        </is>
      </c>
      <c r="I1983" s="7" t="n">
        <v>4678002.35</v>
      </c>
      <c r="J1983" s="8" t="n">
        <v>46254.36328703703</v>
      </c>
      <c r="K1983" t="inlineStr">
        <is>
          <t>CF260820 01977</t>
        </is>
      </c>
      <c r="L1983" t="inlineStr">
        <is>
          <t>GL.NOSTRO.MXN.BRMD.009</t>
        </is>
      </c>
      <c r="M1983" t="inlineStr">
        <is>
          <t>Sablewood Settlement Bank</t>
        </is>
      </c>
      <c r="N1983" t="inlineStr">
        <is>
          <t>BRMD</t>
        </is>
      </c>
      <c r="O1983" t="inlineStr">
        <is>
          <t>NEW</t>
        </is>
      </c>
      <c r="Q1983" t="inlineStr">
        <is>
          <t>NETTER</t>
        </is>
      </c>
    </row>
    <row r="1984">
      <c r="A1984" t="inlineStr">
        <is>
          <t>265771593142</t>
        </is>
      </c>
      <c r="B1984" t="inlineStr">
        <is>
          <t>TCC</t>
        </is>
      </c>
      <c r="C1984" t="inlineStr">
        <is>
          <t>BRYG</t>
        </is>
      </c>
      <c r="D1984" s="6" t="n">
        <v>46254</v>
      </c>
      <c r="E1984" t="inlineStr">
        <is>
          <t>DR</t>
        </is>
      </c>
      <c r="F1984" t="inlineStr">
        <is>
          <t>EUR</t>
        </is>
      </c>
      <c r="G1984" s="7" t="n">
        <v>-3183284.542</v>
      </c>
      <c r="H1984" t="inlineStr">
        <is>
          <t>GBP</t>
        </is>
      </c>
      <c r="I1984" s="7" t="n">
        <v>-2731258.137</v>
      </c>
      <c r="J1984" s="8" t="n">
        <v>46254.67336805556</v>
      </c>
      <c r="K1984" t="inlineStr">
        <is>
          <t>CF260820 01978</t>
        </is>
      </c>
      <c r="L1984" t="inlineStr">
        <is>
          <t>GL.NOSTRO.EUR.BRYG.005</t>
        </is>
      </c>
      <c r="M1984" t="inlineStr">
        <is>
          <t>Wrenfield Commercial Bank</t>
        </is>
      </c>
      <c r="N1984" t="inlineStr">
        <is>
          <t>BRYGTRSY</t>
        </is>
      </c>
      <c r="O1984" t="inlineStr">
        <is>
          <t>NEW</t>
        </is>
      </c>
      <c r="Q1984" t="inlineStr">
        <is>
          <t>NETTER</t>
        </is>
      </c>
    </row>
    <row r="1985">
      <c r="A1985" t="inlineStr">
        <is>
          <t>824840705580</t>
        </is>
      </c>
      <c r="B1985" t="inlineStr">
        <is>
          <t>TCG</t>
        </is>
      </c>
      <c r="C1985" t="inlineStr">
        <is>
          <t>BRGL</t>
        </is>
      </c>
      <c r="D1985" s="6" t="n">
        <v>46254</v>
      </c>
      <c r="E1985" t="inlineStr">
        <is>
          <t>DR</t>
        </is>
      </c>
      <c r="F1985" t="inlineStr">
        <is>
          <t>EUR</t>
        </is>
      </c>
      <c r="G1985" s="7" t="n">
        <v>-2154202.476</v>
      </c>
      <c r="H1985" t="inlineStr">
        <is>
          <t>GBP</t>
        </is>
      </c>
      <c r="I1985" s="7" t="n">
        <v>-1848305.724</v>
      </c>
      <c r="J1985" s="8" t="n">
        <v>46254.55559027778</v>
      </c>
      <c r="K1985" t="inlineStr">
        <is>
          <t>CF260820 01979</t>
        </is>
      </c>
      <c r="L1985" t="inlineStr">
        <is>
          <t>GL.NOSTRO.EUR.BRGL.007</t>
        </is>
      </c>
      <c r="M1985" t="inlineStr">
        <is>
          <t>Redstart Trust</t>
        </is>
      </c>
      <c r="N1985" t="inlineStr">
        <is>
          <t>BRGLTRSY</t>
        </is>
      </c>
      <c r="O1985" t="inlineStr">
        <is>
          <t>NEW</t>
        </is>
      </c>
      <c r="Q1985" t="inlineStr">
        <is>
          <t>NETTER</t>
        </is>
      </c>
    </row>
    <row r="1986">
      <c r="A1986" t="inlineStr">
        <is>
          <t>499062838623</t>
        </is>
      </c>
      <c r="B1986" t="inlineStr">
        <is>
          <t>TCG</t>
        </is>
      </c>
      <c r="C1986" t="inlineStr">
        <is>
          <t>BRBX</t>
        </is>
      </c>
      <c r="D1986" s="6" t="n">
        <v>46254</v>
      </c>
      <c r="E1986" t="inlineStr">
        <is>
          <t>DR</t>
        </is>
      </c>
      <c r="F1986" t="inlineStr">
        <is>
          <t>USD</t>
        </is>
      </c>
      <c r="G1986" s="7" t="n">
        <v>-81433658.22499999</v>
      </c>
      <c r="H1986" t="inlineStr">
        <is>
          <t>GBP</t>
        </is>
      </c>
      <c r="I1986" s="7" t="n">
        <v>-63843988.048</v>
      </c>
      <c r="J1986" s="8" t="n">
        <v>46254.38768518518</v>
      </c>
      <c r="K1986" t="inlineStr">
        <is>
          <t>CF260820 01980</t>
        </is>
      </c>
      <c r="L1986" t="inlineStr">
        <is>
          <t>GL.NOSTRO.USD.BRBX.009</t>
        </is>
      </c>
      <c r="M1986" t="inlineStr">
        <is>
          <t>Wrenfield Settlement Bank</t>
        </is>
      </c>
      <c r="N1986" t="inlineStr">
        <is>
          <t>BRBX</t>
        </is>
      </c>
      <c r="O1986" t="inlineStr">
        <is>
          <t>NEW</t>
        </is>
      </c>
      <c r="Q1986" t="inlineStr">
        <is>
          <t>GROSS</t>
        </is>
      </c>
    </row>
    <row r="1987">
      <c r="A1987" t="inlineStr">
        <is>
          <t>726928343448</t>
        </is>
      </c>
      <c r="B1987" t="inlineStr">
        <is>
          <t>TCG</t>
        </is>
      </c>
      <c r="C1987" t="inlineStr">
        <is>
          <t>BRGX</t>
        </is>
      </c>
      <c r="D1987" s="6" t="n">
        <v>46254</v>
      </c>
      <c r="E1987" t="inlineStr">
        <is>
          <t>CR</t>
        </is>
      </c>
      <c r="F1987" t="inlineStr">
        <is>
          <t>EUR</t>
        </is>
      </c>
      <c r="G1987" s="7" t="n">
        <v>1702763.21</v>
      </c>
      <c r="H1987" t="inlineStr">
        <is>
          <t>GBP</t>
        </is>
      </c>
      <c r="I1987" s="7" t="n">
        <v>1460970.834</v>
      </c>
      <c r="J1987" s="8" t="n">
        <v>46254.32445601852</v>
      </c>
      <c r="K1987" t="inlineStr">
        <is>
          <t>CF260820 01981</t>
        </is>
      </c>
      <c r="L1987" t="inlineStr">
        <is>
          <t>GL.NOSTRO.EUR.BRGX.007</t>
        </is>
      </c>
      <c r="M1987" t="inlineStr">
        <is>
          <t>Bramble Bank</t>
        </is>
      </c>
      <c r="N1987" t="inlineStr">
        <is>
          <t>BRGXCASH</t>
        </is>
      </c>
      <c r="O1987" t="inlineStr">
        <is>
          <t>AMEND</t>
        </is>
      </c>
      <c r="P1987" t="inlineStr">
        <is>
          <t>NT26082000789</t>
        </is>
      </c>
      <c r="Q1987" t="inlineStr">
        <is>
          <t>NETTER</t>
        </is>
      </c>
    </row>
    <row r="1988">
      <c r="A1988" t="inlineStr">
        <is>
          <t>794226063698</t>
        </is>
      </c>
      <c r="B1988" t="inlineStr">
        <is>
          <t>TCP</t>
        </is>
      </c>
      <c r="C1988" t="inlineStr">
        <is>
          <t>BRMD</t>
        </is>
      </c>
      <c r="D1988" s="6" t="n">
        <v>46254</v>
      </c>
      <c r="E1988" t="inlineStr">
        <is>
          <t>CR</t>
        </is>
      </c>
      <c r="F1988" t="inlineStr">
        <is>
          <t>AED</t>
        </is>
      </c>
      <c r="G1988" s="7" t="n">
        <v>18396893.894</v>
      </c>
      <c r="H1988" t="inlineStr">
        <is>
          <t>GBP</t>
        </is>
      </c>
      <c r="I1988" s="7" t="n">
        <v>3918538.399</v>
      </c>
      <c r="J1988" s="8" t="n">
        <v>46254.6809375</v>
      </c>
      <c r="K1988" t="inlineStr">
        <is>
          <t>CF260820 01982</t>
        </is>
      </c>
      <c r="L1988" t="inlineStr">
        <is>
          <t>GL.NOSTRO.AED.BRMD.007</t>
        </is>
      </c>
      <c r="M1988" t="inlineStr">
        <is>
          <t>Harrow Clearing</t>
        </is>
      </c>
      <c r="N1988" t="inlineStr">
        <is>
          <t>BRMDCASH</t>
        </is>
      </c>
      <c r="O1988" t="inlineStr">
        <is>
          <t>NEW</t>
        </is>
      </c>
      <c r="Q1988" t="inlineStr">
        <is>
          <t>NETTER</t>
        </is>
      </c>
    </row>
    <row r="1989">
      <c r="A1989" t="inlineStr">
        <is>
          <t>468341071172</t>
        </is>
      </c>
      <c r="B1989" t="inlineStr">
        <is>
          <t>TCP</t>
        </is>
      </c>
      <c r="C1989" t="inlineStr">
        <is>
          <t>BRCC</t>
        </is>
      </c>
      <c r="D1989" s="6" t="n">
        <v>46254</v>
      </c>
      <c r="E1989" t="inlineStr">
        <is>
          <t>CR</t>
        </is>
      </c>
      <c r="F1989" t="inlineStr">
        <is>
          <t>EUR</t>
        </is>
      </c>
      <c r="G1989" s="7" t="n">
        <v>32910085.54</v>
      </c>
      <c r="H1989" t="inlineStr">
        <is>
          <t>GBP</t>
        </is>
      </c>
      <c r="I1989" s="7" t="n">
        <v>28236853.393</v>
      </c>
      <c r="J1989" s="8" t="n">
        <v>46254.62464120371</v>
      </c>
      <c r="K1989" t="inlineStr">
        <is>
          <t>CF260820 01983</t>
        </is>
      </c>
      <c r="L1989" t="inlineStr">
        <is>
          <t>GL.NOSTRO.EUR.BRCC.008</t>
        </is>
      </c>
      <c r="M1989" t="inlineStr">
        <is>
          <t>Fernway Settlement Bank</t>
        </is>
      </c>
      <c r="N1989" t="inlineStr">
        <is>
          <t>BRCCCASH</t>
        </is>
      </c>
      <c r="O1989" t="inlineStr">
        <is>
          <t>NEW</t>
        </is>
      </c>
      <c r="Q1989" t="inlineStr">
        <is>
          <t>NETTER</t>
        </is>
      </c>
    </row>
    <row r="1990">
      <c r="A1990" t="inlineStr">
        <is>
          <t>927538182434</t>
        </is>
      </c>
      <c r="B1990" t="inlineStr">
        <is>
          <t>TCC</t>
        </is>
      </c>
      <c r="C1990" t="inlineStr">
        <is>
          <t>BRNK</t>
        </is>
      </c>
      <c r="D1990" s="6" t="n">
        <v>46254</v>
      </c>
      <c r="E1990" t="inlineStr">
        <is>
          <t>DR</t>
        </is>
      </c>
      <c r="F1990" t="inlineStr">
        <is>
          <t>CNY</t>
        </is>
      </c>
      <c r="G1990" s="7" t="n">
        <v>-217130835.519</v>
      </c>
      <c r="H1990" t="inlineStr">
        <is>
          <t>GBP</t>
        </is>
      </c>
      <c r="I1990" s="7" t="n">
        <v>-23667261.072</v>
      </c>
      <c r="J1990" s="8" t="n">
        <v>46254.39326388889</v>
      </c>
      <c r="K1990" t="inlineStr">
        <is>
          <t>CF260820 01984</t>
        </is>
      </c>
      <c r="L1990" t="inlineStr">
        <is>
          <t>GL.NOSTRO.CNY.BRNK.009</t>
        </is>
      </c>
      <c r="M1990" t="inlineStr">
        <is>
          <t>Umberton Commercial Bank</t>
        </is>
      </c>
      <c r="N1990" t="inlineStr">
        <is>
          <t>BRNKTRSY</t>
        </is>
      </c>
      <c r="O1990" t="inlineStr">
        <is>
          <t>NEW</t>
        </is>
      </c>
      <c r="P1990" t="inlineStr">
        <is>
          <t>NT26082000818</t>
        </is>
      </c>
      <c r="Q1990" t="inlineStr">
        <is>
          <t>NETTER</t>
        </is>
      </c>
    </row>
    <row r="1991">
      <c r="A1991" t="inlineStr">
        <is>
          <t>150316825069</t>
        </is>
      </c>
      <c r="B1991" t="inlineStr">
        <is>
          <t>TCP</t>
        </is>
      </c>
      <c r="C1991" t="inlineStr">
        <is>
          <t>BRGX</t>
        </is>
      </c>
      <c r="D1991" s="6" t="n">
        <v>46254</v>
      </c>
      <c r="E1991" t="inlineStr">
        <is>
          <t>CR</t>
        </is>
      </c>
      <c r="F1991" t="inlineStr">
        <is>
          <t>GBP</t>
        </is>
      </c>
      <c r="G1991" s="7" t="n">
        <v>258118.992</v>
      </c>
      <c r="H1991" t="inlineStr">
        <is>
          <t>GBP</t>
        </is>
      </c>
      <c r="I1991" s="7" t="n">
        <v>258118.992</v>
      </c>
      <c r="J1991" s="8" t="n">
        <v>46254.41864583334</v>
      </c>
      <c r="K1991" t="inlineStr">
        <is>
          <t>CF260820 01985</t>
        </is>
      </c>
      <c r="L1991" t="inlineStr">
        <is>
          <t>GL.NOSTRO.GBP.BRGX.008</t>
        </is>
      </c>
      <c r="M1991" t="inlineStr">
        <is>
          <t>Granite Bank</t>
        </is>
      </c>
      <c r="N1991" t="inlineStr">
        <is>
          <t>BRGXTRSY</t>
        </is>
      </c>
      <c r="O1991" t="inlineStr">
        <is>
          <t>AMEND</t>
        </is>
      </c>
      <c r="P1991" t="inlineStr">
        <is>
          <t>NT26082000814</t>
        </is>
      </c>
      <c r="Q1991" t="inlineStr">
        <is>
          <t>GROSS</t>
        </is>
      </c>
    </row>
    <row r="1992">
      <c r="A1992" t="inlineStr">
        <is>
          <t>150316825069</t>
        </is>
      </c>
      <c r="B1992" t="inlineStr">
        <is>
          <t>TCP</t>
        </is>
      </c>
      <c r="C1992" t="inlineStr">
        <is>
          <t>BRGX</t>
        </is>
      </c>
      <c r="D1992" s="6" t="n">
        <v>46254</v>
      </c>
      <c r="E1992" t="inlineStr">
        <is>
          <t>CR</t>
        </is>
      </c>
      <c r="F1992" t="inlineStr">
        <is>
          <t>GBP</t>
        </is>
      </c>
      <c r="G1992" s="7" t="n">
        <v>577455.9350000001</v>
      </c>
      <c r="H1992" t="inlineStr">
        <is>
          <t>GBP</t>
        </is>
      </c>
      <c r="I1992" s="7" t="n">
        <v>577455.9350000001</v>
      </c>
      <c r="J1992" s="8" t="n">
        <v>46254.30851851852</v>
      </c>
      <c r="K1992" t="inlineStr">
        <is>
          <t>CF260820 01986</t>
        </is>
      </c>
      <c r="L1992" t="inlineStr">
        <is>
          <t>GL.NOSTRO.GBP.BRGX.008</t>
        </is>
      </c>
      <c r="M1992" t="inlineStr">
        <is>
          <t>Elmwood Clearing</t>
        </is>
      </c>
      <c r="N1992" t="inlineStr">
        <is>
          <t>BRGXTRSY</t>
        </is>
      </c>
      <c r="O1992" t="inlineStr">
        <is>
          <t>NEW</t>
        </is>
      </c>
      <c r="Q1992" t="inlineStr">
        <is>
          <t>INTERNAL</t>
        </is>
      </c>
    </row>
    <row r="1993">
      <c r="A1993" t="inlineStr">
        <is>
          <t>824840705580</t>
        </is>
      </c>
      <c r="B1993" t="inlineStr">
        <is>
          <t>TCQ</t>
        </is>
      </c>
      <c r="C1993" t="inlineStr">
        <is>
          <t>BRGL</t>
        </is>
      </c>
      <c r="D1993" s="6" t="n">
        <v>46254</v>
      </c>
      <c r="E1993" t="inlineStr">
        <is>
          <t>DR</t>
        </is>
      </c>
      <c r="F1993" t="inlineStr">
        <is>
          <t>EUR</t>
        </is>
      </c>
      <c r="G1993" s="7" t="n">
        <v>-1577.288</v>
      </c>
      <c r="H1993" t="inlineStr">
        <is>
          <t>GBP</t>
        </is>
      </c>
      <c r="I1993" s="7" t="n">
        <v>-1353.313</v>
      </c>
      <c r="J1993" s="8" t="n">
        <v>46254.64078703704</v>
      </c>
      <c r="K1993" t="inlineStr">
        <is>
          <t>CF260820 01987</t>
        </is>
      </c>
      <c r="L1993" t="inlineStr">
        <is>
          <t>GL.NOSTRO.EUR.BRGL.009</t>
        </is>
      </c>
      <c r="M1993" t="inlineStr">
        <is>
          <t>Sablewood Settlement Bank</t>
        </is>
      </c>
      <c r="N1993" t="inlineStr">
        <is>
          <t>BRGLTRSY</t>
        </is>
      </c>
      <c r="O1993" t="inlineStr">
        <is>
          <t>NEW</t>
        </is>
      </c>
      <c r="P1993" t="inlineStr">
        <is>
          <t>NT26082000821</t>
        </is>
      </c>
      <c r="Q1993" t="inlineStr">
        <is>
          <t>GROSS</t>
        </is>
      </c>
    </row>
    <row r="1994">
      <c r="A1994" t="inlineStr">
        <is>
          <t>468341071172</t>
        </is>
      </c>
      <c r="B1994" t="inlineStr">
        <is>
          <t>TCC</t>
        </is>
      </c>
      <c r="C1994" t="inlineStr">
        <is>
          <t>BRCC</t>
        </is>
      </c>
      <c r="D1994" s="6" t="n">
        <v>46254</v>
      </c>
      <c r="E1994" t="inlineStr">
        <is>
          <t>DR</t>
        </is>
      </c>
      <c r="F1994" t="inlineStr">
        <is>
          <t>EUR</t>
        </is>
      </c>
      <c r="G1994" s="7" t="n">
        <v>-21291.096</v>
      </c>
      <c r="H1994" t="inlineStr">
        <is>
          <t>GBP</t>
        </is>
      </c>
      <c r="I1994" s="7" t="n">
        <v>-18267.76</v>
      </c>
      <c r="J1994" s="8" t="n">
        <v>46254.98925925926</v>
      </c>
      <c r="K1994" t="inlineStr">
        <is>
          <t>CF260820 01988</t>
        </is>
      </c>
      <c r="L1994" t="inlineStr">
        <is>
          <t>GL.NOSTRO.EUR.BRCC.005</t>
        </is>
      </c>
      <c r="M1994" t="inlineStr">
        <is>
          <t>Sablewood Bank</t>
        </is>
      </c>
      <c r="N1994" t="inlineStr">
        <is>
          <t>BRCC</t>
        </is>
      </c>
      <c r="O1994" t="inlineStr">
        <is>
          <t>NEW</t>
        </is>
      </c>
      <c r="P1994" t="inlineStr">
        <is>
          <t>NT26082000818</t>
        </is>
      </c>
      <c r="Q1994" t="inlineStr">
        <is>
          <t>NETTER</t>
        </is>
      </c>
    </row>
    <row r="1995">
      <c r="A1995" t="inlineStr">
        <is>
          <t>794226063698</t>
        </is>
      </c>
      <c r="B1995" t="inlineStr">
        <is>
          <t>TCC</t>
        </is>
      </c>
      <c r="C1995" t="inlineStr">
        <is>
          <t>BRMD</t>
        </is>
      </c>
      <c r="D1995" s="6" t="n">
        <v>46254</v>
      </c>
      <c r="E1995" t="inlineStr">
        <is>
          <t>DR</t>
        </is>
      </c>
      <c r="F1995" t="inlineStr">
        <is>
          <t>AED</t>
        </is>
      </c>
      <c r="G1995" s="7" t="n">
        <v>-2705373.081</v>
      </c>
      <c r="H1995" t="inlineStr">
        <is>
          <t>GBP</t>
        </is>
      </c>
      <c r="I1995" s="7" t="n">
        <v>-576244.466</v>
      </c>
      <c r="J1995" s="8" t="n">
        <v>46254.66966435185</v>
      </c>
      <c r="K1995" t="inlineStr">
        <is>
          <t>CF260820 01989</t>
        </is>
      </c>
      <c r="L1995" t="inlineStr">
        <is>
          <t>GL.NOSTRO.AED.BRMD.008</t>
        </is>
      </c>
      <c r="M1995" t="inlineStr">
        <is>
          <t>Sablewood Settlement Bank</t>
        </is>
      </c>
      <c r="N1995" t="inlineStr">
        <is>
          <t>BRMDCASH</t>
        </is>
      </c>
      <c r="O1995" t="inlineStr">
        <is>
          <t>AMEND</t>
        </is>
      </c>
      <c r="Q1995" t="inlineStr">
        <is>
          <t>NETTER</t>
        </is>
      </c>
    </row>
    <row r="1996">
      <c r="A1996" t="inlineStr">
        <is>
          <t>120047354818</t>
        </is>
      </c>
      <c r="B1996" t="inlineStr">
        <is>
          <t>TCX</t>
        </is>
      </c>
      <c r="C1996" t="inlineStr">
        <is>
          <t>BRNK</t>
        </is>
      </c>
      <c r="D1996" s="6" t="n">
        <v>46254</v>
      </c>
      <c r="E1996" t="inlineStr">
        <is>
          <t>DR</t>
        </is>
      </c>
      <c r="F1996" t="inlineStr">
        <is>
          <t>USD</t>
        </is>
      </c>
      <c r="G1996" s="7" t="n">
        <v>-57208134.87</v>
      </c>
      <c r="H1996" t="inlineStr">
        <is>
          <t>GBP</t>
        </is>
      </c>
      <c r="I1996" s="7" t="n">
        <v>-44851177.738</v>
      </c>
      <c r="J1996" s="8" t="n">
        <v>46254.72172453703</v>
      </c>
      <c r="K1996" t="inlineStr">
        <is>
          <t>CF260820 01990</t>
        </is>
      </c>
      <c r="L1996" t="inlineStr">
        <is>
          <t>GL.NOSTRO.USD.BRNK.009</t>
        </is>
      </c>
      <c r="M1996" t="inlineStr">
        <is>
          <t>Dunlin Trust</t>
        </is>
      </c>
      <c r="N1996" t="inlineStr">
        <is>
          <t>BRNKCASH</t>
        </is>
      </c>
      <c r="O1996" t="inlineStr">
        <is>
          <t>NEW</t>
        </is>
      </c>
      <c r="Q1996" t="inlineStr">
        <is>
          <t>NETTER</t>
        </is>
      </c>
    </row>
    <row r="1997">
      <c r="A1997" t="inlineStr">
        <is>
          <t>794226063698</t>
        </is>
      </c>
      <c r="B1997" t="inlineStr">
        <is>
          <t>TCX</t>
        </is>
      </c>
      <c r="C1997" t="inlineStr">
        <is>
          <t>BRMD</t>
        </is>
      </c>
      <c r="D1997" s="6" t="n">
        <v>46254</v>
      </c>
      <c r="E1997" t="inlineStr">
        <is>
          <t>CR</t>
        </is>
      </c>
      <c r="F1997" t="inlineStr">
        <is>
          <t>AED</t>
        </is>
      </c>
      <c r="G1997" s="7" t="n">
        <v>137280991.834</v>
      </c>
      <c r="H1997" t="inlineStr">
        <is>
          <t>GBP</t>
        </is>
      </c>
      <c r="I1997" s="7" t="n">
        <v>29240851.261</v>
      </c>
      <c r="J1997" s="8" t="n">
        <v>46254.50646990741</v>
      </c>
      <c r="K1997" t="inlineStr">
        <is>
          <t>CF260820 01991</t>
        </is>
      </c>
      <c r="L1997" t="inlineStr">
        <is>
          <t>GL.NOSTRO.AED.BRMD.008</t>
        </is>
      </c>
      <c r="M1997" t="inlineStr">
        <is>
          <t>Harrow Clearing</t>
        </is>
      </c>
      <c r="N1997" t="inlineStr">
        <is>
          <t>BRMDCASH</t>
        </is>
      </c>
      <c r="O1997" t="inlineStr">
        <is>
          <t>NEW</t>
        </is>
      </c>
      <c r="Q1997" t="inlineStr">
        <is>
          <t>NETTER</t>
        </is>
      </c>
    </row>
    <row r="1998">
      <c r="A1998" t="inlineStr">
        <is>
          <t>499062838623</t>
        </is>
      </c>
      <c r="B1998" t="inlineStr">
        <is>
          <t>TCG</t>
        </is>
      </c>
      <c r="C1998" t="inlineStr">
        <is>
          <t>BRBX</t>
        </is>
      </c>
      <c r="D1998" s="6" t="n">
        <v>46254</v>
      </c>
      <c r="E1998" t="inlineStr">
        <is>
          <t>DR</t>
        </is>
      </c>
      <c r="F1998" t="inlineStr">
        <is>
          <t>USD</t>
        </is>
      </c>
      <c r="G1998" s="7" t="n">
        <v>-949620759.034</v>
      </c>
      <c r="H1998" t="inlineStr">
        <is>
          <t>GBP</t>
        </is>
      </c>
      <c r="I1998" s="7" t="n">
        <v>-744502675.0829999</v>
      </c>
      <c r="J1998" s="8" t="n">
        <v>46254.60333333333</v>
      </c>
      <c r="K1998" t="inlineStr">
        <is>
          <t>CF260820 01992</t>
        </is>
      </c>
      <c r="L1998" t="inlineStr">
        <is>
          <t>GL.NOSTRO.USD.BRBX.003</t>
        </is>
      </c>
      <c r="M1998" t="inlineStr">
        <is>
          <t>Ironbark Commercial Bank</t>
        </is>
      </c>
      <c r="N1998" t="inlineStr">
        <is>
          <t>BRBXCASH</t>
        </is>
      </c>
      <c r="O1998" t="inlineStr">
        <is>
          <t>NEW</t>
        </is>
      </c>
      <c r="P1998" t="inlineStr">
        <is>
          <t>NT26082000817</t>
        </is>
      </c>
      <c r="Q1998" t="inlineStr">
        <is>
          <t>NETTER</t>
        </is>
      </c>
    </row>
    <row r="1999">
      <c r="A1999" t="inlineStr">
        <is>
          <t>113829985108</t>
        </is>
      </c>
      <c r="B1999" t="inlineStr">
        <is>
          <t>TCC</t>
        </is>
      </c>
      <c r="C1999" t="inlineStr">
        <is>
          <t>BRGL</t>
        </is>
      </c>
      <c r="D1999" s="6" t="n">
        <v>46254</v>
      </c>
      <c r="E1999" t="inlineStr">
        <is>
          <t>DR</t>
        </is>
      </c>
      <c r="F1999" t="inlineStr">
        <is>
          <t>EUR</t>
        </is>
      </c>
      <c r="G1999" s="7" t="n">
        <v>-1019409.982</v>
      </c>
      <c r="H1999" t="inlineStr">
        <is>
          <t>GBP</t>
        </is>
      </c>
      <c r="I1999" s="7" t="n">
        <v>-874653.765</v>
      </c>
      <c r="J1999" s="8" t="n">
        <v>46254.46293981482</v>
      </c>
      <c r="K1999" t="inlineStr">
        <is>
          <t>CF260820 01993</t>
        </is>
      </c>
      <c r="L1999" t="inlineStr">
        <is>
          <t>GL.NOSTRO.EUR.BRGL.008</t>
        </is>
      </c>
      <c r="M1999" t="inlineStr">
        <is>
          <t>Elmwood Settlement Bank</t>
        </is>
      </c>
      <c r="N1999" t="inlineStr">
        <is>
          <t>BRGL</t>
        </is>
      </c>
      <c r="O1999" t="inlineStr">
        <is>
          <t>AMEND</t>
        </is>
      </c>
      <c r="P1999" t="inlineStr">
        <is>
          <t>NT26082000811</t>
        </is>
      </c>
      <c r="Q1999" t="inlineStr">
        <is>
          <t>GROSS</t>
        </is>
      </c>
    </row>
    <row r="2000">
      <c r="A2000" t="inlineStr">
        <is>
          <t>359365220160</t>
        </is>
      </c>
      <c r="B2000" t="inlineStr">
        <is>
          <t>TCX</t>
        </is>
      </c>
      <c r="C2000" t="inlineStr">
        <is>
          <t>BRGX</t>
        </is>
      </c>
      <c r="D2000" s="6" t="n">
        <v>46254</v>
      </c>
      <c r="E2000" t="inlineStr">
        <is>
          <t>CR</t>
        </is>
      </c>
      <c r="F2000" t="inlineStr">
        <is>
          <t>EUR</t>
        </is>
      </c>
      <c r="G2000" s="7" t="n">
        <v>418665334.188</v>
      </c>
      <c r="H2000" t="inlineStr">
        <is>
          <t>GBP</t>
        </is>
      </c>
      <c r="I2000" s="7" t="n">
        <v>359214856.733</v>
      </c>
      <c r="J2000" s="8" t="n">
        <v>46254.70288194445</v>
      </c>
      <c r="K2000" t="inlineStr">
        <is>
          <t>CF260820 01994</t>
        </is>
      </c>
      <c r="L2000" t="inlineStr">
        <is>
          <t>GL.NOSTRO.EUR.BRGX.001</t>
        </is>
      </c>
      <c r="M2000" t="inlineStr">
        <is>
          <t>Alder Trust</t>
        </is>
      </c>
      <c r="N2000" t="inlineStr">
        <is>
          <t>BRGX</t>
        </is>
      </c>
      <c r="O2000" t="inlineStr">
        <is>
          <t>NEW</t>
        </is>
      </c>
      <c r="Q2000" t="inlineStr">
        <is>
          <t>NETTER</t>
        </is>
      </c>
    </row>
    <row r="2001">
      <c r="A2001" t="inlineStr">
        <is>
          <t>132544340094</t>
        </is>
      </c>
      <c r="B2001" t="inlineStr">
        <is>
          <t>TCQ</t>
        </is>
      </c>
      <c r="C2001" t="inlineStr">
        <is>
          <t>BRYG</t>
        </is>
      </c>
      <c r="D2001" s="6" t="n">
        <v>46254</v>
      </c>
      <c r="E2001" t="inlineStr">
        <is>
          <t>DR</t>
        </is>
      </c>
      <c r="F2001" t="inlineStr">
        <is>
          <t>CZK</t>
        </is>
      </c>
      <c r="G2001" s="7" t="n">
        <v>-51401930.244</v>
      </c>
      <c r="H2001" t="inlineStr">
        <is>
          <t>GBP</t>
        </is>
      </c>
      <c r="I2001" s="7" t="n">
        <v>-1742525.435</v>
      </c>
      <c r="J2001" s="8" t="n">
        <v>46254.31997685185</v>
      </c>
      <c r="K2001" t="inlineStr">
        <is>
          <t>CF260820 01995</t>
        </is>
      </c>
      <c r="L2001" t="inlineStr">
        <is>
          <t>GL.NOSTRO.CZK.BRYG.004</t>
        </is>
      </c>
      <c r="M2001" t="inlineStr">
        <is>
          <t>Mallow Clearing</t>
        </is>
      </c>
      <c r="N2001" t="inlineStr">
        <is>
          <t>BRYGMM</t>
        </is>
      </c>
      <c r="O2001" t="inlineStr">
        <is>
          <t>NEW</t>
        </is>
      </c>
      <c r="Q2001" t="inlineStr">
        <is>
          <t>NETTER</t>
        </is>
      </c>
    </row>
    <row r="2002">
      <c r="A2002" t="inlineStr">
        <is>
          <t>927538182434</t>
        </is>
      </c>
      <c r="B2002" t="inlineStr">
        <is>
          <t>TCP</t>
        </is>
      </c>
      <c r="C2002" t="inlineStr">
        <is>
          <t>BRNK</t>
        </is>
      </c>
      <c r="D2002" s="6" t="n">
        <v>46254</v>
      </c>
      <c r="E2002" t="inlineStr">
        <is>
          <t>DR</t>
        </is>
      </c>
      <c r="F2002" t="inlineStr">
        <is>
          <t>CNY</t>
        </is>
      </c>
      <c r="G2002" s="7" t="n">
        <v>-114476.99</v>
      </c>
      <c r="H2002" t="inlineStr">
        <is>
          <t>GBP</t>
        </is>
      </c>
      <c r="I2002" s="7" t="n">
        <v>-12477.992</v>
      </c>
      <c r="J2002" s="8" t="n">
        <v>46254.646875</v>
      </c>
      <c r="K2002" t="inlineStr">
        <is>
          <t>CF260820 01996</t>
        </is>
      </c>
      <c r="L2002" t="inlineStr">
        <is>
          <t>GL.NOSTRO.CNY.BRNK.001</t>
        </is>
      </c>
      <c r="M2002" t="inlineStr">
        <is>
          <t>Oriel Trust</t>
        </is>
      </c>
      <c r="N2002" t="inlineStr">
        <is>
          <t>BRNKMM</t>
        </is>
      </c>
      <c r="O2002" t="inlineStr">
        <is>
          <t>NEW</t>
        </is>
      </c>
      <c r="Q2002" t="inlineStr">
        <is>
          <t>INTERNAL</t>
        </is>
      </c>
    </row>
    <row r="2003">
      <c r="A2003" t="inlineStr">
        <is>
          <t>910703979141</t>
        </is>
      </c>
      <c r="B2003" t="inlineStr">
        <is>
          <t>TCX</t>
        </is>
      </c>
      <c r="C2003" t="inlineStr">
        <is>
          <t>BRCC</t>
        </is>
      </c>
      <c r="D2003" s="6" t="n">
        <v>46254</v>
      </c>
      <c r="E2003" t="inlineStr">
        <is>
          <t>CR</t>
        </is>
      </c>
      <c r="F2003" t="inlineStr">
        <is>
          <t>CHF</t>
        </is>
      </c>
      <c r="G2003" s="7" t="n">
        <v>1343070.065</v>
      </c>
      <c r="H2003" t="inlineStr">
        <is>
          <t>GBP</t>
        </is>
      </c>
      <c r="I2003" s="7" t="n">
        <v>1204733.848</v>
      </c>
      <c r="J2003" s="8" t="n">
        <v>46254.40359953704</v>
      </c>
      <c r="K2003" t="inlineStr">
        <is>
          <t>CF260820 01997</t>
        </is>
      </c>
      <c r="L2003" t="inlineStr">
        <is>
          <t>GL.NOSTRO.CHF.BRCC.002</t>
        </is>
      </c>
      <c r="M2003" t="inlineStr">
        <is>
          <t>Yarrow Bank</t>
        </is>
      </c>
      <c r="N2003" t="inlineStr">
        <is>
          <t>BRCC</t>
        </is>
      </c>
      <c r="O2003" t="inlineStr">
        <is>
          <t>NEW</t>
        </is>
      </c>
      <c r="Q2003" t="inlineStr">
        <is>
          <t>GROSS</t>
        </is>
      </c>
    </row>
    <row r="2004">
      <c r="A2004" t="inlineStr">
        <is>
          <t>150316825069</t>
        </is>
      </c>
      <c r="B2004" t="inlineStr">
        <is>
          <t>TCP</t>
        </is>
      </c>
      <c r="C2004" t="inlineStr">
        <is>
          <t>BRGX</t>
        </is>
      </c>
      <c r="D2004" s="6" t="n">
        <v>46254</v>
      </c>
      <c r="E2004" t="inlineStr">
        <is>
          <t>CR</t>
        </is>
      </c>
      <c r="F2004" t="inlineStr">
        <is>
          <t>GBP</t>
        </is>
      </c>
      <c r="G2004" s="7" t="n">
        <v>526075.431</v>
      </c>
      <c r="H2004" t="inlineStr">
        <is>
          <t>GBP</t>
        </is>
      </c>
      <c r="I2004" s="7" t="n">
        <v>526075.431</v>
      </c>
      <c r="J2004" s="8" t="n">
        <v>46254.61112268519</v>
      </c>
      <c r="K2004" t="inlineStr">
        <is>
          <t>CF260820 01998</t>
        </is>
      </c>
      <c r="L2004" t="inlineStr">
        <is>
          <t>GL.NOSTRO.GBP.BRGX.002</t>
        </is>
      </c>
      <c r="M2004" t="inlineStr">
        <is>
          <t>Juniper Bank</t>
        </is>
      </c>
      <c r="N2004" t="inlineStr">
        <is>
          <t>BRGX</t>
        </is>
      </c>
      <c r="O2004" t="inlineStr">
        <is>
          <t>NEW</t>
        </is>
      </c>
      <c r="Q2004" t="inlineStr">
        <is>
          <t>INTERNAL</t>
        </is>
      </c>
    </row>
    <row r="2005">
      <c r="A2005" t="inlineStr">
        <is>
          <t>150316825069</t>
        </is>
      </c>
      <c r="B2005" t="inlineStr">
        <is>
          <t>TCP</t>
        </is>
      </c>
      <c r="C2005" t="inlineStr">
        <is>
          <t>BRGX</t>
        </is>
      </c>
      <c r="D2005" s="6" t="n">
        <v>46254</v>
      </c>
      <c r="E2005" t="inlineStr">
        <is>
          <t>DR</t>
        </is>
      </c>
      <c r="F2005" t="inlineStr">
        <is>
          <t>GBP</t>
        </is>
      </c>
      <c r="G2005" s="7" t="n">
        <v>-5670997.867</v>
      </c>
      <c r="H2005" t="inlineStr">
        <is>
          <t>GBP</t>
        </is>
      </c>
      <c r="I2005" s="7" t="n">
        <v>-5670997.867</v>
      </c>
      <c r="J2005" s="8" t="n">
        <v>46254.66755787037</v>
      </c>
      <c r="K2005" t="inlineStr">
        <is>
          <t>CF260820 01999</t>
        </is>
      </c>
      <c r="L2005" t="inlineStr">
        <is>
          <t>GL.NOSTRO.GBP.BRGX.002</t>
        </is>
      </c>
      <c r="M2005" t="inlineStr">
        <is>
          <t>Juniper Settlement Bank</t>
        </is>
      </c>
      <c r="N2005" t="inlineStr">
        <is>
          <t>BRGXTRSY</t>
        </is>
      </c>
      <c r="O2005" t="inlineStr">
        <is>
          <t>NEW</t>
        </is>
      </c>
      <c r="Q2005" t="inlineStr">
        <is>
          <t>GROSS</t>
        </is>
      </c>
    </row>
    <row r="2006">
      <c r="A2006" t="inlineStr">
        <is>
          <t>150316825069</t>
        </is>
      </c>
      <c r="B2006" t="inlineStr">
        <is>
          <t>TCP</t>
        </is>
      </c>
      <c r="C2006" t="inlineStr">
        <is>
          <t>BRGX</t>
        </is>
      </c>
      <c r="D2006" s="6" t="n">
        <v>46254</v>
      </c>
      <c r="E2006" t="inlineStr">
        <is>
          <t>CR</t>
        </is>
      </c>
      <c r="F2006" t="inlineStr">
        <is>
          <t>GBP</t>
        </is>
      </c>
      <c r="G2006" s="7" t="n">
        <v>58326769.442</v>
      </c>
      <c r="H2006" t="inlineStr">
        <is>
          <t>GBP</t>
        </is>
      </c>
      <c r="I2006" s="7" t="n">
        <v>58326769.442</v>
      </c>
      <c r="J2006" s="8" t="n">
        <v>46254.42174768518</v>
      </c>
      <c r="K2006" t="inlineStr">
        <is>
          <t>CF260820 02000</t>
        </is>
      </c>
      <c r="L2006" t="inlineStr">
        <is>
          <t>GL.NOSTRO.GBP.BRGX.006</t>
        </is>
      </c>
      <c r="M2006" t="inlineStr">
        <is>
          <t>Alder Trust</t>
        </is>
      </c>
      <c r="N2006" t="inlineStr">
        <is>
          <t>BRGX</t>
        </is>
      </c>
      <c r="O2006" t="inlineStr">
        <is>
          <t>NEW</t>
        </is>
      </c>
      <c r="Q2006" t="inlineStr">
        <is>
          <t>INTERNAL</t>
        </is>
      </c>
    </row>
    <row r="2007">
      <c r="A2007" t="inlineStr">
        <is>
          <t>499062838623</t>
        </is>
      </c>
      <c r="B2007" t="inlineStr">
        <is>
          <t>TCQ</t>
        </is>
      </c>
      <c r="C2007" t="inlineStr">
        <is>
          <t>BRBX</t>
        </is>
      </c>
      <c r="D2007" s="6" t="n">
        <v>46254</v>
      </c>
      <c r="E2007" t="inlineStr">
        <is>
          <t>DR</t>
        </is>
      </c>
      <c r="F2007" t="inlineStr">
        <is>
          <t>USD</t>
        </is>
      </c>
      <c r="G2007" s="7" t="n">
        <v>-1338196.026</v>
      </c>
      <c r="H2007" t="inlineStr">
        <is>
          <t>GBP</t>
        </is>
      </c>
      <c r="I2007" s="7" t="n">
        <v>-1049145.684</v>
      </c>
      <c r="J2007" s="8" t="n">
        <v>46254.62710648148</v>
      </c>
      <c r="K2007" t="inlineStr">
        <is>
          <t>CF260820 02001</t>
        </is>
      </c>
      <c r="L2007" t="inlineStr">
        <is>
          <t>GL.NOSTRO.USD.BRBX.009</t>
        </is>
      </c>
      <c r="M2007" t="inlineStr">
        <is>
          <t>Sablewood Clearing</t>
        </is>
      </c>
      <c r="N2007" t="inlineStr">
        <is>
          <t>BRBXCASH</t>
        </is>
      </c>
      <c r="O2007" t="inlineStr">
        <is>
          <t>NEW</t>
        </is>
      </c>
      <c r="Q2007" t="inlineStr">
        <is>
          <t>NETTER</t>
        </is>
      </c>
    </row>
    <row r="2008">
      <c r="A2008" t="inlineStr">
        <is>
          <t>794226063698</t>
        </is>
      </c>
      <c r="B2008" t="inlineStr">
        <is>
          <t>TCC</t>
        </is>
      </c>
      <c r="C2008" t="inlineStr">
        <is>
          <t>BRMD</t>
        </is>
      </c>
      <c r="D2008" s="6" t="n">
        <v>46254</v>
      </c>
      <c r="E2008" t="inlineStr">
        <is>
          <t>CR</t>
        </is>
      </c>
      <c r="F2008" t="inlineStr">
        <is>
          <t>AED</t>
        </is>
      </c>
      <c r="G2008" s="7" t="n">
        <v>3146627.598</v>
      </c>
      <c r="H2008" t="inlineStr">
        <is>
          <t>GBP</t>
        </is>
      </c>
      <c r="I2008" s="7" t="n">
        <v>670231.678</v>
      </c>
      <c r="J2008" s="8" t="n">
        <v>46254.24569444444</v>
      </c>
      <c r="K2008" t="inlineStr">
        <is>
          <t>CF260820 02002</t>
        </is>
      </c>
      <c r="L2008" t="inlineStr">
        <is>
          <t>GL.NOSTRO.AED.BRMD.003</t>
        </is>
      </c>
      <c r="M2008" t="inlineStr">
        <is>
          <t>Elmwood Clearing</t>
        </is>
      </c>
      <c r="N2008" t="inlineStr">
        <is>
          <t>BRMDTRSY</t>
        </is>
      </c>
      <c r="O2008" t="inlineStr">
        <is>
          <t>NEW</t>
        </is>
      </c>
      <c r="P2008" t="inlineStr">
        <is>
          <t>NT26082000808</t>
        </is>
      </c>
      <c r="Q2008" t="inlineStr">
        <is>
          <t>NETTER</t>
        </is>
      </c>
    </row>
    <row r="2009">
      <c r="A2009" t="inlineStr">
        <is>
          <t>824840705580</t>
        </is>
      </c>
      <c r="B2009" t="inlineStr">
        <is>
          <t>TCG</t>
        </is>
      </c>
      <c r="C2009" t="inlineStr">
        <is>
          <t>BRGL</t>
        </is>
      </c>
      <c r="D2009" s="6" t="n">
        <v>46254</v>
      </c>
      <c r="E2009" t="inlineStr">
        <is>
          <t>DR</t>
        </is>
      </c>
      <c r="F2009" t="inlineStr">
        <is>
          <t>EUR</t>
        </is>
      </c>
      <c r="G2009" s="7" t="n">
        <v>-26228.35</v>
      </c>
      <c r="H2009" t="inlineStr">
        <is>
          <t>GBP</t>
        </is>
      </c>
      <c r="I2009" s="7" t="n">
        <v>-22503.924</v>
      </c>
      <c r="J2009" s="8" t="n">
        <v>46254.47017361111</v>
      </c>
      <c r="K2009" t="inlineStr">
        <is>
          <t>CF260820 02003</t>
        </is>
      </c>
      <c r="L2009" t="inlineStr">
        <is>
          <t>GL.NOSTRO.EUR.BRGL.005</t>
        </is>
      </c>
      <c r="M2009" t="inlineStr">
        <is>
          <t>Mallow Clearing</t>
        </is>
      </c>
      <c r="N2009" t="inlineStr">
        <is>
          <t>BRGLCASH</t>
        </is>
      </c>
      <c r="O2009" t="inlineStr">
        <is>
          <t>NEW</t>
        </is>
      </c>
      <c r="Q2009" t="inlineStr">
        <is>
          <t>GROSS</t>
        </is>
      </c>
    </row>
    <row r="2010">
      <c r="A2010" t="inlineStr">
        <is>
          <t>726928343448</t>
        </is>
      </c>
      <c r="B2010" t="inlineStr">
        <is>
          <t>TCP</t>
        </is>
      </c>
      <c r="C2010" t="inlineStr">
        <is>
          <t>BRGX</t>
        </is>
      </c>
      <c r="D2010" s="6" t="n">
        <v>46254</v>
      </c>
      <c r="E2010" t="inlineStr">
        <is>
          <t>DR</t>
        </is>
      </c>
      <c r="F2010" t="inlineStr">
        <is>
          <t>EUR</t>
        </is>
      </c>
      <c r="G2010" s="7" t="n">
        <v>-14545.595</v>
      </c>
      <c r="H2010" t="inlineStr">
        <is>
          <t>GBP</t>
        </is>
      </c>
      <c r="I2010" s="7" t="n">
        <v>-12480.121</v>
      </c>
      <c r="J2010" s="8" t="n">
        <v>46254.48440972222</v>
      </c>
      <c r="K2010" t="inlineStr">
        <is>
          <t>CF260820 02004</t>
        </is>
      </c>
      <c r="L2010" t="inlineStr">
        <is>
          <t>GL.NOSTRO.EUR.BRGX.006</t>
        </is>
      </c>
      <c r="M2010" t="inlineStr">
        <is>
          <t>Sablewood Bank</t>
        </is>
      </c>
      <c r="N2010" t="inlineStr">
        <is>
          <t>BRGX</t>
        </is>
      </c>
      <c r="O2010" t="inlineStr">
        <is>
          <t>NEW</t>
        </is>
      </c>
      <c r="Q2010" t="inlineStr">
        <is>
          <t>NETTER</t>
        </is>
      </c>
    </row>
    <row r="2011">
      <c r="A2011" t="inlineStr">
        <is>
          <t>150316825069</t>
        </is>
      </c>
      <c r="B2011" t="inlineStr">
        <is>
          <t>TCQ</t>
        </is>
      </c>
      <c r="C2011" t="inlineStr">
        <is>
          <t>BRGX</t>
        </is>
      </c>
      <c r="D2011" s="6" t="n">
        <v>46254</v>
      </c>
      <c r="E2011" t="inlineStr">
        <is>
          <t>DR</t>
        </is>
      </c>
      <c r="F2011" t="inlineStr">
        <is>
          <t>GBP</t>
        </is>
      </c>
      <c r="G2011" s="7" t="n">
        <v>-48401890.426</v>
      </c>
      <c r="H2011" t="inlineStr">
        <is>
          <t>GBP</t>
        </is>
      </c>
      <c r="I2011" s="7" t="n">
        <v>-48401890.426</v>
      </c>
      <c r="J2011" s="8" t="n">
        <v>46254.4502662037</v>
      </c>
      <c r="K2011" t="inlineStr">
        <is>
          <t>CF260820 02005</t>
        </is>
      </c>
      <c r="L2011" t="inlineStr">
        <is>
          <t>GL.NOSTRO.GBP.BRGX.008</t>
        </is>
      </c>
      <c r="M2011" t="inlineStr">
        <is>
          <t>Umberton Commercial Bank</t>
        </is>
      </c>
      <c r="N2011" t="inlineStr">
        <is>
          <t>BRGX</t>
        </is>
      </c>
      <c r="O2011" t="inlineStr">
        <is>
          <t>NEW</t>
        </is>
      </c>
      <c r="P2011" t="inlineStr">
        <is>
          <t>NT26082000793</t>
        </is>
      </c>
      <c r="Q2011" t="inlineStr">
        <is>
          <t>NETTER</t>
        </is>
      </c>
    </row>
    <row r="2012">
      <c r="A2012" t="inlineStr">
        <is>
          <t>359365220160</t>
        </is>
      </c>
      <c r="B2012" t="inlineStr">
        <is>
          <t>TCQ</t>
        </is>
      </c>
      <c r="C2012" t="inlineStr">
        <is>
          <t>BRGX</t>
        </is>
      </c>
      <c r="D2012" s="6" t="n">
        <v>46254</v>
      </c>
      <c r="E2012" t="inlineStr">
        <is>
          <t>DR</t>
        </is>
      </c>
      <c r="F2012" t="inlineStr">
        <is>
          <t>EUR</t>
        </is>
      </c>
      <c r="G2012" s="7" t="n">
        <v>-128361845.186</v>
      </c>
      <c r="H2012" t="inlineStr">
        <is>
          <t>GBP</t>
        </is>
      </c>
      <c r="I2012" s="7" t="n">
        <v>-110134463.17</v>
      </c>
      <c r="J2012" s="8" t="n">
        <v>46254.60525462963</v>
      </c>
      <c r="K2012" t="inlineStr">
        <is>
          <t>CF260820 02006</t>
        </is>
      </c>
      <c r="L2012" t="inlineStr">
        <is>
          <t>GL.NOSTRO.EUR.BRGX.002</t>
        </is>
      </c>
      <c r="M2012" t="inlineStr">
        <is>
          <t>Pinehurst Bank</t>
        </is>
      </c>
      <c r="N2012" t="inlineStr">
        <is>
          <t>BRGXMM</t>
        </is>
      </c>
      <c r="O2012" t="inlineStr">
        <is>
          <t>NEW</t>
        </is>
      </c>
      <c r="Q2012" t="inlineStr">
        <is>
          <t>NETTER</t>
        </is>
      </c>
    </row>
    <row r="2013">
      <c r="A2013" t="inlineStr">
        <is>
          <t>468341071172</t>
        </is>
      </c>
      <c r="B2013" t="inlineStr">
        <is>
          <t>TCP</t>
        </is>
      </c>
      <c r="C2013" t="inlineStr">
        <is>
          <t>BRCC</t>
        </is>
      </c>
      <c r="D2013" s="6" t="n">
        <v>46254</v>
      </c>
      <c r="E2013" t="inlineStr">
        <is>
          <t>CR</t>
        </is>
      </c>
      <c r="F2013" t="inlineStr">
        <is>
          <t>EUR</t>
        </is>
      </c>
      <c r="G2013" s="7" t="n">
        <v>155776078.109</v>
      </c>
      <c r="H2013" t="inlineStr">
        <is>
          <t>GBP</t>
        </is>
      </c>
      <c r="I2013" s="7" t="n">
        <v>133655875.018</v>
      </c>
      <c r="J2013" s="8" t="n">
        <v>46254.72222222222</v>
      </c>
      <c r="K2013" t="inlineStr">
        <is>
          <t>CF260820 02007</t>
        </is>
      </c>
      <c r="L2013" t="inlineStr">
        <is>
          <t>GL.NOSTRO.EUR.BRCC.002</t>
        </is>
      </c>
      <c r="M2013" t="inlineStr">
        <is>
          <t>Elmwood Settlement Bank</t>
        </is>
      </c>
      <c r="N2013" t="inlineStr">
        <is>
          <t>BRCCTRSY</t>
        </is>
      </c>
      <c r="O2013" t="inlineStr">
        <is>
          <t>NEW</t>
        </is>
      </c>
      <c r="P2013" t="inlineStr">
        <is>
          <t>NT26082000787</t>
        </is>
      </c>
      <c r="Q2013" t="inlineStr">
        <is>
          <t>GROSS</t>
        </is>
      </c>
    </row>
    <row r="2014">
      <c r="A2014" t="inlineStr">
        <is>
          <t>898317028833</t>
        </is>
      </c>
      <c r="B2014" t="inlineStr">
        <is>
          <t>TCC</t>
        </is>
      </c>
      <c r="C2014" t="inlineStr">
        <is>
          <t>BRAA</t>
        </is>
      </c>
      <c r="D2014" s="6" t="n">
        <v>46254</v>
      </c>
      <c r="E2014" t="inlineStr">
        <is>
          <t>DR</t>
        </is>
      </c>
      <c r="F2014" t="inlineStr">
        <is>
          <t>GBP</t>
        </is>
      </c>
      <c r="G2014" s="7" t="n">
        <v>-914121680.785</v>
      </c>
      <c r="H2014" t="inlineStr">
        <is>
          <t>GBP</t>
        </is>
      </c>
      <c r="I2014" s="7" t="n">
        <v>-914121680.785</v>
      </c>
      <c r="J2014" s="8" t="n">
        <v>46254.34119212963</v>
      </c>
      <c r="K2014" t="inlineStr">
        <is>
          <t>CF260820 02008</t>
        </is>
      </c>
      <c r="L2014" t="inlineStr">
        <is>
          <t>GL.NOSTRO.GBP.BRAA.006</t>
        </is>
      </c>
      <c r="M2014" t="inlineStr">
        <is>
          <t>Redstart Commercial Bank</t>
        </is>
      </c>
      <c r="N2014" t="inlineStr">
        <is>
          <t>BRAATRSY</t>
        </is>
      </c>
      <c r="O2014" t="inlineStr">
        <is>
          <t>NEW</t>
        </is>
      </c>
      <c r="Q2014" t="inlineStr">
        <is>
          <t>NETTER</t>
        </is>
      </c>
    </row>
    <row r="2015">
      <c r="A2015" t="inlineStr">
        <is>
          <t>968942362772</t>
        </is>
      </c>
      <c r="B2015" t="inlineStr">
        <is>
          <t>TCQ</t>
        </is>
      </c>
      <c r="C2015" t="inlineStr">
        <is>
          <t>BRYG</t>
        </is>
      </c>
      <c r="D2015" s="6" t="n">
        <v>46254</v>
      </c>
      <c r="E2015" t="inlineStr">
        <is>
          <t>CR</t>
        </is>
      </c>
      <c r="F2015" t="inlineStr">
        <is>
          <t>EUR</t>
        </is>
      </c>
      <c r="G2015" s="7" t="n">
        <v>37721500.901</v>
      </c>
      <c r="H2015" t="inlineStr">
        <is>
          <t>GBP</t>
        </is>
      </c>
      <c r="I2015" s="7" t="n">
        <v>32365047.773</v>
      </c>
      <c r="J2015" s="8" t="n">
        <v>46254.22458333334</v>
      </c>
      <c r="K2015" t="inlineStr">
        <is>
          <t>CF260820 02009</t>
        </is>
      </c>
      <c r="L2015" t="inlineStr">
        <is>
          <t>GL.NOSTRO.EUR.BRYG.006</t>
        </is>
      </c>
      <c r="M2015" t="inlineStr">
        <is>
          <t>Alder Trust</t>
        </is>
      </c>
      <c r="N2015" t="inlineStr">
        <is>
          <t>BRYG</t>
        </is>
      </c>
      <c r="O2015" t="inlineStr">
        <is>
          <t>NEW</t>
        </is>
      </c>
      <c r="Q2015" t="inlineStr">
        <is>
          <t>NETTER</t>
        </is>
      </c>
    </row>
    <row r="2016">
      <c r="A2016" t="inlineStr">
        <is>
          <t>359365220160</t>
        </is>
      </c>
      <c r="B2016" t="inlineStr">
        <is>
          <t>TCC</t>
        </is>
      </c>
      <c r="C2016" t="inlineStr">
        <is>
          <t>BRGX</t>
        </is>
      </c>
      <c r="D2016" s="6" t="n">
        <v>46254</v>
      </c>
      <c r="E2016" t="inlineStr">
        <is>
          <t>DR</t>
        </is>
      </c>
      <c r="F2016" t="inlineStr">
        <is>
          <t>EUR</t>
        </is>
      </c>
      <c r="G2016" s="7" t="n">
        <v>-226645.93</v>
      </c>
      <c r="H2016" t="inlineStr">
        <is>
          <t>GBP</t>
        </is>
      </c>
      <c r="I2016" s="7" t="n">
        <v>-194462.208</v>
      </c>
      <c r="J2016" s="8" t="n">
        <v>46254.62229166667</v>
      </c>
      <c r="K2016" t="inlineStr">
        <is>
          <t>CF260820 02010</t>
        </is>
      </c>
      <c r="L2016" t="inlineStr">
        <is>
          <t>GL.NOSTRO.EUR.BRGX.001</t>
        </is>
      </c>
      <c r="M2016" t="inlineStr">
        <is>
          <t>Umberton Commercial Bank</t>
        </is>
      </c>
      <c r="N2016" t="inlineStr">
        <is>
          <t>BRGXMM</t>
        </is>
      </c>
      <c r="O2016" t="inlineStr">
        <is>
          <t>NEW</t>
        </is>
      </c>
      <c r="P2016" t="inlineStr">
        <is>
          <t>NT26082000793</t>
        </is>
      </c>
      <c r="Q2016" t="inlineStr">
        <is>
          <t>GROSS</t>
        </is>
      </c>
    </row>
    <row r="2017">
      <c r="A2017" t="inlineStr">
        <is>
          <t>150316825069</t>
        </is>
      </c>
      <c r="B2017" t="inlineStr">
        <is>
          <t>TCQ</t>
        </is>
      </c>
      <c r="C2017" t="inlineStr">
        <is>
          <t>BRGX</t>
        </is>
      </c>
      <c r="D2017" s="6" t="n">
        <v>46254</v>
      </c>
      <c r="E2017" t="inlineStr">
        <is>
          <t>CR</t>
        </is>
      </c>
      <c r="F2017" t="inlineStr">
        <is>
          <t>GBP</t>
        </is>
      </c>
      <c r="G2017" s="7" t="n">
        <v>51691159.205</v>
      </c>
      <c r="H2017" t="inlineStr">
        <is>
          <t>GBP</t>
        </is>
      </c>
      <c r="I2017" s="7" t="n">
        <v>51691159.205</v>
      </c>
      <c r="J2017" s="8" t="n">
        <v>46254.48444444445</v>
      </c>
      <c r="K2017" t="inlineStr">
        <is>
          <t>CF260820 02011</t>
        </is>
      </c>
      <c r="L2017" t="inlineStr">
        <is>
          <t>GL.NOSTRO.GBP.BRGX.002</t>
        </is>
      </c>
      <c r="M2017" t="inlineStr">
        <is>
          <t>Juniper Settlement Bank</t>
        </is>
      </c>
      <c r="N2017" t="inlineStr">
        <is>
          <t>BRGXCASH</t>
        </is>
      </c>
      <c r="O2017" t="inlineStr">
        <is>
          <t>NEW</t>
        </is>
      </c>
      <c r="P2017" t="inlineStr">
        <is>
          <t>NT26082000800</t>
        </is>
      </c>
      <c r="Q2017" t="inlineStr">
        <is>
          <t>NETTER</t>
        </is>
      </c>
    </row>
    <row r="2018">
      <c r="A2018" t="inlineStr">
        <is>
          <t>621381112674</t>
        </is>
      </c>
      <c r="B2018" t="inlineStr">
        <is>
          <t>TCC</t>
        </is>
      </c>
      <c r="C2018" t="inlineStr">
        <is>
          <t>BRAA</t>
        </is>
      </c>
      <c r="D2018" s="6" t="n">
        <v>46254</v>
      </c>
      <c r="E2018" t="inlineStr">
        <is>
          <t>CR</t>
        </is>
      </c>
      <c r="F2018" t="inlineStr">
        <is>
          <t>PLN</t>
        </is>
      </c>
      <c r="G2018" s="7" t="n">
        <v>15627071.5</v>
      </c>
      <c r="H2018" t="inlineStr">
        <is>
          <t>GBP</t>
        </is>
      </c>
      <c r="I2018" s="7" t="n">
        <v>3094160.157</v>
      </c>
      <c r="J2018" s="8" t="n">
        <v>46254.63734953704</v>
      </c>
      <c r="K2018" t="inlineStr">
        <is>
          <t>CF260820 02012</t>
        </is>
      </c>
      <c r="L2018" t="inlineStr">
        <is>
          <t>GL.NOSTRO.PLN.BRAA.009</t>
        </is>
      </c>
      <c r="M2018" t="inlineStr">
        <is>
          <t>Yarrow Bank</t>
        </is>
      </c>
      <c r="N2018" t="inlineStr">
        <is>
          <t>BRAAMM</t>
        </is>
      </c>
      <c r="O2018" t="inlineStr">
        <is>
          <t>NEW</t>
        </is>
      </c>
      <c r="Q2018" t="inlineStr">
        <is>
          <t>GROSS</t>
        </is>
      </c>
    </row>
    <row r="2019">
      <c r="A2019" t="inlineStr">
        <is>
          <t>284925023085</t>
        </is>
      </c>
      <c r="B2019" t="inlineStr">
        <is>
          <t>TCG</t>
        </is>
      </c>
      <c r="C2019" t="inlineStr">
        <is>
          <t>BRMD</t>
        </is>
      </c>
      <c r="D2019" s="6" t="n">
        <v>46254</v>
      </c>
      <c r="E2019" t="inlineStr">
        <is>
          <t>CR</t>
        </is>
      </c>
      <c r="F2019" t="inlineStr">
        <is>
          <t>MXN</t>
        </is>
      </c>
      <c r="G2019" s="7" t="n">
        <v>31087628.141</v>
      </c>
      <c r="H2019" t="inlineStr">
        <is>
          <t>GBP</t>
        </is>
      </c>
      <c r="I2019" s="7" t="n">
        <v>1330550.484</v>
      </c>
      <c r="J2019" s="8" t="n">
        <v>46254.69179398148</v>
      </c>
      <c r="K2019" t="inlineStr">
        <is>
          <t>CF260820 02013</t>
        </is>
      </c>
      <c r="L2019" t="inlineStr">
        <is>
          <t>GL.NOSTRO.MXN.BRMD.003</t>
        </is>
      </c>
      <c r="M2019" t="inlineStr">
        <is>
          <t>Redstart Commercial Bank</t>
        </is>
      </c>
      <c r="N2019" t="inlineStr">
        <is>
          <t>BRMDMM</t>
        </is>
      </c>
      <c r="O2019" t="inlineStr">
        <is>
          <t>NEW</t>
        </is>
      </c>
      <c r="Q2019" t="inlineStr">
        <is>
          <t>GROSS</t>
        </is>
      </c>
    </row>
    <row r="2020">
      <c r="A2020" t="inlineStr">
        <is>
          <t>968942362772</t>
        </is>
      </c>
      <c r="B2020" t="inlineStr">
        <is>
          <t>TCC</t>
        </is>
      </c>
      <c r="C2020" t="inlineStr">
        <is>
          <t>BRYG</t>
        </is>
      </c>
      <c r="D2020" s="6" t="n">
        <v>46254</v>
      </c>
      <c r="E2020" t="inlineStr">
        <is>
          <t>DR</t>
        </is>
      </c>
      <c r="F2020" t="inlineStr">
        <is>
          <t>EUR</t>
        </is>
      </c>
      <c r="G2020" s="7" t="n">
        <v>-44005469.857</v>
      </c>
      <c r="H2020" t="inlineStr">
        <is>
          <t>GBP</t>
        </is>
      </c>
      <c r="I2020" s="7" t="n">
        <v>-37756693.137</v>
      </c>
      <c r="J2020" s="8" t="n">
        <v>46254.31953703704</v>
      </c>
      <c r="K2020" t="inlineStr">
        <is>
          <t>CF260820 02014</t>
        </is>
      </c>
      <c r="L2020" t="inlineStr">
        <is>
          <t>GL.NOSTRO.EUR.BRYG.002</t>
        </is>
      </c>
      <c r="M2020" t="inlineStr">
        <is>
          <t>Sablewood Settlement Bank</t>
        </is>
      </c>
      <c r="N2020" t="inlineStr">
        <is>
          <t>BRYGMM</t>
        </is>
      </c>
      <c r="O2020" t="inlineStr">
        <is>
          <t>AMEND</t>
        </is>
      </c>
      <c r="Q2020" t="inlineStr">
        <is>
          <t>NETTER</t>
        </is>
      </c>
    </row>
    <row r="2021">
      <c r="A2021" t="inlineStr">
        <is>
          <t>359365220160</t>
        </is>
      </c>
      <c r="B2021" t="inlineStr">
        <is>
          <t>TCP</t>
        </is>
      </c>
      <c r="C2021" t="inlineStr">
        <is>
          <t>BRGX</t>
        </is>
      </c>
      <c r="D2021" s="6" t="n">
        <v>46254</v>
      </c>
      <c r="E2021" t="inlineStr">
        <is>
          <t>DR</t>
        </is>
      </c>
      <c r="F2021" t="inlineStr">
        <is>
          <t>EUR</t>
        </is>
      </c>
      <c r="G2021" s="7" t="n">
        <v>-48453496.928</v>
      </c>
      <c r="H2021" t="inlineStr">
        <is>
          <t>GBP</t>
        </is>
      </c>
      <c r="I2021" s="7" t="n">
        <v>-41573100.364</v>
      </c>
      <c r="J2021" s="8" t="n">
        <v>46254.95064814815</v>
      </c>
      <c r="K2021" t="inlineStr">
        <is>
          <t>CF260820 02015</t>
        </is>
      </c>
      <c r="L2021" t="inlineStr">
        <is>
          <t>GL.NOSTRO.EUR.BRGX.004</t>
        </is>
      </c>
      <c r="M2021" t="inlineStr">
        <is>
          <t>Redstart Trust</t>
        </is>
      </c>
      <c r="N2021" t="inlineStr">
        <is>
          <t>BRGXMM</t>
        </is>
      </c>
      <c r="O2021" t="inlineStr">
        <is>
          <t>NEW</t>
        </is>
      </c>
      <c r="P2021" t="inlineStr">
        <is>
          <t>NT26082000821</t>
        </is>
      </c>
      <c r="Q2021" t="inlineStr">
        <is>
          <t>NETTER</t>
        </is>
      </c>
    </row>
    <row r="2022">
      <c r="A2022" t="inlineStr">
        <is>
          <t>794226063698</t>
        </is>
      </c>
      <c r="B2022" t="inlineStr">
        <is>
          <t>TCX</t>
        </is>
      </c>
      <c r="C2022" t="inlineStr">
        <is>
          <t>BRMD</t>
        </is>
      </c>
      <c r="D2022" s="6" t="n">
        <v>46254</v>
      </c>
      <c r="E2022" t="inlineStr">
        <is>
          <t>DR</t>
        </is>
      </c>
      <c r="F2022" t="inlineStr">
        <is>
          <t>AED</t>
        </is>
      </c>
      <c r="G2022" s="7" t="n">
        <v>-27613807.564</v>
      </c>
      <c r="H2022" t="inlineStr">
        <is>
          <t>GBP</t>
        </is>
      </c>
      <c r="I2022" s="7" t="n">
        <v>-5881741.011</v>
      </c>
      <c r="J2022" s="8" t="n">
        <v>46254.33454861111</v>
      </c>
      <c r="K2022" t="inlineStr">
        <is>
          <t>CF260820 02016</t>
        </is>
      </c>
      <c r="L2022" t="inlineStr">
        <is>
          <t>GL.NOSTRO.AED.BRMD.003</t>
        </is>
      </c>
      <c r="M2022" t="inlineStr">
        <is>
          <t>Ironbark Commercial Bank</t>
        </is>
      </c>
      <c r="N2022" t="inlineStr">
        <is>
          <t>BRMDMM</t>
        </is>
      </c>
      <c r="O2022" t="inlineStr">
        <is>
          <t>NEW</t>
        </is>
      </c>
      <c r="P2022" t="inlineStr">
        <is>
          <t>NT26082000818</t>
        </is>
      </c>
      <c r="Q2022" t="inlineStr">
        <is>
          <t>INTERNAL</t>
        </is>
      </c>
    </row>
    <row r="2023">
      <c r="A2023" t="inlineStr">
        <is>
          <t>898317028833</t>
        </is>
      </c>
      <c r="B2023" t="inlineStr">
        <is>
          <t>TCQ</t>
        </is>
      </c>
      <c r="C2023" t="inlineStr">
        <is>
          <t>BRAA</t>
        </is>
      </c>
      <c r="D2023" s="6" t="n">
        <v>46254</v>
      </c>
      <c r="E2023" t="inlineStr">
        <is>
          <t>DR</t>
        </is>
      </c>
      <c r="F2023" t="inlineStr">
        <is>
          <t>GBP</t>
        </is>
      </c>
      <c r="G2023" s="7" t="n">
        <v>-3550899.751</v>
      </c>
      <c r="H2023" t="inlineStr">
        <is>
          <t>GBP</t>
        </is>
      </c>
      <c r="I2023" s="7" t="n">
        <v>-3550899.751</v>
      </c>
      <c r="J2023" s="8" t="n">
        <v>46254.34115740741</v>
      </c>
      <c r="K2023" t="inlineStr">
        <is>
          <t>CF260820 02017</t>
        </is>
      </c>
      <c r="L2023" t="inlineStr">
        <is>
          <t>GL.NOSTRO.GBP.BRAA.009</t>
        </is>
      </c>
      <c r="M2023" t="inlineStr">
        <is>
          <t>Pinehurst Bank</t>
        </is>
      </c>
      <c r="N2023" t="inlineStr">
        <is>
          <t>BRAAMM</t>
        </is>
      </c>
      <c r="O2023" t="inlineStr">
        <is>
          <t>NEW</t>
        </is>
      </c>
      <c r="Q2023" t="inlineStr">
        <is>
          <t>NETTER</t>
        </is>
      </c>
    </row>
    <row r="2024">
      <c r="A2024" t="inlineStr">
        <is>
          <t>968942362772</t>
        </is>
      </c>
      <c r="B2024" t="inlineStr">
        <is>
          <t>TCQ</t>
        </is>
      </c>
      <c r="C2024" t="inlineStr">
        <is>
          <t>BRYG</t>
        </is>
      </c>
      <c r="D2024" s="6" t="n">
        <v>46254</v>
      </c>
      <c r="E2024" t="inlineStr">
        <is>
          <t>CR</t>
        </is>
      </c>
      <c r="F2024" t="inlineStr">
        <is>
          <t>EUR</t>
        </is>
      </c>
      <c r="G2024" s="7" t="n">
        <v>1490197.846</v>
      </c>
      <c r="H2024" t="inlineStr">
        <is>
          <t>GBP</t>
        </is>
      </c>
      <c r="I2024" s="7" t="n">
        <v>1278589.752</v>
      </c>
      <c r="J2024" s="8" t="n">
        <v>46254.38711805556</v>
      </c>
      <c r="K2024" t="inlineStr">
        <is>
          <t>CF260820 02018</t>
        </is>
      </c>
      <c r="L2024" t="inlineStr">
        <is>
          <t>GL.NOSTRO.EUR.BRYG.001</t>
        </is>
      </c>
      <c r="M2024" t="inlineStr">
        <is>
          <t>Yarrow Bank</t>
        </is>
      </c>
      <c r="N2024" t="inlineStr">
        <is>
          <t>BRYGCASH</t>
        </is>
      </c>
      <c r="O2024" t="inlineStr">
        <is>
          <t>NEW</t>
        </is>
      </c>
      <c r="Q2024" t="inlineStr">
        <is>
          <t>INTERNAL</t>
        </is>
      </c>
    </row>
    <row r="2025">
      <c r="A2025" t="inlineStr">
        <is>
          <t>968942362772</t>
        </is>
      </c>
      <c r="B2025" t="inlineStr">
        <is>
          <t>TCX</t>
        </is>
      </c>
      <c r="C2025" t="inlineStr">
        <is>
          <t>BRYG</t>
        </is>
      </c>
      <c r="D2025" s="6" t="n">
        <v>46254</v>
      </c>
      <c r="E2025" t="inlineStr">
        <is>
          <t>CR</t>
        </is>
      </c>
      <c r="F2025" t="inlineStr">
        <is>
          <t>EUR</t>
        </is>
      </c>
      <c r="G2025" s="7" t="n">
        <v>367474517.856</v>
      </c>
      <c r="H2025" t="inlineStr">
        <is>
          <t>GBP</t>
        </is>
      </c>
      <c r="I2025" s="7" t="n">
        <v>315293136.32</v>
      </c>
      <c r="J2025" s="8" t="n">
        <v>46254.39239583333</v>
      </c>
      <c r="K2025" t="inlineStr">
        <is>
          <t>CF260820 02019</t>
        </is>
      </c>
      <c r="L2025" t="inlineStr">
        <is>
          <t>GL.NOSTRO.EUR.BRYG.005</t>
        </is>
      </c>
      <c r="M2025" t="inlineStr">
        <is>
          <t>Pinehurst Clearing</t>
        </is>
      </c>
      <c r="N2025" t="inlineStr">
        <is>
          <t>BRYGCASH</t>
        </is>
      </c>
      <c r="O2025" t="inlineStr">
        <is>
          <t>NEW</t>
        </is>
      </c>
      <c r="P2025" t="inlineStr">
        <is>
          <t>NT26082000821</t>
        </is>
      </c>
      <c r="Q2025" t="inlineStr">
        <is>
          <t>INTERNAL</t>
        </is>
      </c>
    </row>
    <row r="2026">
      <c r="A2026" t="inlineStr">
        <is>
          <t>468341071172</t>
        </is>
      </c>
      <c r="B2026" t="inlineStr">
        <is>
          <t>TCQ</t>
        </is>
      </c>
      <c r="C2026" t="inlineStr">
        <is>
          <t>BRCC</t>
        </is>
      </c>
      <c r="D2026" s="6" t="n">
        <v>46254</v>
      </c>
      <c r="E2026" t="inlineStr">
        <is>
          <t>DR</t>
        </is>
      </c>
      <c r="F2026" t="inlineStr">
        <is>
          <t>EUR</t>
        </is>
      </c>
      <c r="G2026" s="7" t="n">
        <v>-933075118.355</v>
      </c>
      <c r="H2026" t="inlineStr">
        <is>
          <t>GBP</t>
        </is>
      </c>
      <c r="I2026" s="7" t="n">
        <v>-800578451.549</v>
      </c>
      <c r="J2026" s="8" t="n">
        <v>46254.183125</v>
      </c>
      <c r="K2026" t="inlineStr">
        <is>
          <t>CF260820 02020</t>
        </is>
      </c>
      <c r="L2026" t="inlineStr">
        <is>
          <t>GL.NOSTRO.EUR.BRCC.006</t>
        </is>
      </c>
      <c r="M2026" t="inlineStr">
        <is>
          <t>Wrenfield Commercial Bank</t>
        </is>
      </c>
      <c r="N2026" t="inlineStr">
        <is>
          <t>BRCC</t>
        </is>
      </c>
      <c r="O2026" t="inlineStr">
        <is>
          <t>NEW</t>
        </is>
      </c>
      <c r="Q2026" t="inlineStr">
        <is>
          <t>GROSS</t>
        </is>
      </c>
    </row>
    <row r="2027">
      <c r="A2027" t="inlineStr">
        <is>
          <t>468341071172</t>
        </is>
      </c>
      <c r="B2027" t="inlineStr">
        <is>
          <t>TCC</t>
        </is>
      </c>
      <c r="C2027" t="inlineStr">
        <is>
          <t>BRCC</t>
        </is>
      </c>
      <c r="D2027" s="6" t="n">
        <v>46254</v>
      </c>
      <c r="E2027" t="inlineStr">
        <is>
          <t>CR</t>
        </is>
      </c>
      <c r="F2027" t="inlineStr">
        <is>
          <t>EUR</t>
        </is>
      </c>
      <c r="G2027" s="7" t="n">
        <v>8451544.889</v>
      </c>
      <c r="H2027" t="inlineStr">
        <is>
          <t>GBP</t>
        </is>
      </c>
      <c r="I2027" s="7" t="n">
        <v>7251425.515</v>
      </c>
      <c r="J2027" s="8" t="n">
        <v>46254.79650462963</v>
      </c>
      <c r="K2027" t="inlineStr">
        <is>
          <t>CF260820 02021</t>
        </is>
      </c>
      <c r="L2027" t="inlineStr">
        <is>
          <t>GL.NOSTRO.EUR.BRCC.006</t>
        </is>
      </c>
      <c r="M2027" t="inlineStr">
        <is>
          <t>Elmwood Clearing</t>
        </is>
      </c>
      <c r="N2027" t="inlineStr">
        <is>
          <t>BRCCTRSY</t>
        </is>
      </c>
      <c r="O2027" t="inlineStr">
        <is>
          <t>NEW</t>
        </is>
      </c>
      <c r="P2027" t="inlineStr">
        <is>
          <t>NT26082000799</t>
        </is>
      </c>
      <c r="Q2027" t="inlineStr">
        <is>
          <t>GROSS</t>
        </is>
      </c>
    </row>
    <row r="2028">
      <c r="A2028" t="inlineStr">
        <is>
          <t>468341071172</t>
        </is>
      </c>
      <c r="B2028" t="inlineStr">
        <is>
          <t>TCP</t>
        </is>
      </c>
      <c r="C2028" t="inlineStr">
        <is>
          <t>BRCC</t>
        </is>
      </c>
      <c r="D2028" s="6" t="n">
        <v>46254</v>
      </c>
      <c r="E2028" t="inlineStr">
        <is>
          <t>DR</t>
        </is>
      </c>
      <c r="F2028" t="inlineStr">
        <is>
          <t>EUR</t>
        </is>
      </c>
      <c r="G2028" s="7" t="n">
        <v>-28682732.299</v>
      </c>
      <c r="H2028" t="inlineStr">
        <is>
          <t>GBP</t>
        </is>
      </c>
      <c r="I2028" s="7" t="n">
        <v>-24609784.313</v>
      </c>
      <c r="J2028" s="8" t="n">
        <v>46254.38809027777</v>
      </c>
      <c r="K2028" t="inlineStr">
        <is>
          <t>CF260820 02022</t>
        </is>
      </c>
      <c r="L2028" t="inlineStr">
        <is>
          <t>GL.NOSTRO.EUR.BRCC.004</t>
        </is>
      </c>
      <c r="M2028" t="inlineStr">
        <is>
          <t>Elmwood Trust</t>
        </is>
      </c>
      <c r="N2028" t="inlineStr">
        <is>
          <t>BRCC</t>
        </is>
      </c>
      <c r="O2028" t="inlineStr">
        <is>
          <t>NEW</t>
        </is>
      </c>
      <c r="Q2028" t="inlineStr">
        <is>
          <t>GROSS</t>
        </is>
      </c>
    </row>
    <row r="2029">
      <c r="A2029" t="inlineStr">
        <is>
          <t>468341071172</t>
        </is>
      </c>
      <c r="B2029" t="inlineStr">
        <is>
          <t>TCG</t>
        </is>
      </c>
      <c r="C2029" t="inlineStr">
        <is>
          <t>BRCC</t>
        </is>
      </c>
      <c r="D2029" s="6" t="n">
        <v>46254</v>
      </c>
      <c r="E2029" t="inlineStr">
        <is>
          <t>DR</t>
        </is>
      </c>
      <c r="F2029" t="inlineStr">
        <is>
          <t>EUR</t>
        </is>
      </c>
      <c r="G2029" s="7" t="n">
        <v>-13273448.968</v>
      </c>
      <c r="H2029" t="inlineStr">
        <is>
          <t>GBP</t>
        </is>
      </c>
      <c r="I2029" s="7" t="n">
        <v>-11388619.215</v>
      </c>
      <c r="J2029" s="8" t="n">
        <v>46254.61207175926</v>
      </c>
      <c r="K2029" t="inlineStr">
        <is>
          <t>CF260820 02023</t>
        </is>
      </c>
      <c r="L2029" t="inlineStr">
        <is>
          <t>GL.NOSTRO.EUR.BRCC.006</t>
        </is>
      </c>
      <c r="M2029" t="inlineStr">
        <is>
          <t>Yarrow Commercial Bank</t>
        </is>
      </c>
      <c r="N2029" t="inlineStr">
        <is>
          <t>BRCCCASH</t>
        </is>
      </c>
      <c r="O2029" t="inlineStr">
        <is>
          <t>NEW</t>
        </is>
      </c>
      <c r="Q2029" t="inlineStr">
        <is>
          <t>NETTER</t>
        </is>
      </c>
    </row>
    <row r="2030">
      <c r="A2030" t="inlineStr">
        <is>
          <t>132544340094</t>
        </is>
      </c>
      <c r="B2030" t="inlineStr">
        <is>
          <t>TCC</t>
        </is>
      </c>
      <c r="C2030" t="inlineStr">
        <is>
          <t>BRYG</t>
        </is>
      </c>
      <c r="D2030" s="6" t="n">
        <v>46254</v>
      </c>
      <c r="E2030" t="inlineStr">
        <is>
          <t>CR</t>
        </is>
      </c>
      <c r="F2030" t="inlineStr">
        <is>
          <t>CZK</t>
        </is>
      </c>
      <c r="G2030" s="7" t="n">
        <v>24114485.602</v>
      </c>
      <c r="H2030" t="inlineStr">
        <is>
          <t>GBP</t>
        </is>
      </c>
      <c r="I2030" s="7" t="n">
        <v>817481.062</v>
      </c>
      <c r="J2030" s="8" t="n">
        <v>46254.48721064815</v>
      </c>
      <c r="K2030" t="inlineStr">
        <is>
          <t>CF260820 02024</t>
        </is>
      </c>
      <c r="L2030" t="inlineStr">
        <is>
          <t>GL.NOSTRO.CZK.BRYG.005</t>
        </is>
      </c>
      <c r="M2030" t="inlineStr">
        <is>
          <t>Wrenfield Commercial Bank</t>
        </is>
      </c>
      <c r="N2030" t="inlineStr">
        <is>
          <t>BRYG</t>
        </is>
      </c>
      <c r="O2030" t="inlineStr">
        <is>
          <t>NEW</t>
        </is>
      </c>
      <c r="Q2030" t="inlineStr">
        <is>
          <t>GROSS</t>
        </is>
      </c>
    </row>
    <row r="2031">
      <c r="A2031" t="inlineStr">
        <is>
          <t>120047354818</t>
        </is>
      </c>
      <c r="B2031" t="inlineStr">
        <is>
          <t>TCX</t>
        </is>
      </c>
      <c r="C2031" t="inlineStr">
        <is>
          <t>BRNK</t>
        </is>
      </c>
      <c r="D2031" s="6" t="n">
        <v>46254</v>
      </c>
      <c r="E2031" t="inlineStr">
        <is>
          <t>CR</t>
        </is>
      </c>
      <c r="F2031" t="inlineStr">
        <is>
          <t>USD</t>
        </is>
      </c>
      <c r="G2031" s="7" t="n">
        <v>3361504.614</v>
      </c>
      <c r="H2031" t="inlineStr">
        <is>
          <t>GBP</t>
        </is>
      </c>
      <c r="I2031" s="7" t="n">
        <v>2635419.617</v>
      </c>
      <c r="J2031" s="8" t="n">
        <v>46254.49274305555</v>
      </c>
      <c r="K2031" t="inlineStr">
        <is>
          <t>CF260820 02025</t>
        </is>
      </c>
      <c r="L2031" t="inlineStr">
        <is>
          <t>GL.NOSTRO.USD.BRNK.004</t>
        </is>
      </c>
      <c r="M2031" t="inlineStr">
        <is>
          <t>Umberton Clearing</t>
        </is>
      </c>
      <c r="N2031" t="inlineStr">
        <is>
          <t>BRNKTRSY</t>
        </is>
      </c>
      <c r="O2031" t="inlineStr">
        <is>
          <t>NEW</t>
        </is>
      </c>
      <c r="Q2031" t="inlineStr">
        <is>
          <t>NETTER</t>
        </is>
      </c>
    </row>
    <row r="2032">
      <c r="A2032" t="inlineStr">
        <is>
          <t>953625291146</t>
        </is>
      </c>
      <c r="B2032" t="inlineStr">
        <is>
          <t>TCP</t>
        </is>
      </c>
      <c r="C2032" t="inlineStr">
        <is>
          <t>BRGL</t>
        </is>
      </c>
      <c r="D2032" s="6" t="n">
        <v>46254</v>
      </c>
      <c r="E2032" t="inlineStr">
        <is>
          <t>DR</t>
        </is>
      </c>
      <c r="F2032" t="inlineStr">
        <is>
          <t>USD</t>
        </is>
      </c>
      <c r="G2032" s="7" t="n">
        <v>-20440093.317</v>
      </c>
      <c r="H2032" t="inlineStr">
        <is>
          <t>GBP</t>
        </is>
      </c>
      <c r="I2032" s="7" t="n">
        <v>-16025033.161</v>
      </c>
      <c r="J2032" s="8" t="n">
        <v>46254.81996527778</v>
      </c>
      <c r="K2032" t="inlineStr">
        <is>
          <t>CF260820 02026</t>
        </is>
      </c>
      <c r="L2032" t="inlineStr">
        <is>
          <t>GL.NOSTRO.USD.BRGL.002</t>
        </is>
      </c>
      <c r="M2032" t="inlineStr">
        <is>
          <t>Sablewood Settlement Bank</t>
        </is>
      </c>
      <c r="N2032" t="inlineStr">
        <is>
          <t>BRGLMM</t>
        </is>
      </c>
      <c r="O2032" t="inlineStr">
        <is>
          <t>NEW</t>
        </is>
      </c>
      <c r="Q2032" t="inlineStr">
        <is>
          <t>NETTER</t>
        </is>
      </c>
    </row>
    <row r="2033">
      <c r="A2033" t="inlineStr">
        <is>
          <t>927538182434</t>
        </is>
      </c>
      <c r="B2033" t="inlineStr">
        <is>
          <t>TCX</t>
        </is>
      </c>
      <c r="C2033" t="inlineStr">
        <is>
          <t>BRNK</t>
        </is>
      </c>
      <c r="D2033" s="6" t="n">
        <v>46254</v>
      </c>
      <c r="E2033" t="inlineStr">
        <is>
          <t>DR</t>
        </is>
      </c>
      <c r="F2033" t="inlineStr">
        <is>
          <t>CNY</t>
        </is>
      </c>
      <c r="G2033" s="7" t="n">
        <v>-45073605.373</v>
      </c>
      <c r="H2033" t="inlineStr">
        <is>
          <t>GBP</t>
        </is>
      </c>
      <c r="I2033" s="7" t="n">
        <v>-4913022.986</v>
      </c>
      <c r="J2033" s="8" t="n">
        <v>46254.47523148148</v>
      </c>
      <c r="K2033" t="inlineStr">
        <is>
          <t>CF260820 02027</t>
        </is>
      </c>
      <c r="L2033" t="inlineStr">
        <is>
          <t>GL.NOSTRO.CNY.BRNK.007</t>
        </is>
      </c>
      <c r="M2033" t="inlineStr">
        <is>
          <t>Sablewood Clearing</t>
        </is>
      </c>
      <c r="N2033" t="inlineStr">
        <is>
          <t>BRNKMM</t>
        </is>
      </c>
      <c r="O2033" t="inlineStr">
        <is>
          <t>NEW</t>
        </is>
      </c>
      <c r="P2033" t="inlineStr">
        <is>
          <t>NT26082000805</t>
        </is>
      </c>
      <c r="Q2033" t="inlineStr">
        <is>
          <t>NETTER</t>
        </is>
      </c>
    </row>
    <row r="2034">
      <c r="A2034" t="inlineStr">
        <is>
          <t>621381112674</t>
        </is>
      </c>
      <c r="B2034" t="inlineStr">
        <is>
          <t>TCX</t>
        </is>
      </c>
      <c r="C2034" t="inlineStr">
        <is>
          <t>BRAA</t>
        </is>
      </c>
      <c r="D2034" s="6" t="n">
        <v>46254</v>
      </c>
      <c r="E2034" t="inlineStr">
        <is>
          <t>CR</t>
        </is>
      </c>
      <c r="F2034" t="inlineStr">
        <is>
          <t>PLN</t>
        </is>
      </c>
      <c r="G2034" s="7" t="n">
        <v>539437.8540000001</v>
      </c>
      <c r="H2034" t="inlineStr">
        <is>
          <t>GBP</t>
        </is>
      </c>
      <c r="I2034" s="7" t="n">
        <v>106808.695</v>
      </c>
      <c r="J2034" s="8" t="n">
        <v>46254.51834490741</v>
      </c>
      <c r="K2034" t="inlineStr">
        <is>
          <t>CF260820 02028</t>
        </is>
      </c>
      <c r="L2034" t="inlineStr">
        <is>
          <t>GL.NOSTRO.PLN.BRAA.005</t>
        </is>
      </c>
      <c r="M2034" t="inlineStr">
        <is>
          <t>Granite Bank</t>
        </is>
      </c>
      <c r="N2034" t="inlineStr">
        <is>
          <t>BRAATRSY</t>
        </is>
      </c>
      <c r="O2034" t="inlineStr">
        <is>
          <t>NEW</t>
        </is>
      </c>
      <c r="Q2034" t="inlineStr">
        <is>
          <t>INTERNAL</t>
        </is>
      </c>
    </row>
    <row r="2035">
      <c r="A2035" t="inlineStr">
        <is>
          <t>968942362772</t>
        </is>
      </c>
      <c r="B2035" t="inlineStr">
        <is>
          <t>TCX</t>
        </is>
      </c>
      <c r="C2035" t="inlineStr">
        <is>
          <t>BRYG</t>
        </is>
      </c>
      <c r="D2035" s="6" t="n">
        <v>46254</v>
      </c>
      <c r="E2035" t="inlineStr">
        <is>
          <t>DR</t>
        </is>
      </c>
      <c r="F2035" t="inlineStr">
        <is>
          <t>EUR</t>
        </is>
      </c>
      <c r="G2035" s="7" t="n">
        <v>-78370657.27599999</v>
      </c>
      <c r="H2035" t="inlineStr">
        <is>
          <t>GBP</t>
        </is>
      </c>
      <c r="I2035" s="7" t="n">
        <v>-67242023.943</v>
      </c>
      <c r="J2035" s="8" t="n">
        <v>46254.66583333333</v>
      </c>
      <c r="K2035" t="inlineStr">
        <is>
          <t>CF260820 02029</t>
        </is>
      </c>
      <c r="L2035" t="inlineStr">
        <is>
          <t>GL.NOSTRO.EUR.BRYG.002</t>
        </is>
      </c>
      <c r="M2035" t="inlineStr">
        <is>
          <t>Harrow Clearing</t>
        </is>
      </c>
      <c r="N2035" t="inlineStr">
        <is>
          <t>BRYGTRSY</t>
        </is>
      </c>
      <c r="O2035" t="inlineStr">
        <is>
          <t>NEW</t>
        </is>
      </c>
      <c r="P2035" t="inlineStr">
        <is>
          <t>NT26082000811</t>
        </is>
      </c>
      <c r="Q2035" t="inlineStr">
        <is>
          <t>NETTER</t>
        </is>
      </c>
    </row>
    <row r="2036">
      <c r="A2036" t="inlineStr">
        <is>
          <t>953625291146</t>
        </is>
      </c>
      <c r="B2036" t="inlineStr">
        <is>
          <t>TCC</t>
        </is>
      </c>
      <c r="C2036" t="inlineStr">
        <is>
          <t>BRGL</t>
        </is>
      </c>
      <c r="D2036" s="6" t="n">
        <v>46254</v>
      </c>
      <c r="E2036" t="inlineStr">
        <is>
          <t>DR</t>
        </is>
      </c>
      <c r="F2036" t="inlineStr">
        <is>
          <t>USD</t>
        </is>
      </c>
      <c r="G2036" s="7" t="n">
        <v>-11875078.566</v>
      </c>
      <c r="H2036" t="inlineStr">
        <is>
          <t>GBP</t>
        </is>
      </c>
      <c r="I2036" s="7" t="n">
        <v>-9310061.596000001</v>
      </c>
      <c r="J2036" s="8" t="n">
        <v>46254.36974537037</v>
      </c>
      <c r="K2036" t="inlineStr">
        <is>
          <t>CF260820 02030</t>
        </is>
      </c>
      <c r="L2036" t="inlineStr">
        <is>
          <t>GL.NOSTRO.USD.BRGL.006</t>
        </is>
      </c>
      <c r="M2036" t="inlineStr">
        <is>
          <t>Mallow Clearing</t>
        </is>
      </c>
      <c r="N2036" t="inlineStr">
        <is>
          <t>BRGL</t>
        </is>
      </c>
      <c r="O2036" t="inlineStr">
        <is>
          <t>NEW</t>
        </is>
      </c>
      <c r="Q2036" t="inlineStr">
        <is>
          <t>GROSS</t>
        </is>
      </c>
    </row>
    <row r="2037">
      <c r="A2037" t="inlineStr">
        <is>
          <t>794226063698</t>
        </is>
      </c>
      <c r="B2037" t="inlineStr">
        <is>
          <t>TCP</t>
        </is>
      </c>
      <c r="C2037" t="inlineStr">
        <is>
          <t>BRMD</t>
        </is>
      </c>
      <c r="D2037" s="6" t="n">
        <v>46254</v>
      </c>
      <c r="E2037" t="inlineStr">
        <is>
          <t>DR</t>
        </is>
      </c>
      <c r="F2037" t="inlineStr">
        <is>
          <t>AED</t>
        </is>
      </c>
      <c r="G2037" s="7" t="n">
        <v>-8076131.646</v>
      </c>
      <c r="H2037" t="inlineStr">
        <is>
          <t>GBP</t>
        </is>
      </c>
      <c r="I2037" s="7" t="n">
        <v>-1720216.041</v>
      </c>
      <c r="J2037" s="8" t="n">
        <v>46254.36751157408</v>
      </c>
      <c r="K2037" t="inlineStr">
        <is>
          <t>CF260820 02031</t>
        </is>
      </c>
      <c r="L2037" t="inlineStr">
        <is>
          <t>GL.NOSTRO.AED.BRMD.002</t>
        </is>
      </c>
      <c r="M2037" t="inlineStr">
        <is>
          <t>Alder Clearing</t>
        </is>
      </c>
      <c r="N2037" t="inlineStr">
        <is>
          <t>BRMDCASH</t>
        </is>
      </c>
      <c r="O2037" t="inlineStr">
        <is>
          <t>NEW</t>
        </is>
      </c>
      <c r="Q2037" t="inlineStr">
        <is>
          <t>GROSS</t>
        </is>
      </c>
    </row>
    <row r="2038">
      <c r="A2038" t="inlineStr">
        <is>
          <t>150316825069</t>
        </is>
      </c>
      <c r="B2038" t="inlineStr">
        <is>
          <t>TCG</t>
        </is>
      </c>
      <c r="C2038" t="inlineStr">
        <is>
          <t>BRGX</t>
        </is>
      </c>
      <c r="D2038" s="6" t="n">
        <v>46254</v>
      </c>
      <c r="E2038" t="inlineStr">
        <is>
          <t>CR</t>
        </is>
      </c>
      <c r="F2038" t="inlineStr">
        <is>
          <t>GBP</t>
        </is>
      </c>
      <c r="G2038" s="7" t="n">
        <v>232522393.16</v>
      </c>
      <c r="H2038" t="inlineStr">
        <is>
          <t>GBP</t>
        </is>
      </c>
      <c r="I2038" s="7" t="n">
        <v>232522393.16</v>
      </c>
      <c r="J2038" s="8" t="n">
        <v>46254.36178240741</v>
      </c>
      <c r="K2038" t="inlineStr">
        <is>
          <t>CF260820 02032</t>
        </is>
      </c>
      <c r="L2038" t="inlineStr">
        <is>
          <t>GL.NOSTRO.GBP.BRGX.002</t>
        </is>
      </c>
      <c r="M2038" t="inlineStr">
        <is>
          <t>Vetchling Bank</t>
        </is>
      </c>
      <c r="N2038" t="inlineStr">
        <is>
          <t>BRGXMM</t>
        </is>
      </c>
      <c r="O2038" t="inlineStr">
        <is>
          <t>NEW</t>
        </is>
      </c>
      <c r="P2038" t="inlineStr">
        <is>
          <t>NT26082000792</t>
        </is>
      </c>
      <c r="Q2038" t="inlineStr">
        <is>
          <t>GROSS</t>
        </is>
      </c>
    </row>
    <row r="2039">
      <c r="A2039" t="inlineStr">
        <is>
          <t>927538182434</t>
        </is>
      </c>
      <c r="B2039" t="inlineStr">
        <is>
          <t>TCQ</t>
        </is>
      </c>
      <c r="C2039" t="inlineStr">
        <is>
          <t>BRNK</t>
        </is>
      </c>
      <c r="D2039" s="6" t="n">
        <v>46254</v>
      </c>
      <c r="E2039" t="inlineStr">
        <is>
          <t>DR</t>
        </is>
      </c>
      <c r="F2039" t="inlineStr">
        <is>
          <t>CNY</t>
        </is>
      </c>
      <c r="G2039" s="7" t="n">
        <v>-436582657.985</v>
      </c>
      <c r="H2039" t="inlineStr">
        <is>
          <t>GBP</t>
        </is>
      </c>
      <c r="I2039" s="7" t="n">
        <v>-47587509.72</v>
      </c>
      <c r="J2039" s="8" t="n">
        <v>46254.44663194445</v>
      </c>
      <c r="K2039" t="inlineStr">
        <is>
          <t>CF260820 02033</t>
        </is>
      </c>
      <c r="L2039" t="inlineStr">
        <is>
          <t>GL.NOSTRO.CNY.BRNK.005</t>
        </is>
      </c>
      <c r="M2039" t="inlineStr">
        <is>
          <t>Fernway Settlement Bank</t>
        </is>
      </c>
      <c r="N2039" t="inlineStr">
        <is>
          <t>BRNK</t>
        </is>
      </c>
      <c r="O2039" t="inlineStr">
        <is>
          <t>AMEND</t>
        </is>
      </c>
      <c r="P2039" t="inlineStr">
        <is>
          <t>NT26082000800</t>
        </is>
      </c>
      <c r="Q2039" t="inlineStr">
        <is>
          <t>NETTER</t>
        </is>
      </c>
    </row>
    <row r="2040">
      <c r="A2040" t="inlineStr">
        <is>
          <t>621381112674</t>
        </is>
      </c>
      <c r="B2040" t="inlineStr">
        <is>
          <t>TCG</t>
        </is>
      </c>
      <c r="C2040" t="inlineStr">
        <is>
          <t>BRAA</t>
        </is>
      </c>
      <c r="D2040" s="6" t="n">
        <v>46254</v>
      </c>
      <c r="E2040" t="inlineStr">
        <is>
          <t>DR</t>
        </is>
      </c>
      <c r="F2040" t="inlineStr">
        <is>
          <t>PLN</t>
        </is>
      </c>
      <c r="G2040" s="7" t="n">
        <v>-212047.331</v>
      </c>
      <c r="H2040" t="inlineStr">
        <is>
          <t>GBP</t>
        </is>
      </c>
      <c r="I2040" s="7" t="n">
        <v>-41985.372</v>
      </c>
      <c r="J2040" s="8" t="n">
        <v>46254.34715277778</v>
      </c>
      <c r="K2040" t="inlineStr">
        <is>
          <t>CF260820 02034</t>
        </is>
      </c>
      <c r="L2040" t="inlineStr">
        <is>
          <t>GL.NOSTRO.PLN.BRAA.007</t>
        </is>
      </c>
      <c r="M2040" t="inlineStr">
        <is>
          <t>Ironbark Trust</t>
        </is>
      </c>
      <c r="N2040" t="inlineStr">
        <is>
          <t>BRAAMM</t>
        </is>
      </c>
      <c r="O2040" t="inlineStr">
        <is>
          <t>NEW</t>
        </is>
      </c>
      <c r="P2040" t="inlineStr">
        <is>
          <t>NT26082000798</t>
        </is>
      </c>
      <c r="Q2040" t="inlineStr">
        <is>
          <t>NETTER</t>
        </is>
      </c>
    </row>
    <row r="2041">
      <c r="A2041" t="inlineStr">
        <is>
          <t>794226063698</t>
        </is>
      </c>
      <c r="B2041" t="inlineStr">
        <is>
          <t>TCG</t>
        </is>
      </c>
      <c r="C2041" t="inlineStr">
        <is>
          <t>BRMD</t>
        </is>
      </c>
      <c r="D2041" s="6" t="n">
        <v>46254</v>
      </c>
      <c r="E2041" t="inlineStr">
        <is>
          <t>DR</t>
        </is>
      </c>
      <c r="F2041" t="inlineStr">
        <is>
          <t>AED</t>
        </is>
      </c>
      <c r="G2041" s="7" t="n">
        <v>-22023312.679</v>
      </c>
      <c r="H2041" t="inlineStr">
        <is>
          <t>GBP</t>
        </is>
      </c>
      <c r="I2041" s="7" t="n">
        <v>-4690965.601</v>
      </c>
      <c r="J2041" s="8" t="n">
        <v>46254.41978009259</v>
      </c>
      <c r="K2041" t="inlineStr">
        <is>
          <t>CF260820 02035</t>
        </is>
      </c>
      <c r="L2041" t="inlineStr">
        <is>
          <t>GL.NOSTRO.AED.BRMD.007</t>
        </is>
      </c>
      <c r="M2041" t="inlineStr">
        <is>
          <t>Oriel Trust</t>
        </is>
      </c>
      <c r="N2041" t="inlineStr">
        <is>
          <t>BRMDTRSY</t>
        </is>
      </c>
      <c r="O2041" t="inlineStr">
        <is>
          <t>NEW</t>
        </is>
      </c>
      <c r="Q2041" t="inlineStr">
        <is>
          <t>NETTER</t>
        </is>
      </c>
    </row>
    <row r="2042">
      <c r="A2042" t="inlineStr">
        <is>
          <t>359365220160</t>
        </is>
      </c>
      <c r="B2042" t="inlineStr">
        <is>
          <t>TCC</t>
        </is>
      </c>
      <c r="C2042" t="inlineStr">
        <is>
          <t>BRGX</t>
        </is>
      </c>
      <c r="D2042" s="6" t="n">
        <v>46254</v>
      </c>
      <c r="E2042" t="inlineStr">
        <is>
          <t>DR</t>
        </is>
      </c>
      <c r="F2042" t="inlineStr">
        <is>
          <t>EUR</t>
        </is>
      </c>
      <c r="G2042" s="7" t="n">
        <v>-3483194.831</v>
      </c>
      <c r="H2042" t="inlineStr">
        <is>
          <t>GBP</t>
        </is>
      </c>
      <c r="I2042" s="7" t="n">
        <v>-2988581.165</v>
      </c>
      <c r="J2042" s="8" t="n">
        <v>46254.36340277778</v>
      </c>
      <c r="K2042" t="inlineStr">
        <is>
          <t>CF260820 02036</t>
        </is>
      </c>
      <c r="L2042" t="inlineStr">
        <is>
          <t>GL.NOSTRO.EUR.BRGX.002</t>
        </is>
      </c>
      <c r="M2042" t="inlineStr">
        <is>
          <t>Sablewood Commercial Bank</t>
        </is>
      </c>
      <c r="N2042" t="inlineStr">
        <is>
          <t>BRGXMM</t>
        </is>
      </c>
      <c r="O2042" t="inlineStr">
        <is>
          <t>NEW</t>
        </is>
      </c>
      <c r="P2042" t="inlineStr">
        <is>
          <t>NT26082000801</t>
        </is>
      </c>
      <c r="Q2042" t="inlineStr">
        <is>
          <t>GROSS</t>
        </is>
      </c>
    </row>
    <row r="2043">
      <c r="A2043" t="inlineStr">
        <is>
          <t>794226063698</t>
        </is>
      </c>
      <c r="B2043" t="inlineStr">
        <is>
          <t>TCP</t>
        </is>
      </c>
      <c r="C2043" t="inlineStr">
        <is>
          <t>BRMD</t>
        </is>
      </c>
      <c r="D2043" s="6" t="n">
        <v>46254</v>
      </c>
      <c r="E2043" t="inlineStr">
        <is>
          <t>CR</t>
        </is>
      </c>
      <c r="F2043" t="inlineStr">
        <is>
          <t>AED</t>
        </is>
      </c>
      <c r="G2043" s="7" t="n">
        <v>173985703.323</v>
      </c>
      <c r="H2043" t="inlineStr">
        <is>
          <t>GBP</t>
        </is>
      </c>
      <c r="I2043" s="7" t="n">
        <v>37058954.808</v>
      </c>
      <c r="J2043" s="8" t="n">
        <v>46254.44863425926</v>
      </c>
      <c r="K2043" t="inlineStr">
        <is>
          <t>CF260820 02037</t>
        </is>
      </c>
      <c r="L2043" t="inlineStr">
        <is>
          <t>GL.NOSTRO.AED.BRMD.004</t>
        </is>
      </c>
      <c r="M2043" t="inlineStr">
        <is>
          <t>Ironbark Commercial Bank</t>
        </is>
      </c>
      <c r="N2043" t="inlineStr">
        <is>
          <t>BRMDTRSY</t>
        </is>
      </c>
      <c r="O2043" t="inlineStr">
        <is>
          <t>NEW</t>
        </is>
      </c>
      <c r="Q2043" t="inlineStr">
        <is>
          <t>NETTER</t>
        </is>
      </c>
    </row>
    <row r="2044">
      <c r="A2044" t="inlineStr">
        <is>
          <t>794226063698</t>
        </is>
      </c>
      <c r="B2044" t="inlineStr">
        <is>
          <t>TCX</t>
        </is>
      </c>
      <c r="C2044" t="inlineStr">
        <is>
          <t>BRMD</t>
        </is>
      </c>
      <c r="D2044" s="6" t="n">
        <v>46254</v>
      </c>
      <c r="E2044" t="inlineStr">
        <is>
          <t>DR</t>
        </is>
      </c>
      <c r="F2044" t="inlineStr">
        <is>
          <t>AED</t>
        </is>
      </c>
      <c r="G2044" s="7" t="n">
        <v>-14242198.028</v>
      </c>
      <c r="H2044" t="inlineStr">
        <is>
          <t>GBP</t>
        </is>
      </c>
      <c r="I2044" s="7" t="n">
        <v>-3033588.18</v>
      </c>
      <c r="J2044" s="8" t="n">
        <v>46254.44728009259</v>
      </c>
      <c r="K2044" t="inlineStr">
        <is>
          <t>CF260820 02038</t>
        </is>
      </c>
      <c r="L2044" t="inlineStr">
        <is>
          <t>GL.NOSTRO.AED.BRMD.005</t>
        </is>
      </c>
      <c r="M2044" t="inlineStr">
        <is>
          <t>Ironbark Trust</t>
        </is>
      </c>
      <c r="N2044" t="inlineStr">
        <is>
          <t>BRMD</t>
        </is>
      </c>
      <c r="O2044" t="inlineStr">
        <is>
          <t>NEW</t>
        </is>
      </c>
      <c r="P2044" t="inlineStr">
        <is>
          <t>NT26082000788</t>
        </is>
      </c>
      <c r="Q2044" t="inlineStr">
        <is>
          <t>NETTER</t>
        </is>
      </c>
    </row>
    <row r="2045">
      <c r="A2045" t="inlineStr">
        <is>
          <t>150316825069</t>
        </is>
      </c>
      <c r="B2045" t="inlineStr">
        <is>
          <t>TCG</t>
        </is>
      </c>
      <c r="C2045" t="inlineStr">
        <is>
          <t>BRGX</t>
        </is>
      </c>
      <c r="D2045" s="6" t="n">
        <v>46254</v>
      </c>
      <c r="E2045" t="inlineStr">
        <is>
          <t>CR</t>
        </is>
      </c>
      <c r="F2045" t="inlineStr">
        <is>
          <t>GBP</t>
        </is>
      </c>
      <c r="G2045" s="7" t="n">
        <v>1776527.524</v>
      </c>
      <c r="H2045" t="inlineStr">
        <is>
          <t>GBP</t>
        </is>
      </c>
      <c r="I2045" s="7" t="n">
        <v>1776527.524</v>
      </c>
      <c r="J2045" s="8" t="n">
        <v>46254.47469907408</v>
      </c>
      <c r="K2045" t="inlineStr">
        <is>
          <t>CF260820 02039</t>
        </is>
      </c>
      <c r="L2045" t="inlineStr">
        <is>
          <t>GL.NOSTRO.GBP.BRGX.004</t>
        </is>
      </c>
      <c r="M2045" t="inlineStr">
        <is>
          <t>Umberton Clearing</t>
        </is>
      </c>
      <c r="N2045" t="inlineStr">
        <is>
          <t>BRGXMM</t>
        </is>
      </c>
      <c r="O2045" t="inlineStr">
        <is>
          <t>NEW</t>
        </is>
      </c>
      <c r="Q2045" t="inlineStr">
        <is>
          <t>GROSS</t>
        </is>
      </c>
    </row>
    <row r="2046">
      <c r="A2046" t="inlineStr">
        <is>
          <t>824840705580</t>
        </is>
      </c>
      <c r="B2046" t="inlineStr">
        <is>
          <t>TCG</t>
        </is>
      </c>
      <c r="C2046" t="inlineStr">
        <is>
          <t>BRGL</t>
        </is>
      </c>
      <c r="D2046" s="6" t="n">
        <v>46254</v>
      </c>
      <c r="E2046" t="inlineStr">
        <is>
          <t>DR</t>
        </is>
      </c>
      <c r="F2046" t="inlineStr">
        <is>
          <t>EUR</t>
        </is>
      </c>
      <c r="G2046" s="7" t="n">
        <v>-1122280.825</v>
      </c>
      <c r="H2046" t="inlineStr">
        <is>
          <t>GBP</t>
        </is>
      </c>
      <c r="I2046" s="7" t="n">
        <v>-962916.948</v>
      </c>
      <c r="J2046" s="8" t="n">
        <v>46254.37141203704</v>
      </c>
      <c r="K2046" t="inlineStr">
        <is>
          <t>CF260820 02040</t>
        </is>
      </c>
      <c r="L2046" t="inlineStr">
        <is>
          <t>GL.NOSTRO.EUR.BRGL.003</t>
        </is>
      </c>
      <c r="M2046" t="inlineStr">
        <is>
          <t>Larkspur Clearing</t>
        </is>
      </c>
      <c r="N2046" t="inlineStr">
        <is>
          <t>BRGLCASH</t>
        </is>
      </c>
      <c r="O2046" t="inlineStr">
        <is>
          <t>NEW</t>
        </is>
      </c>
      <c r="Q2046" t="inlineStr">
        <is>
          <t>NETTER</t>
        </is>
      </c>
    </row>
    <row r="2047">
      <c r="A2047" t="inlineStr">
        <is>
          <t>910703979141</t>
        </is>
      </c>
      <c r="B2047" t="inlineStr">
        <is>
          <t>TCP</t>
        </is>
      </c>
      <c r="C2047" t="inlineStr">
        <is>
          <t>BRCC</t>
        </is>
      </c>
      <c r="D2047" s="6" t="n">
        <v>46254</v>
      </c>
      <c r="E2047" t="inlineStr">
        <is>
          <t>CR</t>
        </is>
      </c>
      <c r="F2047" t="inlineStr">
        <is>
          <t>CHF</t>
        </is>
      </c>
      <c r="G2047" s="7" t="n">
        <v>469052065.904</v>
      </c>
      <c r="H2047" t="inlineStr">
        <is>
          <t>GBP</t>
        </is>
      </c>
      <c r="I2047" s="7" t="n">
        <v>420739703.116</v>
      </c>
      <c r="J2047" s="8" t="n">
        <v>46254.36892361111</v>
      </c>
      <c r="K2047" t="inlineStr">
        <is>
          <t>CF260820 02041</t>
        </is>
      </c>
      <c r="L2047" t="inlineStr">
        <is>
          <t>GL.NOSTRO.CHF.BRCC.003</t>
        </is>
      </c>
      <c r="M2047" t="inlineStr">
        <is>
          <t>Harrow Clearing</t>
        </is>
      </c>
      <c r="N2047" t="inlineStr">
        <is>
          <t>BRCCCASH</t>
        </is>
      </c>
      <c r="O2047" t="inlineStr">
        <is>
          <t>NEW</t>
        </is>
      </c>
      <c r="P2047" t="inlineStr">
        <is>
          <t>NT26082000816</t>
        </is>
      </c>
      <c r="Q2047" t="inlineStr">
        <is>
          <t>GROSS</t>
        </is>
      </c>
    </row>
    <row r="2048">
      <c r="A2048" t="inlineStr">
        <is>
          <t>150316825069</t>
        </is>
      </c>
      <c r="B2048" t="inlineStr">
        <is>
          <t>TCX</t>
        </is>
      </c>
      <c r="C2048" t="inlineStr">
        <is>
          <t>BRGX</t>
        </is>
      </c>
      <c r="D2048" s="6" t="n">
        <v>46254</v>
      </c>
      <c r="E2048" t="inlineStr">
        <is>
          <t>CR</t>
        </is>
      </c>
      <c r="F2048" t="inlineStr">
        <is>
          <t>GBP</t>
        </is>
      </c>
      <c r="G2048" s="7" t="n">
        <v>44769728.413</v>
      </c>
      <c r="H2048" t="inlineStr">
        <is>
          <t>GBP</t>
        </is>
      </c>
      <c r="I2048" s="7" t="n">
        <v>44769728.413</v>
      </c>
      <c r="J2048" s="8" t="n">
        <v>46254.43001157408</v>
      </c>
      <c r="K2048" t="inlineStr">
        <is>
          <t>CF260820 02042</t>
        </is>
      </c>
      <c r="L2048" t="inlineStr">
        <is>
          <t>GL.NOSTRO.GBP.BRGX.007</t>
        </is>
      </c>
      <c r="M2048" t="inlineStr">
        <is>
          <t>Nightjar Trust</t>
        </is>
      </c>
      <c r="N2048" t="inlineStr">
        <is>
          <t>BRGXCASH</t>
        </is>
      </c>
      <c r="O2048" t="inlineStr">
        <is>
          <t>NEW</t>
        </is>
      </c>
      <c r="P2048" t="inlineStr">
        <is>
          <t>NT26082000789</t>
        </is>
      </c>
      <c r="Q2048" t="inlineStr">
        <is>
          <t>INTERNAL</t>
        </is>
      </c>
    </row>
    <row r="2049">
      <c r="A2049" t="inlineStr">
        <is>
          <t>910703979141</t>
        </is>
      </c>
      <c r="B2049" t="inlineStr">
        <is>
          <t>TCQ</t>
        </is>
      </c>
      <c r="C2049" t="inlineStr">
        <is>
          <t>BRCC</t>
        </is>
      </c>
      <c r="D2049" s="6" t="n">
        <v>46254</v>
      </c>
      <c r="E2049" t="inlineStr">
        <is>
          <t>DR</t>
        </is>
      </c>
      <c r="F2049" t="inlineStr">
        <is>
          <t>CHF</t>
        </is>
      </c>
      <c r="G2049" s="7" t="n">
        <v>-162209341.979</v>
      </c>
      <c r="H2049" t="inlineStr">
        <is>
          <t>GBP</t>
        </is>
      </c>
      <c r="I2049" s="7" t="n">
        <v>-145501779.755</v>
      </c>
      <c r="J2049" s="8" t="n">
        <v>46254.42508101852</v>
      </c>
      <c r="K2049" t="inlineStr">
        <is>
          <t>CF260820 02043</t>
        </is>
      </c>
      <c r="L2049" t="inlineStr">
        <is>
          <t>GL.NOSTRO.CHF.BRCC.001</t>
        </is>
      </c>
      <c r="M2049" t="inlineStr">
        <is>
          <t>Juniper Settlement Bank</t>
        </is>
      </c>
      <c r="N2049" t="inlineStr">
        <is>
          <t>BRCCTRSY</t>
        </is>
      </c>
      <c r="O2049" t="inlineStr">
        <is>
          <t>NEW</t>
        </is>
      </c>
      <c r="Q2049" t="inlineStr">
        <is>
          <t>INTERNAL</t>
        </is>
      </c>
    </row>
    <row r="2050">
      <c r="A2050" t="inlineStr">
        <is>
          <t>468341071172</t>
        </is>
      </c>
      <c r="B2050" t="inlineStr">
        <is>
          <t>TCP</t>
        </is>
      </c>
      <c r="C2050" t="inlineStr">
        <is>
          <t>BRCC</t>
        </is>
      </c>
      <c r="D2050" s="6" t="n">
        <v>46254</v>
      </c>
      <c r="E2050" t="inlineStr">
        <is>
          <t>DR</t>
        </is>
      </c>
      <c r="F2050" t="inlineStr">
        <is>
          <t>EUR</t>
        </is>
      </c>
      <c r="G2050" s="7" t="n">
        <v>-625982.7929999999</v>
      </c>
      <c r="H2050" t="inlineStr">
        <is>
          <t>GBP</t>
        </is>
      </c>
      <c r="I2050" s="7" t="n">
        <v>-537093.236</v>
      </c>
      <c r="J2050" s="8" t="n">
        <v>46254.2933912037</v>
      </c>
      <c r="K2050" t="inlineStr">
        <is>
          <t>CF260820 02044</t>
        </is>
      </c>
      <c r="L2050" t="inlineStr">
        <is>
          <t>GL.NOSTRO.EUR.BRCC.007</t>
        </is>
      </c>
      <c r="M2050" t="inlineStr">
        <is>
          <t>Mallow Clearing</t>
        </is>
      </c>
      <c r="N2050" t="inlineStr">
        <is>
          <t>BRCCTRSY</t>
        </is>
      </c>
      <c r="O2050" t="inlineStr">
        <is>
          <t>NEW</t>
        </is>
      </c>
      <c r="Q2050" t="inlineStr">
        <is>
          <t>INTERNAL</t>
        </is>
      </c>
    </row>
    <row r="2051">
      <c r="A2051" t="inlineStr">
        <is>
          <t>794226063698</t>
        </is>
      </c>
      <c r="B2051" t="inlineStr">
        <is>
          <t>TCP</t>
        </is>
      </c>
      <c r="C2051" t="inlineStr">
        <is>
          <t>BRMD</t>
        </is>
      </c>
      <c r="D2051" s="6" t="n">
        <v>46254</v>
      </c>
      <c r="E2051" t="inlineStr">
        <is>
          <t>DR</t>
        </is>
      </c>
      <c r="F2051" t="inlineStr">
        <is>
          <t>AED</t>
        </is>
      </c>
      <c r="G2051" s="7" t="n">
        <v>-1146808.536</v>
      </c>
      <c r="H2051" t="inlineStr">
        <is>
          <t>GBP</t>
        </is>
      </c>
      <c r="I2051" s="7" t="n">
        <v>-244270.218</v>
      </c>
      <c r="J2051" s="8" t="n">
        <v>46254.58038194444</v>
      </c>
      <c r="K2051" t="inlineStr">
        <is>
          <t>CF260820 02045</t>
        </is>
      </c>
      <c r="L2051" t="inlineStr">
        <is>
          <t>GL.NOSTRO.AED.BRMD.001</t>
        </is>
      </c>
      <c r="M2051" t="inlineStr">
        <is>
          <t>Harrow Clearing</t>
        </is>
      </c>
      <c r="N2051" t="inlineStr">
        <is>
          <t>BRMDCASH</t>
        </is>
      </c>
      <c r="O2051" t="inlineStr">
        <is>
          <t>NEW</t>
        </is>
      </c>
      <c r="P2051" t="inlineStr">
        <is>
          <t>NT26082000803</t>
        </is>
      </c>
      <c r="Q2051" t="inlineStr">
        <is>
          <t>NETTER</t>
        </is>
      </c>
    </row>
    <row r="2052">
      <c r="A2052" t="inlineStr">
        <is>
          <t>968942362772</t>
        </is>
      </c>
      <c r="B2052" t="inlineStr">
        <is>
          <t>TCP</t>
        </is>
      </c>
      <c r="C2052" t="inlineStr">
        <is>
          <t>BRYG</t>
        </is>
      </c>
      <c r="D2052" s="6" t="n">
        <v>46254</v>
      </c>
      <c r="E2052" t="inlineStr">
        <is>
          <t>CR</t>
        </is>
      </c>
      <c r="F2052" t="inlineStr">
        <is>
          <t>EUR</t>
        </is>
      </c>
      <c r="G2052" s="7" t="n">
        <v>38232221.264</v>
      </c>
      <c r="H2052" t="inlineStr">
        <is>
          <t>GBP</t>
        </is>
      </c>
      <c r="I2052" s="7" t="n">
        <v>32803245.845</v>
      </c>
      <c r="J2052" s="8" t="n">
        <v>46254.45071759259</v>
      </c>
      <c r="K2052" t="inlineStr">
        <is>
          <t>CF260820 02046</t>
        </is>
      </c>
      <c r="L2052" t="inlineStr">
        <is>
          <t>GL.NOSTRO.EUR.BRYG.001</t>
        </is>
      </c>
      <c r="M2052" t="inlineStr">
        <is>
          <t>Oriel Trust</t>
        </is>
      </c>
      <c r="N2052" t="inlineStr">
        <is>
          <t>BRYGCASH</t>
        </is>
      </c>
      <c r="O2052" t="inlineStr">
        <is>
          <t>NEW</t>
        </is>
      </c>
      <c r="Q2052" t="inlineStr">
        <is>
          <t>NETTER</t>
        </is>
      </c>
    </row>
    <row r="2053">
      <c r="A2053" t="inlineStr">
        <is>
          <t>132544340094</t>
        </is>
      </c>
      <c r="B2053" t="inlineStr">
        <is>
          <t>TCC</t>
        </is>
      </c>
      <c r="C2053" t="inlineStr">
        <is>
          <t>BRYG</t>
        </is>
      </c>
      <c r="D2053" s="6" t="n">
        <v>46254</v>
      </c>
      <c r="E2053" t="inlineStr">
        <is>
          <t>DR</t>
        </is>
      </c>
      <c r="F2053" t="inlineStr">
        <is>
          <t>CZK</t>
        </is>
      </c>
      <c r="G2053" s="7" t="n">
        <v>-934490478.275</v>
      </c>
      <c r="H2053" t="inlineStr">
        <is>
          <t>GBP</t>
        </is>
      </c>
      <c r="I2053" s="7" t="n">
        <v>-31679227.214</v>
      </c>
      <c r="J2053" s="8" t="n">
        <v>46254.3202662037</v>
      </c>
      <c r="K2053" t="inlineStr">
        <is>
          <t>CF260820 02047</t>
        </is>
      </c>
      <c r="L2053" t="inlineStr">
        <is>
          <t>GL.NOSTRO.CZK.BRYG.006</t>
        </is>
      </c>
      <c r="M2053" t="inlineStr">
        <is>
          <t>Umberton Commercial Bank</t>
        </is>
      </c>
      <c r="N2053" t="inlineStr">
        <is>
          <t>BRYG</t>
        </is>
      </c>
      <c r="O2053" t="inlineStr">
        <is>
          <t>NEW</t>
        </is>
      </c>
      <c r="Q2053" t="inlineStr">
        <is>
          <t>NETTER</t>
        </is>
      </c>
    </row>
    <row r="2054">
      <c r="A2054" t="inlineStr">
        <is>
          <t>794226063698</t>
        </is>
      </c>
      <c r="B2054" t="inlineStr">
        <is>
          <t>TCQ</t>
        </is>
      </c>
      <c r="C2054" t="inlineStr">
        <is>
          <t>BRMD</t>
        </is>
      </c>
      <c r="D2054" s="6" t="n">
        <v>46254</v>
      </c>
      <c r="E2054" t="inlineStr">
        <is>
          <t>CR</t>
        </is>
      </c>
      <c r="F2054" t="inlineStr">
        <is>
          <t>AED</t>
        </is>
      </c>
      <c r="G2054" s="7" t="n">
        <v>16832452.135</v>
      </c>
      <c r="H2054" t="inlineStr">
        <is>
          <t>GBP</t>
        </is>
      </c>
      <c r="I2054" s="7" t="n">
        <v>3585312.305</v>
      </c>
      <c r="J2054" s="8" t="n">
        <v>46254.71975694445</v>
      </c>
      <c r="K2054" t="inlineStr">
        <is>
          <t>CF260820 02048</t>
        </is>
      </c>
      <c r="L2054" t="inlineStr">
        <is>
          <t>GL.NOSTRO.AED.BRMD.004</t>
        </is>
      </c>
      <c r="M2054" t="inlineStr">
        <is>
          <t>Redstart Trust</t>
        </is>
      </c>
      <c r="N2054" t="inlineStr">
        <is>
          <t>BRMDMM</t>
        </is>
      </c>
      <c r="O2054" t="inlineStr">
        <is>
          <t>AMEND</t>
        </is>
      </c>
      <c r="Q2054" t="inlineStr">
        <is>
          <t>NETTER</t>
        </is>
      </c>
    </row>
    <row r="2055">
      <c r="A2055" t="inlineStr">
        <is>
          <t>284925023085</t>
        </is>
      </c>
      <c r="B2055" t="inlineStr">
        <is>
          <t>TCP</t>
        </is>
      </c>
      <c r="C2055" t="inlineStr">
        <is>
          <t>BRMD</t>
        </is>
      </c>
      <c r="D2055" s="6" t="n">
        <v>46254</v>
      </c>
      <c r="E2055" t="inlineStr">
        <is>
          <t>DR</t>
        </is>
      </c>
      <c r="F2055" t="inlineStr">
        <is>
          <t>MXN</t>
        </is>
      </c>
      <c r="G2055" s="7" t="n">
        <v>-9088801.248</v>
      </c>
      <c r="H2055" t="inlineStr">
        <is>
          <t>GBP</t>
        </is>
      </c>
      <c r="I2055" s="7" t="n">
        <v>-389000.693</v>
      </c>
      <c r="J2055" s="8" t="n">
        <v>46254.65370370371</v>
      </c>
      <c r="K2055" t="inlineStr">
        <is>
          <t>CF260820 02049</t>
        </is>
      </c>
      <c r="L2055" t="inlineStr">
        <is>
          <t>GL.NOSTRO.MXN.BRMD.009</t>
        </is>
      </c>
      <c r="M2055" t="inlineStr">
        <is>
          <t>Larkspur Clearing</t>
        </is>
      </c>
      <c r="N2055" t="inlineStr">
        <is>
          <t>BRMD</t>
        </is>
      </c>
      <c r="O2055" t="inlineStr">
        <is>
          <t>NEW</t>
        </is>
      </c>
      <c r="Q2055" t="inlineStr">
        <is>
          <t>GROSS</t>
        </is>
      </c>
    </row>
    <row r="2056">
      <c r="A2056" t="inlineStr">
        <is>
          <t>621381112674</t>
        </is>
      </c>
      <c r="B2056" t="inlineStr">
        <is>
          <t>TCX</t>
        </is>
      </c>
      <c r="C2056" t="inlineStr">
        <is>
          <t>BRAA</t>
        </is>
      </c>
      <c r="D2056" s="6" t="n">
        <v>46254</v>
      </c>
      <c r="E2056" t="inlineStr">
        <is>
          <t>CR</t>
        </is>
      </c>
      <c r="F2056" t="inlineStr">
        <is>
          <t>PLN</t>
        </is>
      </c>
      <c r="G2056" s="7" t="n">
        <v>15342792.912</v>
      </c>
      <c r="H2056" t="inlineStr">
        <is>
          <t>GBP</t>
        </is>
      </c>
      <c r="I2056" s="7" t="n">
        <v>3037872.997</v>
      </c>
      <c r="J2056" s="8" t="n">
        <v>46254.4033449074</v>
      </c>
      <c r="K2056" t="inlineStr">
        <is>
          <t>CF260820 02050</t>
        </is>
      </c>
      <c r="L2056" t="inlineStr">
        <is>
          <t>GL.NOSTRO.PLN.BRAA.003</t>
        </is>
      </c>
      <c r="M2056" t="inlineStr">
        <is>
          <t>Umberton Clearing</t>
        </is>
      </c>
      <c r="N2056" t="inlineStr">
        <is>
          <t>BRAACASH</t>
        </is>
      </c>
      <c r="O2056" t="inlineStr">
        <is>
          <t>NEW</t>
        </is>
      </c>
      <c r="Q2056" t="inlineStr">
        <is>
          <t>INTERNAL</t>
        </is>
      </c>
    </row>
    <row r="2057">
      <c r="A2057" t="inlineStr">
        <is>
          <t>499062838623</t>
        </is>
      </c>
      <c r="B2057" t="inlineStr">
        <is>
          <t>TCC</t>
        </is>
      </c>
      <c r="C2057" t="inlineStr">
        <is>
          <t>BRBX</t>
        </is>
      </c>
      <c r="D2057" s="6" t="n">
        <v>46254</v>
      </c>
      <c r="E2057" t="inlineStr">
        <is>
          <t>DR</t>
        </is>
      </c>
      <c r="F2057" t="inlineStr">
        <is>
          <t>USD</t>
        </is>
      </c>
      <c r="G2057" s="7" t="n">
        <v>-15542983.686</v>
      </c>
      <c r="H2057" t="inlineStr">
        <is>
          <t>GBP</t>
        </is>
      </c>
      <c r="I2057" s="7" t="n">
        <v>-12185699.21</v>
      </c>
      <c r="J2057" s="8" t="n">
        <v>46254.35508101852</v>
      </c>
      <c r="K2057" t="inlineStr">
        <is>
          <t>CF260820 02051</t>
        </is>
      </c>
      <c r="L2057" t="inlineStr">
        <is>
          <t>GL.NOSTRO.USD.BRBX.009</t>
        </is>
      </c>
      <c r="M2057" t="inlineStr">
        <is>
          <t>Dunlin Trust</t>
        </is>
      </c>
      <c r="N2057" t="inlineStr">
        <is>
          <t>BRBX</t>
        </is>
      </c>
      <c r="O2057" t="inlineStr">
        <is>
          <t>NEW</t>
        </is>
      </c>
      <c r="Q2057" t="inlineStr">
        <is>
          <t>GROSS</t>
        </is>
      </c>
    </row>
    <row r="2058">
      <c r="A2058" t="inlineStr">
        <is>
          <t>910703979141</t>
        </is>
      </c>
      <c r="B2058" t="inlineStr">
        <is>
          <t>TCC</t>
        </is>
      </c>
      <c r="C2058" t="inlineStr">
        <is>
          <t>BRCC</t>
        </is>
      </c>
      <c r="D2058" s="6" t="n">
        <v>46254</v>
      </c>
      <c r="E2058" t="inlineStr">
        <is>
          <t>DR</t>
        </is>
      </c>
      <c r="F2058" t="inlineStr">
        <is>
          <t>CHF</t>
        </is>
      </c>
      <c r="G2058" s="7" t="n">
        <v>-123872401.741</v>
      </c>
      <c r="H2058" t="inlineStr">
        <is>
          <t>GBP</t>
        </is>
      </c>
      <c r="I2058" s="7" t="n">
        <v>-111113544.362</v>
      </c>
      <c r="J2058" s="8" t="n">
        <v>46254.3346875</v>
      </c>
      <c r="K2058" t="inlineStr">
        <is>
          <t>CF260820 02052</t>
        </is>
      </c>
      <c r="L2058" t="inlineStr">
        <is>
          <t>GL.NOSTRO.CHF.BRCC.009</t>
        </is>
      </c>
      <c r="M2058" t="inlineStr">
        <is>
          <t>Mallow Trust</t>
        </is>
      </c>
      <c r="N2058" t="inlineStr">
        <is>
          <t>BRCCCASH</t>
        </is>
      </c>
      <c r="O2058" t="inlineStr">
        <is>
          <t>NEW</t>
        </is>
      </c>
      <c r="Q2058" t="inlineStr">
        <is>
          <t>GROSS</t>
        </is>
      </c>
    </row>
    <row r="2059">
      <c r="A2059" t="inlineStr">
        <is>
          <t>132544340094</t>
        </is>
      </c>
      <c r="B2059" t="inlineStr">
        <is>
          <t>TCQ</t>
        </is>
      </c>
      <c r="C2059" t="inlineStr">
        <is>
          <t>BRYG</t>
        </is>
      </c>
      <c r="D2059" s="6" t="n">
        <v>46254</v>
      </c>
      <c r="E2059" t="inlineStr">
        <is>
          <t>CR</t>
        </is>
      </c>
      <c r="F2059" t="inlineStr">
        <is>
          <t>CZK</t>
        </is>
      </c>
      <c r="G2059" s="7" t="n">
        <v>4497315.323</v>
      </c>
      <c r="H2059" t="inlineStr">
        <is>
          <t>GBP</t>
        </is>
      </c>
      <c r="I2059" s="7" t="n">
        <v>152458.989</v>
      </c>
      <c r="J2059" s="8" t="n">
        <v>46254.72341435185</v>
      </c>
      <c r="K2059" t="inlineStr">
        <is>
          <t>CF260820 02053</t>
        </is>
      </c>
      <c r="L2059" t="inlineStr">
        <is>
          <t>GL.NOSTRO.CZK.BRYG.008</t>
        </is>
      </c>
      <c r="M2059" t="inlineStr">
        <is>
          <t>Sablewood Clearing</t>
        </is>
      </c>
      <c r="N2059" t="inlineStr">
        <is>
          <t>BRYGMM</t>
        </is>
      </c>
      <c r="O2059" t="inlineStr">
        <is>
          <t>AMEND</t>
        </is>
      </c>
      <c r="P2059" t="inlineStr">
        <is>
          <t>NT26082000805</t>
        </is>
      </c>
      <c r="Q2059" t="inlineStr">
        <is>
          <t>GROSS</t>
        </is>
      </c>
    </row>
    <row r="2060">
      <c r="A2060" t="inlineStr">
        <is>
          <t>621381112674</t>
        </is>
      </c>
      <c r="B2060" t="inlineStr">
        <is>
          <t>TCC</t>
        </is>
      </c>
      <c r="C2060" t="inlineStr">
        <is>
          <t>BRAA</t>
        </is>
      </c>
      <c r="D2060" s="6" t="n">
        <v>46254</v>
      </c>
      <c r="E2060" t="inlineStr">
        <is>
          <t>CR</t>
        </is>
      </c>
      <c r="F2060" t="inlineStr">
        <is>
          <t>PLN</t>
        </is>
      </c>
      <c r="G2060" s="7" t="n">
        <v>186882568.666</v>
      </c>
      <c r="H2060" t="inlineStr">
        <is>
          <t>GBP</t>
        </is>
      </c>
      <c r="I2060" s="7" t="n">
        <v>37002748.596</v>
      </c>
      <c r="J2060" s="8" t="n">
        <v>46254.39717592593</v>
      </c>
      <c r="K2060" t="inlineStr">
        <is>
          <t>CF260820 02054</t>
        </is>
      </c>
      <c r="L2060" t="inlineStr">
        <is>
          <t>GL.NOSTRO.PLN.BRAA.006</t>
        </is>
      </c>
      <c r="M2060" t="inlineStr">
        <is>
          <t>Umberton Clearing</t>
        </is>
      </c>
      <c r="N2060" t="inlineStr">
        <is>
          <t>BRAAMM</t>
        </is>
      </c>
      <c r="O2060" t="inlineStr">
        <is>
          <t>NEW</t>
        </is>
      </c>
      <c r="P2060" t="inlineStr">
        <is>
          <t>NT26082000823</t>
        </is>
      </c>
      <c r="Q2060" t="inlineStr">
        <is>
          <t>GROSS</t>
        </is>
      </c>
    </row>
    <row r="2061">
      <c r="A2061" t="inlineStr">
        <is>
          <t>132544340094</t>
        </is>
      </c>
      <c r="B2061" t="inlineStr">
        <is>
          <t>TCQ</t>
        </is>
      </c>
      <c r="C2061" t="inlineStr">
        <is>
          <t>BRYG</t>
        </is>
      </c>
      <c r="D2061" s="6" t="n">
        <v>46254</v>
      </c>
      <c r="E2061" t="inlineStr">
        <is>
          <t>DR</t>
        </is>
      </c>
      <c r="F2061" t="inlineStr">
        <is>
          <t>CZK</t>
        </is>
      </c>
      <c r="G2061" s="7" t="n">
        <v>-50597737.23</v>
      </c>
      <c r="H2061" t="inlineStr">
        <is>
          <t>GBP</t>
        </is>
      </c>
      <c r="I2061" s="7" t="n">
        <v>-1715263.292</v>
      </c>
      <c r="J2061" s="8" t="n">
        <v>46254.41045138889</v>
      </c>
      <c r="K2061" t="inlineStr">
        <is>
          <t>CF260820 02055</t>
        </is>
      </c>
      <c r="L2061" t="inlineStr">
        <is>
          <t>GL.NOSTRO.CZK.BRYG.004</t>
        </is>
      </c>
      <c r="M2061" t="inlineStr">
        <is>
          <t>Dunlin Trust</t>
        </is>
      </c>
      <c r="N2061" t="inlineStr">
        <is>
          <t>BRYGCASH</t>
        </is>
      </c>
      <c r="O2061" t="inlineStr">
        <is>
          <t>NEW</t>
        </is>
      </c>
      <c r="P2061" t="inlineStr">
        <is>
          <t>NT26082000810</t>
        </is>
      </c>
      <c r="Q2061" t="inlineStr">
        <is>
          <t>GROSS</t>
        </is>
      </c>
    </row>
    <row r="2062">
      <c r="A2062" t="inlineStr">
        <is>
          <t>150316825069</t>
        </is>
      </c>
      <c r="B2062" t="inlineStr">
        <is>
          <t>TCQ</t>
        </is>
      </c>
      <c r="C2062" t="inlineStr">
        <is>
          <t>BRGX</t>
        </is>
      </c>
      <c r="D2062" s="6" t="n">
        <v>46254</v>
      </c>
      <c r="E2062" t="inlineStr">
        <is>
          <t>CR</t>
        </is>
      </c>
      <c r="F2062" t="inlineStr">
        <is>
          <t>GBP</t>
        </is>
      </c>
      <c r="G2062" s="7" t="n">
        <v>31223795.774</v>
      </c>
      <c r="H2062" t="inlineStr">
        <is>
          <t>GBP</t>
        </is>
      </c>
      <c r="I2062" s="7" t="n">
        <v>31223795.774</v>
      </c>
      <c r="J2062" s="8" t="n">
        <v>46254.38699074074</v>
      </c>
      <c r="K2062" t="inlineStr">
        <is>
          <t>CF260820 02056</t>
        </is>
      </c>
      <c r="L2062" t="inlineStr">
        <is>
          <t>GL.NOSTRO.GBP.BRGX.009</t>
        </is>
      </c>
      <c r="M2062" t="inlineStr">
        <is>
          <t>Zephyr Commercial Bank</t>
        </is>
      </c>
      <c r="N2062" t="inlineStr">
        <is>
          <t>BRGXMM</t>
        </is>
      </c>
      <c r="O2062" t="inlineStr">
        <is>
          <t>NEW</t>
        </is>
      </c>
      <c r="Q2062" t="inlineStr">
        <is>
          <t>GROSS</t>
        </is>
      </c>
    </row>
    <row r="2063">
      <c r="A2063" t="inlineStr">
        <is>
          <t>953625291146</t>
        </is>
      </c>
      <c r="B2063" t="inlineStr">
        <is>
          <t>TCP</t>
        </is>
      </c>
      <c r="C2063" t="inlineStr">
        <is>
          <t>BRGL</t>
        </is>
      </c>
      <c r="D2063" s="6" t="n">
        <v>46254</v>
      </c>
      <c r="E2063" t="inlineStr">
        <is>
          <t>DR</t>
        </is>
      </c>
      <c r="F2063" t="inlineStr">
        <is>
          <t>USD</t>
        </is>
      </c>
      <c r="G2063" s="7" t="n">
        <v>-827504781.918</v>
      </c>
      <c r="H2063" t="inlineStr">
        <is>
          <t>GBP</t>
        </is>
      </c>
      <c r="I2063" s="7" t="n">
        <v>-648763749.024</v>
      </c>
      <c r="J2063" s="8" t="n">
        <v>46254.69418981481</v>
      </c>
      <c r="K2063" t="inlineStr">
        <is>
          <t>CF260820 02057</t>
        </is>
      </c>
      <c r="L2063" t="inlineStr">
        <is>
          <t>GL.NOSTRO.USD.BRGL.001</t>
        </is>
      </c>
      <c r="M2063" t="inlineStr">
        <is>
          <t>Sablewood Clearing</t>
        </is>
      </c>
      <c r="N2063" t="inlineStr">
        <is>
          <t>BRGL</t>
        </is>
      </c>
      <c r="O2063" t="inlineStr">
        <is>
          <t>NEW</t>
        </is>
      </c>
      <c r="P2063" t="inlineStr">
        <is>
          <t>NT26082000810</t>
        </is>
      </c>
      <c r="Q2063" t="inlineStr">
        <is>
          <t>NETTER</t>
        </is>
      </c>
    </row>
    <row r="2064">
      <c r="A2064" t="inlineStr">
        <is>
          <t>794226063698</t>
        </is>
      </c>
      <c r="B2064" t="inlineStr">
        <is>
          <t>TCC</t>
        </is>
      </c>
      <c r="C2064" t="inlineStr">
        <is>
          <t>BRMD</t>
        </is>
      </c>
      <c r="D2064" s="6" t="n">
        <v>46254</v>
      </c>
      <c r="E2064" t="inlineStr">
        <is>
          <t>CR</t>
        </is>
      </c>
      <c r="F2064" t="inlineStr">
        <is>
          <t>AED</t>
        </is>
      </c>
      <c r="G2064" s="7" t="n">
        <v>175176755.863</v>
      </c>
      <c r="H2064" t="inlineStr">
        <is>
          <t>GBP</t>
        </is>
      </c>
      <c r="I2064" s="7" t="n">
        <v>37312648.999</v>
      </c>
      <c r="J2064" s="8" t="n">
        <v>46254.685625</v>
      </c>
      <c r="K2064" t="inlineStr">
        <is>
          <t>CF260820 02058</t>
        </is>
      </c>
      <c r="L2064" t="inlineStr">
        <is>
          <t>GL.NOSTRO.AED.BRMD.003</t>
        </is>
      </c>
      <c r="M2064" t="inlineStr">
        <is>
          <t>Dunlin Clearing</t>
        </is>
      </c>
      <c r="N2064" t="inlineStr">
        <is>
          <t>BRMDMM</t>
        </is>
      </c>
      <c r="O2064" t="inlineStr">
        <is>
          <t>NEW</t>
        </is>
      </c>
      <c r="P2064" t="inlineStr">
        <is>
          <t>NT26082000789</t>
        </is>
      </c>
      <c r="Q2064" t="inlineStr">
        <is>
          <t>NETTER</t>
        </is>
      </c>
    </row>
    <row r="2065">
      <c r="A2065" t="inlineStr">
        <is>
          <t>113829985108</t>
        </is>
      </c>
      <c r="B2065" t="inlineStr">
        <is>
          <t>TCX</t>
        </is>
      </c>
      <c r="C2065" t="inlineStr">
        <is>
          <t>BRGL</t>
        </is>
      </c>
      <c r="D2065" s="6" t="n">
        <v>46254</v>
      </c>
      <c r="E2065" t="inlineStr">
        <is>
          <t>DR</t>
        </is>
      </c>
      <c r="F2065" t="inlineStr">
        <is>
          <t>EUR</t>
        </is>
      </c>
      <c r="G2065" s="7" t="n">
        <v>-77586578.161</v>
      </c>
      <c r="H2065" t="inlineStr">
        <is>
          <t>GBP</t>
        </is>
      </c>
      <c r="I2065" s="7" t="n">
        <v>-66569284.062</v>
      </c>
      <c r="J2065" s="8" t="n">
        <v>46254.68569444444</v>
      </c>
      <c r="K2065" t="inlineStr">
        <is>
          <t>CF260820 02059</t>
        </is>
      </c>
      <c r="L2065" t="inlineStr">
        <is>
          <t>GL.NOSTRO.EUR.BRGL.002</t>
        </is>
      </c>
      <c r="M2065" t="inlineStr">
        <is>
          <t>Bramble Bank</t>
        </is>
      </c>
      <c r="N2065" t="inlineStr">
        <is>
          <t>BRGLTRSY</t>
        </is>
      </c>
      <c r="O2065" t="inlineStr">
        <is>
          <t>NEW</t>
        </is>
      </c>
      <c r="Q2065" t="inlineStr">
        <is>
          <t>GROSS</t>
        </is>
      </c>
    </row>
    <row r="2066">
      <c r="A2066" t="inlineStr">
        <is>
          <t>150316825069</t>
        </is>
      </c>
      <c r="B2066" t="inlineStr">
        <is>
          <t>TCQ</t>
        </is>
      </c>
      <c r="C2066" t="inlineStr">
        <is>
          <t>BRGX</t>
        </is>
      </c>
      <c r="D2066" s="6" t="n">
        <v>46254</v>
      </c>
      <c r="E2066" t="inlineStr">
        <is>
          <t>CR</t>
        </is>
      </c>
      <c r="F2066" t="inlineStr">
        <is>
          <t>GBP</t>
        </is>
      </c>
      <c r="G2066" s="7" t="n">
        <v>140728449.475</v>
      </c>
      <c r="H2066" t="inlineStr">
        <is>
          <t>GBP</t>
        </is>
      </c>
      <c r="I2066" s="7" t="n">
        <v>140728449.475</v>
      </c>
      <c r="J2066" s="8" t="n">
        <v>46254.61174768519</v>
      </c>
      <c r="K2066" t="inlineStr">
        <is>
          <t>CF260820 02060</t>
        </is>
      </c>
      <c r="L2066" t="inlineStr">
        <is>
          <t>GL.NOSTRO.GBP.BRGX.009</t>
        </is>
      </c>
      <c r="M2066" t="inlineStr">
        <is>
          <t>Harrow Clearing</t>
        </is>
      </c>
      <c r="N2066" t="inlineStr">
        <is>
          <t>BRGX</t>
        </is>
      </c>
      <c r="O2066" t="inlineStr">
        <is>
          <t>AMEND</t>
        </is>
      </c>
      <c r="Q2066" t="inlineStr">
        <is>
          <t>GROSS</t>
        </is>
      </c>
    </row>
    <row r="2067">
      <c r="A2067" t="inlineStr">
        <is>
          <t>953625291146</t>
        </is>
      </c>
      <c r="B2067" t="inlineStr">
        <is>
          <t>TCC</t>
        </is>
      </c>
      <c r="C2067" t="inlineStr">
        <is>
          <t>BRGL</t>
        </is>
      </c>
      <c r="D2067" s="6" t="n">
        <v>46254</v>
      </c>
      <c r="E2067" t="inlineStr">
        <is>
          <t>DR</t>
        </is>
      </c>
      <c r="F2067" t="inlineStr">
        <is>
          <t>USD</t>
        </is>
      </c>
      <c r="G2067" s="7" t="n">
        <v>-13280043.097</v>
      </c>
      <c r="H2067" t="inlineStr">
        <is>
          <t>GBP</t>
        </is>
      </c>
      <c r="I2067" s="7" t="n">
        <v>-10411553.788</v>
      </c>
      <c r="J2067" s="8" t="n">
        <v>46254.17226851852</v>
      </c>
      <c r="K2067" t="inlineStr">
        <is>
          <t>CF260820 02061</t>
        </is>
      </c>
      <c r="L2067" t="inlineStr">
        <is>
          <t>GL.NOSTRO.USD.BRGL.004</t>
        </is>
      </c>
      <c r="M2067" t="inlineStr">
        <is>
          <t>Sablewood Bank</t>
        </is>
      </c>
      <c r="N2067" t="inlineStr">
        <is>
          <t>BRGLTRSY</t>
        </is>
      </c>
      <c r="O2067" t="inlineStr">
        <is>
          <t>CANCEL</t>
        </is>
      </c>
      <c r="P2067" t="inlineStr">
        <is>
          <t>NT26082000819</t>
        </is>
      </c>
      <c r="Q2067" t="inlineStr">
        <is>
          <t>NETTER</t>
        </is>
      </c>
    </row>
    <row r="2068">
      <c r="A2068" t="inlineStr">
        <is>
          <t>265771593142</t>
        </is>
      </c>
      <c r="B2068" t="inlineStr">
        <is>
          <t>TCX</t>
        </is>
      </c>
      <c r="C2068" t="inlineStr">
        <is>
          <t>BRYG</t>
        </is>
      </c>
      <c r="D2068" s="6" t="n">
        <v>46254</v>
      </c>
      <c r="E2068" t="inlineStr">
        <is>
          <t>DR</t>
        </is>
      </c>
      <c r="F2068" t="inlineStr">
        <is>
          <t>EUR</t>
        </is>
      </c>
      <c r="G2068" s="7" t="n">
        <v>-142674279.604</v>
      </c>
      <c r="H2068" t="inlineStr">
        <is>
          <t>GBP</t>
        </is>
      </c>
      <c r="I2068" s="7" t="n">
        <v>-122414531.9</v>
      </c>
      <c r="J2068" s="8" t="n">
        <v>46254.32219907407</v>
      </c>
      <c r="K2068" t="inlineStr">
        <is>
          <t>CF260820 02062</t>
        </is>
      </c>
      <c r="L2068" t="inlineStr">
        <is>
          <t>GL.NOSTRO.EUR.BRYG.003</t>
        </is>
      </c>
      <c r="M2068" t="inlineStr">
        <is>
          <t>Granite Clearing</t>
        </is>
      </c>
      <c r="N2068" t="inlineStr">
        <is>
          <t>BRYGCASH</t>
        </is>
      </c>
      <c r="O2068" t="inlineStr">
        <is>
          <t>NEW</t>
        </is>
      </c>
      <c r="Q2068" t="inlineStr">
        <is>
          <t>NETTER</t>
        </is>
      </c>
    </row>
    <row r="2069">
      <c r="A2069" t="inlineStr">
        <is>
          <t>953625291146</t>
        </is>
      </c>
      <c r="B2069" t="inlineStr">
        <is>
          <t>TCQ</t>
        </is>
      </c>
      <c r="C2069" t="inlineStr">
        <is>
          <t>BRGL</t>
        </is>
      </c>
      <c r="D2069" s="6" t="n">
        <v>46254</v>
      </c>
      <c r="E2069" t="inlineStr">
        <is>
          <t>CR</t>
        </is>
      </c>
      <c r="F2069" t="inlineStr">
        <is>
          <t>USD</t>
        </is>
      </c>
      <c r="G2069" s="7" t="n">
        <v>1119399.442</v>
      </c>
      <c r="H2069" t="inlineStr">
        <is>
          <t>GBP</t>
        </is>
      </c>
      <c r="I2069" s="7" t="n">
        <v>877609.1629999999</v>
      </c>
      <c r="J2069" s="8" t="n">
        <v>46254.64634259259</v>
      </c>
      <c r="K2069" t="inlineStr">
        <is>
          <t>CF260820 02063</t>
        </is>
      </c>
      <c r="L2069" t="inlineStr">
        <is>
          <t>GL.NOSTRO.USD.BRGL.005</t>
        </is>
      </c>
      <c r="M2069" t="inlineStr">
        <is>
          <t>Nightjar Trust</t>
        </is>
      </c>
      <c r="N2069" t="inlineStr">
        <is>
          <t>BRGLMM</t>
        </is>
      </c>
      <c r="O2069" t="inlineStr">
        <is>
          <t>AMEND</t>
        </is>
      </c>
      <c r="Q2069" t="inlineStr">
        <is>
          <t>NETTER</t>
        </is>
      </c>
    </row>
    <row r="2070">
      <c r="A2070" t="inlineStr">
        <is>
          <t>468341071172</t>
        </is>
      </c>
      <c r="B2070" t="inlineStr">
        <is>
          <t>TCP</t>
        </is>
      </c>
      <c r="C2070" t="inlineStr">
        <is>
          <t>BRCC</t>
        </is>
      </c>
      <c r="D2070" s="6" t="n">
        <v>46254</v>
      </c>
      <c r="E2070" t="inlineStr">
        <is>
          <t>CR</t>
        </is>
      </c>
      <c r="F2070" t="inlineStr">
        <is>
          <t>EUR</t>
        </is>
      </c>
      <c r="G2070" s="7" t="n">
        <v>1946546.121</v>
      </c>
      <c r="H2070" t="inlineStr">
        <is>
          <t>GBP</t>
        </is>
      </c>
      <c r="I2070" s="7" t="n">
        <v>1670136.572</v>
      </c>
      <c r="J2070" s="8" t="n">
        <v>46254.46791666667</v>
      </c>
      <c r="K2070" t="inlineStr">
        <is>
          <t>CF260820 02064</t>
        </is>
      </c>
      <c r="L2070" t="inlineStr">
        <is>
          <t>GL.NOSTRO.EUR.BRCC.007</t>
        </is>
      </c>
      <c r="M2070" t="inlineStr">
        <is>
          <t>Redstart Commercial Bank</t>
        </is>
      </c>
      <c r="N2070" t="inlineStr">
        <is>
          <t>BRCCCASH</t>
        </is>
      </c>
      <c r="O2070" t="inlineStr">
        <is>
          <t>NEW</t>
        </is>
      </c>
      <c r="Q2070" t="inlineStr">
        <is>
          <t>GROSS</t>
        </is>
      </c>
    </row>
    <row r="2071">
      <c r="A2071" t="inlineStr">
        <is>
          <t>171857983160</t>
        </is>
      </c>
      <c r="B2071" t="inlineStr">
        <is>
          <t>TCC</t>
        </is>
      </c>
      <c r="C2071" t="inlineStr">
        <is>
          <t>BRBX</t>
        </is>
      </c>
      <c r="D2071" s="6" t="n">
        <v>46254</v>
      </c>
      <c r="E2071" t="inlineStr">
        <is>
          <t>CR</t>
        </is>
      </c>
      <c r="F2071" t="inlineStr">
        <is>
          <t>AUD</t>
        </is>
      </c>
      <c r="G2071" s="7" t="n">
        <v>17758069.338</v>
      </c>
      <c r="H2071" t="inlineStr">
        <is>
          <t>GBP</t>
        </is>
      </c>
      <c r="I2071" s="7" t="n">
        <v>9109889.57</v>
      </c>
      <c r="J2071" s="8" t="n">
        <v>46254.70087962963</v>
      </c>
      <c r="K2071" t="inlineStr">
        <is>
          <t>CF260820 02065</t>
        </is>
      </c>
      <c r="L2071" t="inlineStr">
        <is>
          <t>GL.NOSTRO.AUD.BRBX.007</t>
        </is>
      </c>
      <c r="M2071" t="inlineStr">
        <is>
          <t>Mallow Trust</t>
        </is>
      </c>
      <c r="N2071" t="inlineStr">
        <is>
          <t>BRBXMM</t>
        </is>
      </c>
      <c r="O2071" t="inlineStr">
        <is>
          <t>AMEND</t>
        </is>
      </c>
      <c r="Q2071" t="inlineStr">
        <is>
          <t>NETTER</t>
        </is>
      </c>
    </row>
    <row r="2072">
      <c r="A2072" t="inlineStr">
        <is>
          <t>150316825069</t>
        </is>
      </c>
      <c r="B2072" t="inlineStr">
        <is>
          <t>TCP</t>
        </is>
      </c>
      <c r="C2072" t="inlineStr">
        <is>
          <t>BRGX</t>
        </is>
      </c>
      <c r="D2072" s="6" t="n">
        <v>46254</v>
      </c>
      <c r="E2072" t="inlineStr">
        <is>
          <t>CR</t>
        </is>
      </c>
      <c r="F2072" t="inlineStr">
        <is>
          <t>GBP</t>
        </is>
      </c>
      <c r="G2072" s="7" t="n">
        <v>6312654.605</v>
      </c>
      <c r="H2072" t="inlineStr">
        <is>
          <t>GBP</t>
        </is>
      </c>
      <c r="I2072" s="7" t="n">
        <v>6312654.605</v>
      </c>
      <c r="J2072" s="8" t="n">
        <v>46254.50921296296</v>
      </c>
      <c r="K2072" t="inlineStr">
        <is>
          <t>CF260820 02066</t>
        </is>
      </c>
      <c r="L2072" t="inlineStr">
        <is>
          <t>GL.NOSTRO.GBP.BRGX.009</t>
        </is>
      </c>
      <c r="M2072" t="inlineStr">
        <is>
          <t>Juniper Settlement Bank</t>
        </is>
      </c>
      <c r="N2072" t="inlineStr">
        <is>
          <t>BRGXMM</t>
        </is>
      </c>
      <c r="O2072" t="inlineStr">
        <is>
          <t>NEW</t>
        </is>
      </c>
      <c r="P2072" t="inlineStr">
        <is>
          <t>NT26082000804</t>
        </is>
      </c>
      <c r="Q2072" t="inlineStr">
        <is>
          <t>INTERNAL</t>
        </is>
      </c>
    </row>
    <row r="2073">
      <c r="A2073" t="inlineStr">
        <is>
          <t>726928343448</t>
        </is>
      </c>
      <c r="B2073" t="inlineStr">
        <is>
          <t>TCG</t>
        </is>
      </c>
      <c r="C2073" t="inlineStr">
        <is>
          <t>BRGX</t>
        </is>
      </c>
      <c r="D2073" s="6" t="n">
        <v>46254</v>
      </c>
      <c r="E2073" t="inlineStr">
        <is>
          <t>CR</t>
        </is>
      </c>
      <c r="F2073" t="inlineStr">
        <is>
          <t>EUR</t>
        </is>
      </c>
      <c r="G2073" s="7" t="n">
        <v>12889398.49</v>
      </c>
      <c r="H2073" t="inlineStr">
        <is>
          <t>GBP</t>
        </is>
      </c>
      <c r="I2073" s="7" t="n">
        <v>11059103.904</v>
      </c>
      <c r="J2073" s="8" t="n">
        <v>46254.32097222222</v>
      </c>
      <c r="K2073" t="inlineStr">
        <is>
          <t>CF260820 02067</t>
        </is>
      </c>
      <c r="L2073" t="inlineStr">
        <is>
          <t>GL.NOSTRO.EUR.BRGX.001</t>
        </is>
      </c>
      <c r="M2073" t="inlineStr">
        <is>
          <t>Elmwood Bank</t>
        </is>
      </c>
      <c r="N2073" t="inlineStr">
        <is>
          <t>BRGXTRSY</t>
        </is>
      </c>
      <c r="O2073" t="inlineStr">
        <is>
          <t>NEW</t>
        </is>
      </c>
      <c r="Q2073" t="inlineStr">
        <is>
          <t>NETTER</t>
        </is>
      </c>
    </row>
    <row r="2074">
      <c r="A2074" t="inlineStr">
        <is>
          <t>265771593142</t>
        </is>
      </c>
      <c r="B2074" t="inlineStr">
        <is>
          <t>TCC</t>
        </is>
      </c>
      <c r="C2074" t="inlineStr">
        <is>
          <t>BRYG</t>
        </is>
      </c>
      <c r="D2074" s="6" t="n">
        <v>46254</v>
      </c>
      <c r="E2074" t="inlineStr">
        <is>
          <t>DR</t>
        </is>
      </c>
      <c r="F2074" t="inlineStr">
        <is>
          <t>EUR</t>
        </is>
      </c>
      <c r="G2074" s="7" t="n">
        <v>-308287473.46</v>
      </c>
      <c r="H2074" t="inlineStr">
        <is>
          <t>GBP</t>
        </is>
      </c>
      <c r="I2074" s="7" t="n">
        <v>-264510652.229</v>
      </c>
      <c r="J2074" s="8" t="n">
        <v>46254.59212962963</v>
      </c>
      <c r="K2074" t="inlineStr">
        <is>
          <t>CF260820 02068</t>
        </is>
      </c>
      <c r="L2074" t="inlineStr">
        <is>
          <t>GL.NOSTRO.EUR.BRYG.006</t>
        </is>
      </c>
      <c r="M2074" t="inlineStr">
        <is>
          <t>Fernway Settlement Bank</t>
        </is>
      </c>
      <c r="N2074" t="inlineStr">
        <is>
          <t>BRYGTRSY</t>
        </is>
      </c>
      <c r="O2074" t="inlineStr">
        <is>
          <t>AMEND</t>
        </is>
      </c>
      <c r="Q2074" t="inlineStr">
        <is>
          <t>NETTER</t>
        </is>
      </c>
    </row>
    <row r="2075">
      <c r="A2075" t="inlineStr">
        <is>
          <t>150316825069</t>
        </is>
      </c>
      <c r="B2075" t="inlineStr">
        <is>
          <t>TCQ</t>
        </is>
      </c>
      <c r="C2075" t="inlineStr">
        <is>
          <t>BRGX</t>
        </is>
      </c>
      <c r="D2075" s="6" t="n">
        <v>46254</v>
      </c>
      <c r="E2075" t="inlineStr">
        <is>
          <t>CR</t>
        </is>
      </c>
      <c r="F2075" t="inlineStr">
        <is>
          <t>GBP</t>
        </is>
      </c>
      <c r="G2075" s="7" t="n">
        <v>79172424.15800001</v>
      </c>
      <c r="H2075" t="inlineStr">
        <is>
          <t>GBP</t>
        </is>
      </c>
      <c r="I2075" s="7" t="n">
        <v>79172424.15800001</v>
      </c>
      <c r="J2075" s="8" t="n">
        <v>46254.49793981481</v>
      </c>
      <c r="K2075" t="inlineStr">
        <is>
          <t>CF260820 02069</t>
        </is>
      </c>
      <c r="L2075" t="inlineStr">
        <is>
          <t>GL.NOSTRO.GBP.BRGX.004</t>
        </is>
      </c>
      <c r="M2075" t="inlineStr">
        <is>
          <t>Bramble Bank</t>
        </is>
      </c>
      <c r="N2075" t="inlineStr">
        <is>
          <t>BRGXCASH</t>
        </is>
      </c>
      <c r="O2075" t="inlineStr">
        <is>
          <t>NEW</t>
        </is>
      </c>
      <c r="P2075" t="inlineStr">
        <is>
          <t>NT26082000812</t>
        </is>
      </c>
      <c r="Q2075" t="inlineStr">
        <is>
          <t>NETTER</t>
        </is>
      </c>
    </row>
    <row r="2076">
      <c r="A2076" t="inlineStr">
        <is>
          <t>621381112674</t>
        </is>
      </c>
      <c r="B2076" t="inlineStr">
        <is>
          <t>TCC</t>
        </is>
      </c>
      <c r="C2076" t="inlineStr">
        <is>
          <t>BRAA</t>
        </is>
      </c>
      <c r="D2076" s="6" t="n">
        <v>46254</v>
      </c>
      <c r="E2076" t="inlineStr">
        <is>
          <t>CR</t>
        </is>
      </c>
      <c r="F2076" t="inlineStr">
        <is>
          <t>PLN</t>
        </is>
      </c>
      <c r="G2076" s="7" t="n">
        <v>9482158.657</v>
      </c>
      <c r="H2076" t="inlineStr">
        <is>
          <t>GBP</t>
        </is>
      </c>
      <c r="I2076" s="7" t="n">
        <v>1877467.414</v>
      </c>
      <c r="J2076" s="8" t="n">
        <v>46254.40875</v>
      </c>
      <c r="K2076" t="inlineStr">
        <is>
          <t>CF260820 02070</t>
        </is>
      </c>
      <c r="L2076" t="inlineStr">
        <is>
          <t>GL.NOSTRO.PLN.BRAA.005</t>
        </is>
      </c>
      <c r="M2076" t="inlineStr">
        <is>
          <t>Vetchling Bank</t>
        </is>
      </c>
      <c r="N2076" t="inlineStr">
        <is>
          <t>BRAA</t>
        </is>
      </c>
      <c r="O2076" t="inlineStr">
        <is>
          <t>NEW</t>
        </is>
      </c>
      <c r="P2076" t="inlineStr">
        <is>
          <t>NT26082000792</t>
        </is>
      </c>
      <c r="Q2076" t="inlineStr">
        <is>
          <t>NETTER</t>
        </is>
      </c>
    </row>
    <row r="2077">
      <c r="A2077" t="inlineStr">
        <is>
          <t>120047354818</t>
        </is>
      </c>
      <c r="B2077" t="inlineStr">
        <is>
          <t>TCC</t>
        </is>
      </c>
      <c r="C2077" t="inlineStr">
        <is>
          <t>BRNK</t>
        </is>
      </c>
      <c r="D2077" s="6" t="n">
        <v>46254</v>
      </c>
      <c r="E2077" t="inlineStr">
        <is>
          <t>DR</t>
        </is>
      </c>
      <c r="F2077" t="inlineStr">
        <is>
          <t>USD</t>
        </is>
      </c>
      <c r="G2077" s="7" t="n">
        <v>-968498.001</v>
      </c>
      <c r="H2077" t="inlineStr">
        <is>
          <t>GBP</t>
        </is>
      </c>
      <c r="I2077" s="7" t="n">
        <v>-759302.433</v>
      </c>
      <c r="J2077" s="8" t="n">
        <v>46254.56123842593</v>
      </c>
      <c r="K2077" t="inlineStr">
        <is>
          <t>CF260820 02071</t>
        </is>
      </c>
      <c r="L2077" t="inlineStr">
        <is>
          <t>GL.NOSTRO.USD.BRNK.005</t>
        </is>
      </c>
      <c r="M2077" t="inlineStr">
        <is>
          <t>Vetchling Bank</t>
        </is>
      </c>
      <c r="N2077" t="inlineStr">
        <is>
          <t>BRNKTRSY</t>
        </is>
      </c>
      <c r="O2077" t="inlineStr">
        <is>
          <t>AMEND</t>
        </is>
      </c>
      <c r="P2077" t="inlineStr">
        <is>
          <t>NT26082000816</t>
        </is>
      </c>
      <c r="Q2077" t="inlineStr">
        <is>
          <t>INTERNAL</t>
        </is>
      </c>
    </row>
    <row r="2078">
      <c r="A2078" t="inlineStr">
        <is>
          <t>150316825069</t>
        </is>
      </c>
      <c r="B2078" t="inlineStr">
        <is>
          <t>TCG</t>
        </is>
      </c>
      <c r="C2078" t="inlineStr">
        <is>
          <t>BRGX</t>
        </is>
      </c>
      <c r="D2078" s="6" t="n">
        <v>46254</v>
      </c>
      <c r="E2078" t="inlineStr">
        <is>
          <t>CR</t>
        </is>
      </c>
      <c r="F2078" t="inlineStr">
        <is>
          <t>GBP</t>
        </is>
      </c>
      <c r="G2078" s="7" t="n">
        <v>397863663.198</v>
      </c>
      <c r="H2078" t="inlineStr">
        <is>
          <t>GBP</t>
        </is>
      </c>
      <c r="I2078" s="7" t="n">
        <v>397863663.198</v>
      </c>
      <c r="J2078" s="8" t="n">
        <v>46254.66658564815</v>
      </c>
      <c r="K2078" t="inlineStr">
        <is>
          <t>CF260820 02072</t>
        </is>
      </c>
      <c r="L2078" t="inlineStr">
        <is>
          <t>GL.NOSTRO.GBP.BRGX.008</t>
        </is>
      </c>
      <c r="M2078" t="inlineStr">
        <is>
          <t>Sablewood Commercial Bank</t>
        </is>
      </c>
      <c r="N2078" t="inlineStr">
        <is>
          <t>BRGXMM</t>
        </is>
      </c>
      <c r="O2078" t="inlineStr">
        <is>
          <t>NEW</t>
        </is>
      </c>
      <c r="P2078" t="inlineStr">
        <is>
          <t>NT26082000799</t>
        </is>
      </c>
      <c r="Q2078" t="inlineStr">
        <is>
          <t>NETTER</t>
        </is>
      </c>
    </row>
    <row r="2079">
      <c r="A2079" t="inlineStr">
        <is>
          <t>794226063698</t>
        </is>
      </c>
      <c r="B2079" t="inlineStr">
        <is>
          <t>TCC</t>
        </is>
      </c>
      <c r="C2079" t="inlineStr">
        <is>
          <t>BRMD</t>
        </is>
      </c>
      <c r="D2079" s="6" t="n">
        <v>46254</v>
      </c>
      <c r="E2079" t="inlineStr">
        <is>
          <t>DR</t>
        </is>
      </c>
      <c r="F2079" t="inlineStr">
        <is>
          <t>AED</t>
        </is>
      </c>
      <c r="G2079" s="7" t="n">
        <v>-98177585.697</v>
      </c>
      <c r="H2079" t="inlineStr">
        <is>
          <t>GBP</t>
        </is>
      </c>
      <c r="I2079" s="7" t="n">
        <v>-20911825.753</v>
      </c>
      <c r="J2079" s="8" t="n">
        <v>46254.40644675926</v>
      </c>
      <c r="K2079" t="inlineStr">
        <is>
          <t>CF260820 02073</t>
        </is>
      </c>
      <c r="L2079" t="inlineStr">
        <is>
          <t>GL.NOSTRO.AED.BRMD.008</t>
        </is>
      </c>
      <c r="M2079" t="inlineStr">
        <is>
          <t>Alder Clearing</t>
        </is>
      </c>
      <c r="N2079" t="inlineStr">
        <is>
          <t>BRMDMM</t>
        </is>
      </c>
      <c r="O2079" t="inlineStr">
        <is>
          <t>NEW</t>
        </is>
      </c>
      <c r="Q2079" t="inlineStr">
        <is>
          <t>NETTER</t>
        </is>
      </c>
    </row>
    <row r="2080">
      <c r="A2080" t="inlineStr">
        <is>
          <t>898317028833</t>
        </is>
      </c>
      <c r="B2080" t="inlineStr">
        <is>
          <t>TCC</t>
        </is>
      </c>
      <c r="C2080" t="inlineStr">
        <is>
          <t>BRAA</t>
        </is>
      </c>
      <c r="D2080" s="6" t="n">
        <v>46254</v>
      </c>
      <c r="E2080" t="inlineStr">
        <is>
          <t>CR</t>
        </is>
      </c>
      <c r="F2080" t="inlineStr">
        <is>
          <t>GBP</t>
        </is>
      </c>
      <c r="G2080" s="7" t="n">
        <v>317308155.091</v>
      </c>
      <c r="H2080" t="inlineStr">
        <is>
          <t>GBP</t>
        </is>
      </c>
      <c r="I2080" s="7" t="n">
        <v>317308155.091</v>
      </c>
      <c r="J2080" s="8" t="n">
        <v>46254.6075462963</v>
      </c>
      <c r="K2080" t="inlineStr">
        <is>
          <t>CF260820 02074</t>
        </is>
      </c>
      <c r="L2080" t="inlineStr">
        <is>
          <t>GL.NOSTRO.GBP.BRAA.006</t>
        </is>
      </c>
      <c r="M2080" t="inlineStr">
        <is>
          <t>Vetchling Bank</t>
        </is>
      </c>
      <c r="N2080" t="inlineStr">
        <is>
          <t>BRAAMM</t>
        </is>
      </c>
      <c r="O2080" t="inlineStr">
        <is>
          <t>NEW</t>
        </is>
      </c>
      <c r="Q2080" t="inlineStr">
        <is>
          <t>GROSS</t>
        </is>
      </c>
    </row>
    <row r="2081">
      <c r="A2081" t="inlineStr">
        <is>
          <t>468341071172</t>
        </is>
      </c>
      <c r="B2081" t="inlineStr">
        <is>
          <t>TCX</t>
        </is>
      </c>
      <c r="C2081" t="inlineStr">
        <is>
          <t>BRCC</t>
        </is>
      </c>
      <c r="D2081" s="6" t="n">
        <v>46254</v>
      </c>
      <c r="E2081" t="inlineStr">
        <is>
          <t>CR</t>
        </is>
      </c>
      <c r="F2081" t="inlineStr">
        <is>
          <t>EUR</t>
        </is>
      </c>
      <c r="G2081" s="7" t="n">
        <v>803214938.801</v>
      </c>
      <c r="H2081" t="inlineStr">
        <is>
          <t>GBP</t>
        </is>
      </c>
      <c r="I2081" s="7" t="n">
        <v>689158417.4910001</v>
      </c>
      <c r="J2081" s="8" t="n">
        <v>46254.29497685185</v>
      </c>
      <c r="K2081" t="inlineStr">
        <is>
          <t>CF260820 02075</t>
        </is>
      </c>
      <c r="L2081" t="inlineStr">
        <is>
          <t>GL.NOSTRO.EUR.BRCC.008</t>
        </is>
      </c>
      <c r="M2081" t="inlineStr">
        <is>
          <t>Dunlin Clearing</t>
        </is>
      </c>
      <c r="N2081" t="inlineStr">
        <is>
          <t>BRCCCASH</t>
        </is>
      </c>
      <c r="O2081" t="inlineStr">
        <is>
          <t>NEW</t>
        </is>
      </c>
      <c r="Q2081" t="inlineStr">
        <is>
          <t>NETTER</t>
        </is>
      </c>
    </row>
    <row r="2082">
      <c r="A2082" t="inlineStr">
        <is>
          <t>150316825069</t>
        </is>
      </c>
      <c r="B2082" t="inlineStr">
        <is>
          <t>TCQ</t>
        </is>
      </c>
      <c r="C2082" t="inlineStr">
        <is>
          <t>BRGX</t>
        </is>
      </c>
      <c r="D2082" s="6" t="n">
        <v>46254</v>
      </c>
      <c r="E2082" t="inlineStr">
        <is>
          <t>CR</t>
        </is>
      </c>
      <c r="F2082" t="inlineStr">
        <is>
          <t>GBP</t>
        </is>
      </c>
      <c r="G2082" s="7" t="n">
        <v>18693774.843</v>
      </c>
      <c r="H2082" t="inlineStr">
        <is>
          <t>GBP</t>
        </is>
      </c>
      <c r="I2082" s="7" t="n">
        <v>18693774.843</v>
      </c>
      <c r="J2082" s="8" t="n">
        <v>46254.62665509259</v>
      </c>
      <c r="K2082" t="inlineStr">
        <is>
          <t>CF260820 02076</t>
        </is>
      </c>
      <c r="L2082" t="inlineStr">
        <is>
          <t>GL.NOSTRO.GBP.BRGX.009</t>
        </is>
      </c>
      <c r="M2082" t="inlineStr">
        <is>
          <t>Fernway Settlement Bank</t>
        </is>
      </c>
      <c r="N2082" t="inlineStr">
        <is>
          <t>BRGXMM</t>
        </is>
      </c>
      <c r="O2082" t="inlineStr">
        <is>
          <t>NEW</t>
        </is>
      </c>
      <c r="Q2082" t="inlineStr">
        <is>
          <t>NETTER</t>
        </is>
      </c>
    </row>
    <row r="2083">
      <c r="A2083" t="inlineStr">
        <is>
          <t>927538182434</t>
        </is>
      </c>
      <c r="B2083" t="inlineStr">
        <is>
          <t>TCX</t>
        </is>
      </c>
      <c r="C2083" t="inlineStr">
        <is>
          <t>BRNK</t>
        </is>
      </c>
      <c r="D2083" s="6" t="n">
        <v>46254</v>
      </c>
      <c r="E2083" t="inlineStr">
        <is>
          <t>CR</t>
        </is>
      </c>
      <c r="F2083" t="inlineStr">
        <is>
          <t>CNY</t>
        </is>
      </c>
      <c r="G2083" s="7" t="n">
        <v>107389.95</v>
      </c>
      <c r="H2083" t="inlineStr">
        <is>
          <t>GBP</t>
        </is>
      </c>
      <c r="I2083" s="7" t="n">
        <v>11705.505</v>
      </c>
      <c r="J2083" s="8" t="n">
        <v>46254.54399305556</v>
      </c>
      <c r="K2083" t="inlineStr">
        <is>
          <t>CF260820 02077</t>
        </is>
      </c>
      <c r="L2083" t="inlineStr">
        <is>
          <t>GL.NOSTRO.CNY.BRNK.006</t>
        </is>
      </c>
      <c r="M2083" t="inlineStr">
        <is>
          <t>Juniper Bank</t>
        </is>
      </c>
      <c r="N2083" t="inlineStr">
        <is>
          <t>BRNKCASH</t>
        </is>
      </c>
      <c r="O2083" t="inlineStr">
        <is>
          <t>NEW</t>
        </is>
      </c>
      <c r="Q2083" t="inlineStr">
        <is>
          <t>GROSS</t>
        </is>
      </c>
    </row>
    <row r="2084">
      <c r="A2084" t="inlineStr">
        <is>
          <t>150316825069</t>
        </is>
      </c>
      <c r="B2084" t="inlineStr">
        <is>
          <t>TCQ</t>
        </is>
      </c>
      <c r="C2084" t="inlineStr">
        <is>
          <t>BRGX</t>
        </is>
      </c>
      <c r="D2084" s="6" t="n">
        <v>46254</v>
      </c>
      <c r="E2084" t="inlineStr">
        <is>
          <t>CR</t>
        </is>
      </c>
      <c r="F2084" t="inlineStr">
        <is>
          <t>GBP</t>
        </is>
      </c>
      <c r="G2084" s="7" t="n">
        <v>137307801.925</v>
      </c>
      <c r="H2084" t="inlineStr">
        <is>
          <t>GBP</t>
        </is>
      </c>
      <c r="I2084" s="7" t="n">
        <v>137307801.925</v>
      </c>
      <c r="J2084" s="8" t="n">
        <v>46254.35976851852</v>
      </c>
      <c r="K2084" t="inlineStr">
        <is>
          <t>CF260820 02078</t>
        </is>
      </c>
      <c r="L2084" t="inlineStr">
        <is>
          <t>GL.NOSTRO.GBP.BRGX.002</t>
        </is>
      </c>
      <c r="M2084" t="inlineStr">
        <is>
          <t>Bramble Bank</t>
        </is>
      </c>
      <c r="N2084" t="inlineStr">
        <is>
          <t>BRGXCASH</t>
        </is>
      </c>
      <c r="O2084" t="inlineStr">
        <is>
          <t>NEW</t>
        </is>
      </c>
      <c r="Q2084" t="inlineStr">
        <is>
          <t>GROSS</t>
        </is>
      </c>
    </row>
    <row r="2085">
      <c r="A2085" t="inlineStr">
        <is>
          <t>794226063698</t>
        </is>
      </c>
      <c r="B2085" t="inlineStr">
        <is>
          <t>TCP</t>
        </is>
      </c>
      <c r="C2085" t="inlineStr">
        <is>
          <t>BRMD</t>
        </is>
      </c>
      <c r="D2085" s="6" t="n">
        <v>46254</v>
      </c>
      <c r="E2085" t="inlineStr">
        <is>
          <t>DR</t>
        </is>
      </c>
      <c r="F2085" t="inlineStr">
        <is>
          <t>AED</t>
        </is>
      </c>
      <c r="G2085" s="7" t="n">
        <v>-227833218.234</v>
      </c>
      <c r="H2085" t="inlineStr">
        <is>
          <t>GBP</t>
        </is>
      </c>
      <c r="I2085" s="7" t="n">
        <v>-48528475.484</v>
      </c>
      <c r="J2085" s="8" t="n">
        <v>46254.43739583333</v>
      </c>
      <c r="K2085" t="inlineStr">
        <is>
          <t>CF260820 02079</t>
        </is>
      </c>
      <c r="L2085" t="inlineStr">
        <is>
          <t>GL.NOSTRO.AED.BRMD.004</t>
        </is>
      </c>
      <c r="M2085" t="inlineStr">
        <is>
          <t>Wrenfield Commercial Bank</t>
        </is>
      </c>
      <c r="N2085" t="inlineStr">
        <is>
          <t>BRMDTRSY</t>
        </is>
      </c>
      <c r="O2085" t="inlineStr">
        <is>
          <t>NEW</t>
        </is>
      </c>
      <c r="P2085" t="inlineStr">
        <is>
          <t>NT26082000817</t>
        </is>
      </c>
      <c r="Q2085" t="inlineStr">
        <is>
          <t>NETTER</t>
        </is>
      </c>
    </row>
    <row r="2086">
      <c r="A2086" t="inlineStr">
        <is>
          <t>700726936098</t>
        </is>
      </c>
      <c r="B2086" t="inlineStr">
        <is>
          <t>TCC</t>
        </is>
      </c>
      <c r="C2086" t="inlineStr">
        <is>
          <t>BRMD</t>
        </is>
      </c>
      <c r="D2086" s="6" t="n">
        <v>46254</v>
      </c>
      <c r="E2086" t="inlineStr">
        <is>
          <t>DR</t>
        </is>
      </c>
      <c r="F2086" t="inlineStr">
        <is>
          <t>SAR</t>
        </is>
      </c>
      <c r="G2086" s="7" t="n">
        <v>-94216.16</v>
      </c>
      <c r="H2086" t="inlineStr">
        <is>
          <t>GBP</t>
        </is>
      </c>
      <c r="I2086" s="7" t="n">
        <v>-19691.177</v>
      </c>
      <c r="J2086" s="8" t="n">
        <v>46254.40712962963</v>
      </c>
      <c r="K2086" t="inlineStr">
        <is>
          <t>CF260820 02080</t>
        </is>
      </c>
      <c r="L2086" t="inlineStr">
        <is>
          <t>GL.NOSTRO.SAR.BRMD.009</t>
        </is>
      </c>
      <c r="M2086" t="inlineStr">
        <is>
          <t>Elmwood Trust</t>
        </is>
      </c>
      <c r="N2086" t="inlineStr">
        <is>
          <t>BRMDCASH</t>
        </is>
      </c>
      <c r="O2086" t="inlineStr">
        <is>
          <t>NEW</t>
        </is>
      </c>
      <c r="Q2086" t="inlineStr">
        <is>
          <t>GROSS</t>
        </is>
      </c>
    </row>
    <row r="2087">
      <c r="A2087" t="inlineStr">
        <is>
          <t>284925023085</t>
        </is>
      </c>
      <c r="B2087" t="inlineStr">
        <is>
          <t>TCC</t>
        </is>
      </c>
      <c r="C2087" t="inlineStr">
        <is>
          <t>BRMD</t>
        </is>
      </c>
      <c r="D2087" s="6" t="n">
        <v>46254</v>
      </c>
      <c r="E2087" t="inlineStr">
        <is>
          <t>DR</t>
        </is>
      </c>
      <c r="F2087" t="inlineStr">
        <is>
          <t>MXN</t>
        </is>
      </c>
      <c r="G2087" s="7" t="n">
        <v>-1914864.818</v>
      </c>
      <c r="H2087" t="inlineStr">
        <is>
          <t>GBP</t>
        </is>
      </c>
      <c r="I2087" s="7" t="n">
        <v>-81956.21400000001</v>
      </c>
      <c r="J2087" s="8" t="n">
        <v>46254.31707175926</v>
      </c>
      <c r="K2087" t="inlineStr">
        <is>
          <t>CF260820 02081</t>
        </is>
      </c>
      <c r="L2087" t="inlineStr">
        <is>
          <t>GL.NOSTRO.MXN.BRMD.002</t>
        </is>
      </c>
      <c r="M2087" t="inlineStr">
        <is>
          <t>Sablewood Settlement Bank</t>
        </is>
      </c>
      <c r="N2087" t="inlineStr">
        <is>
          <t>BRMD</t>
        </is>
      </c>
      <c r="O2087" t="inlineStr">
        <is>
          <t>AMEND</t>
        </is>
      </c>
      <c r="P2087" t="inlineStr">
        <is>
          <t>NT26082000795</t>
        </is>
      </c>
      <c r="Q2087" t="inlineStr">
        <is>
          <t>GROSS</t>
        </is>
      </c>
    </row>
    <row r="2088">
      <c r="A2088" t="inlineStr">
        <is>
          <t>968942362772</t>
        </is>
      </c>
      <c r="B2088" t="inlineStr">
        <is>
          <t>TCQ</t>
        </is>
      </c>
      <c r="C2088" t="inlineStr">
        <is>
          <t>BRYG</t>
        </is>
      </c>
      <c r="D2088" s="6" t="n">
        <v>46254</v>
      </c>
      <c r="E2088" t="inlineStr">
        <is>
          <t>CR</t>
        </is>
      </c>
      <c r="F2088" t="inlineStr">
        <is>
          <t>EUR</t>
        </is>
      </c>
      <c r="G2088" s="7" t="n">
        <v>53976840.246</v>
      </c>
      <c r="H2088" t="inlineStr">
        <is>
          <t>GBP</t>
        </is>
      </c>
      <c r="I2088" s="7" t="n">
        <v>46312128.931</v>
      </c>
      <c r="J2088" s="8" t="n">
        <v>46254.4378125</v>
      </c>
      <c r="K2088" t="inlineStr">
        <is>
          <t>CF260820 02082</t>
        </is>
      </c>
      <c r="L2088" t="inlineStr">
        <is>
          <t>GL.NOSTRO.EUR.BRYG.008</t>
        </is>
      </c>
      <c r="M2088" t="inlineStr">
        <is>
          <t>Mallow Trust</t>
        </is>
      </c>
      <c r="N2088" t="inlineStr">
        <is>
          <t>BRYGCASH</t>
        </is>
      </c>
      <c r="O2088" t="inlineStr">
        <is>
          <t>CANCEL</t>
        </is>
      </c>
      <c r="Q2088" t="inlineStr">
        <is>
          <t>GROSS</t>
        </is>
      </c>
    </row>
    <row r="2089">
      <c r="A2089" t="inlineStr">
        <is>
          <t>150316825069</t>
        </is>
      </c>
      <c r="B2089" t="inlineStr">
        <is>
          <t>TCG</t>
        </is>
      </c>
      <c r="C2089" t="inlineStr">
        <is>
          <t>BRGX</t>
        </is>
      </c>
      <c r="D2089" s="6" t="n">
        <v>46254</v>
      </c>
      <c r="E2089" t="inlineStr">
        <is>
          <t>DR</t>
        </is>
      </c>
      <c r="F2089" t="inlineStr">
        <is>
          <t>GBP</t>
        </is>
      </c>
      <c r="G2089" s="7" t="n">
        <v>-7537948.923</v>
      </c>
      <c r="H2089" t="inlineStr">
        <is>
          <t>GBP</t>
        </is>
      </c>
      <c r="I2089" s="7" t="n">
        <v>-7537948.923</v>
      </c>
      <c r="J2089" s="8" t="n">
        <v>46254.70354166667</v>
      </c>
      <c r="K2089" t="inlineStr">
        <is>
          <t>CF260820 02083</t>
        </is>
      </c>
      <c r="L2089" t="inlineStr">
        <is>
          <t>GL.NOSTRO.GBP.BRGX.009</t>
        </is>
      </c>
      <c r="M2089" t="inlineStr">
        <is>
          <t>Umberton Commercial Bank</t>
        </is>
      </c>
      <c r="N2089" t="inlineStr">
        <is>
          <t>BRGXCASH</t>
        </is>
      </c>
      <c r="O2089" t="inlineStr">
        <is>
          <t>NEW</t>
        </is>
      </c>
      <c r="Q2089" t="inlineStr">
        <is>
          <t>GROSS</t>
        </is>
      </c>
    </row>
    <row r="2090">
      <c r="A2090" t="inlineStr">
        <is>
          <t>468341071172</t>
        </is>
      </c>
      <c r="B2090" t="inlineStr">
        <is>
          <t>TCG</t>
        </is>
      </c>
      <c r="C2090" t="inlineStr">
        <is>
          <t>BRCC</t>
        </is>
      </c>
      <c r="D2090" s="6" t="n">
        <v>46254</v>
      </c>
      <c r="E2090" t="inlineStr">
        <is>
          <t>DR</t>
        </is>
      </c>
      <c r="F2090" t="inlineStr">
        <is>
          <t>EUR</t>
        </is>
      </c>
      <c r="G2090" s="7" t="n">
        <v>-1465291.949</v>
      </c>
      <c r="H2090" t="inlineStr">
        <is>
          <t>GBP</t>
        </is>
      </c>
      <c r="I2090" s="7" t="n">
        <v>-1257220.492</v>
      </c>
      <c r="J2090" s="8" t="n">
        <v>46254.0952662037</v>
      </c>
      <c r="K2090" t="inlineStr">
        <is>
          <t>CF260820 02084</t>
        </is>
      </c>
      <c r="L2090" t="inlineStr">
        <is>
          <t>GL.NOSTRO.EUR.BRCC.006</t>
        </is>
      </c>
      <c r="M2090" t="inlineStr">
        <is>
          <t>Harrow Clearing</t>
        </is>
      </c>
      <c r="N2090" t="inlineStr">
        <is>
          <t>BRCCCASH</t>
        </is>
      </c>
      <c r="O2090" t="inlineStr">
        <is>
          <t>NEW</t>
        </is>
      </c>
      <c r="Q2090" t="inlineStr">
        <is>
          <t>NETTER</t>
        </is>
      </c>
    </row>
    <row r="2091">
      <c r="A2091" t="inlineStr">
        <is>
          <t>150316825069</t>
        </is>
      </c>
      <c r="B2091" t="inlineStr">
        <is>
          <t>TCQ</t>
        </is>
      </c>
      <c r="C2091" t="inlineStr">
        <is>
          <t>BRGX</t>
        </is>
      </c>
      <c r="D2091" s="6" t="n">
        <v>46254</v>
      </c>
      <c r="E2091" t="inlineStr">
        <is>
          <t>DR</t>
        </is>
      </c>
      <c r="F2091" t="inlineStr">
        <is>
          <t>GBP</t>
        </is>
      </c>
      <c r="G2091" s="7" t="n">
        <v>-6219639.054</v>
      </c>
      <c r="H2091" t="inlineStr">
        <is>
          <t>GBP</t>
        </is>
      </c>
      <c r="I2091" s="7" t="n">
        <v>-6219639.054</v>
      </c>
      <c r="J2091" s="8" t="n">
        <v>46254.7228587963</v>
      </c>
      <c r="K2091" t="inlineStr">
        <is>
          <t>CF260820 02085</t>
        </is>
      </c>
      <c r="L2091" t="inlineStr">
        <is>
          <t>GL.NOSTRO.GBP.BRGX.006</t>
        </is>
      </c>
      <c r="M2091" t="inlineStr">
        <is>
          <t>Granite Bank</t>
        </is>
      </c>
      <c r="N2091" t="inlineStr">
        <is>
          <t>BRGXTRSY</t>
        </is>
      </c>
      <c r="O2091" t="inlineStr">
        <is>
          <t>NEW</t>
        </is>
      </c>
      <c r="P2091" t="inlineStr">
        <is>
          <t>NT26082000809</t>
        </is>
      </c>
      <c r="Q2091" t="inlineStr">
        <is>
          <t>NETTER</t>
        </is>
      </c>
    </row>
    <row r="2092">
      <c r="A2092" t="inlineStr">
        <is>
          <t>898317028833</t>
        </is>
      </c>
      <c r="B2092" t="inlineStr">
        <is>
          <t>TCC</t>
        </is>
      </c>
      <c r="C2092" t="inlineStr">
        <is>
          <t>BRAA</t>
        </is>
      </c>
      <c r="D2092" s="6" t="n">
        <v>46254</v>
      </c>
      <c r="E2092" t="inlineStr">
        <is>
          <t>CR</t>
        </is>
      </c>
      <c r="F2092" t="inlineStr">
        <is>
          <t>GBP</t>
        </is>
      </c>
      <c r="G2092" s="7" t="n">
        <v>9068426.401000001</v>
      </c>
      <c r="H2092" t="inlineStr">
        <is>
          <t>GBP</t>
        </is>
      </c>
      <c r="I2092" s="7" t="n">
        <v>9068426.401000001</v>
      </c>
      <c r="J2092" s="8" t="n">
        <v>46254.42981481482</v>
      </c>
      <c r="K2092" t="inlineStr">
        <is>
          <t>CF260820 02086</t>
        </is>
      </c>
      <c r="L2092" t="inlineStr">
        <is>
          <t>GL.NOSTRO.GBP.BRAA.009</t>
        </is>
      </c>
      <c r="M2092" t="inlineStr">
        <is>
          <t>Vetchling Bank</t>
        </is>
      </c>
      <c r="N2092" t="inlineStr">
        <is>
          <t>BRAATRSY</t>
        </is>
      </c>
      <c r="O2092" t="inlineStr">
        <is>
          <t>NEW</t>
        </is>
      </c>
      <c r="Q2092" t="inlineStr">
        <is>
          <t>GROSS</t>
        </is>
      </c>
    </row>
    <row r="2093">
      <c r="A2093" t="inlineStr">
        <is>
          <t>794226063698</t>
        </is>
      </c>
      <c r="B2093" t="inlineStr">
        <is>
          <t>TCP</t>
        </is>
      </c>
      <c r="C2093" t="inlineStr">
        <is>
          <t>BRMD</t>
        </is>
      </c>
      <c r="D2093" s="6" t="n">
        <v>46254</v>
      </c>
      <c r="E2093" t="inlineStr">
        <is>
          <t>DR</t>
        </is>
      </c>
      <c r="F2093" t="inlineStr">
        <is>
          <t>AED</t>
        </is>
      </c>
      <c r="G2093" s="7" t="n">
        <v>-968707.357</v>
      </c>
      <c r="H2093" t="inlineStr">
        <is>
          <t>GBP</t>
        </is>
      </c>
      <c r="I2093" s="7" t="n">
        <v>-206334.667</v>
      </c>
      <c r="J2093" s="8" t="n">
        <v>46254.33370370371</v>
      </c>
      <c r="K2093" t="inlineStr">
        <is>
          <t>CF260820 02087</t>
        </is>
      </c>
      <c r="L2093" t="inlineStr">
        <is>
          <t>GL.NOSTRO.AED.BRMD.004</t>
        </is>
      </c>
      <c r="M2093" t="inlineStr">
        <is>
          <t>Yarrow Bank</t>
        </is>
      </c>
      <c r="N2093" t="inlineStr">
        <is>
          <t>BRMDTRSY</t>
        </is>
      </c>
      <c r="O2093" t="inlineStr">
        <is>
          <t>NEW</t>
        </is>
      </c>
      <c r="P2093" t="inlineStr">
        <is>
          <t>NT26082000806</t>
        </is>
      </c>
      <c r="Q2093" t="inlineStr">
        <is>
          <t>GROSS</t>
        </is>
      </c>
    </row>
    <row r="2094">
      <c r="A2094" t="inlineStr">
        <is>
          <t>132544340094</t>
        </is>
      </c>
      <c r="B2094" t="inlineStr">
        <is>
          <t>TCC</t>
        </is>
      </c>
      <c r="C2094" t="inlineStr">
        <is>
          <t>BRYG</t>
        </is>
      </c>
      <c r="D2094" s="6" t="n">
        <v>46254</v>
      </c>
      <c r="E2094" t="inlineStr">
        <is>
          <t>CR</t>
        </is>
      </c>
      <c r="F2094" t="inlineStr">
        <is>
          <t>CZK</t>
        </is>
      </c>
      <c r="G2094" s="7" t="n">
        <v>382256530.779</v>
      </c>
      <c r="H2094" t="inlineStr">
        <is>
          <t>GBP</t>
        </is>
      </c>
      <c r="I2094" s="7" t="n">
        <v>12958496.393</v>
      </c>
      <c r="J2094" s="8" t="n">
        <v>46254.38840277777</v>
      </c>
      <c r="K2094" t="inlineStr">
        <is>
          <t>CF260820 02088</t>
        </is>
      </c>
      <c r="L2094" t="inlineStr">
        <is>
          <t>GL.NOSTRO.CZK.BRYG.005</t>
        </is>
      </c>
      <c r="M2094" t="inlineStr">
        <is>
          <t>Wrenfield Commercial Bank</t>
        </is>
      </c>
      <c r="N2094" t="inlineStr">
        <is>
          <t>BRYGCASH</t>
        </is>
      </c>
      <c r="O2094" t="inlineStr">
        <is>
          <t>NEW</t>
        </is>
      </c>
      <c r="Q2094" t="inlineStr">
        <is>
          <t>NETTER</t>
        </is>
      </c>
    </row>
    <row r="2095">
      <c r="A2095" t="inlineStr">
        <is>
          <t>700726936098</t>
        </is>
      </c>
      <c r="B2095" t="inlineStr">
        <is>
          <t>TCX</t>
        </is>
      </c>
      <c r="C2095" t="inlineStr">
        <is>
          <t>BRMD</t>
        </is>
      </c>
      <c r="D2095" s="6" t="n">
        <v>46254</v>
      </c>
      <c r="E2095" t="inlineStr">
        <is>
          <t>DR</t>
        </is>
      </c>
      <c r="F2095" t="inlineStr">
        <is>
          <t>SAR</t>
        </is>
      </c>
      <c r="G2095" s="7" t="n">
        <v>-421898939.231</v>
      </c>
      <c r="H2095" t="inlineStr">
        <is>
          <t>GBP</t>
        </is>
      </c>
      <c r="I2095" s="7" t="n">
        <v>-88176878.29899999</v>
      </c>
      <c r="J2095" s="8" t="n">
        <v>46254.69564814815</v>
      </c>
      <c r="K2095" t="inlineStr">
        <is>
          <t>CF260820 02089</t>
        </is>
      </c>
      <c r="L2095" t="inlineStr">
        <is>
          <t>GL.NOSTRO.SAR.BRMD.009</t>
        </is>
      </c>
      <c r="M2095" t="inlineStr">
        <is>
          <t>Fernway Settlement Bank</t>
        </is>
      </c>
      <c r="N2095" t="inlineStr">
        <is>
          <t>BRMD</t>
        </is>
      </c>
      <c r="O2095" t="inlineStr">
        <is>
          <t>NEW</t>
        </is>
      </c>
      <c r="P2095" t="inlineStr">
        <is>
          <t>NT26082000814</t>
        </is>
      </c>
      <c r="Q2095" t="inlineStr">
        <is>
          <t>NETTER</t>
        </is>
      </c>
    </row>
    <row r="2096">
      <c r="A2096" t="inlineStr">
        <is>
          <t>968942362772</t>
        </is>
      </c>
      <c r="B2096" t="inlineStr">
        <is>
          <t>TCX</t>
        </is>
      </c>
      <c r="C2096" t="inlineStr">
        <is>
          <t>BRYG</t>
        </is>
      </c>
      <c r="D2096" s="6" t="n">
        <v>46254</v>
      </c>
      <c r="E2096" t="inlineStr">
        <is>
          <t>CR</t>
        </is>
      </c>
      <c r="F2096" t="inlineStr">
        <is>
          <t>EUR</t>
        </is>
      </c>
      <c r="G2096" s="7" t="n">
        <v>658225419.489</v>
      </c>
      <c r="H2096" t="inlineStr">
        <is>
          <t>GBP</t>
        </is>
      </c>
      <c r="I2096" s="7" t="n">
        <v>564757409.9220001</v>
      </c>
      <c r="J2096" s="8" t="n">
        <v>46254.45456018519</v>
      </c>
      <c r="K2096" t="inlineStr">
        <is>
          <t>CF260820 02090</t>
        </is>
      </c>
      <c r="L2096" t="inlineStr">
        <is>
          <t>GL.NOSTRO.EUR.BRYG.006</t>
        </is>
      </c>
      <c r="M2096" t="inlineStr">
        <is>
          <t>Wrenfield Settlement Bank</t>
        </is>
      </c>
      <c r="N2096" t="inlineStr">
        <is>
          <t>BRYGCASH</t>
        </is>
      </c>
      <c r="O2096" t="inlineStr">
        <is>
          <t>NEW</t>
        </is>
      </c>
      <c r="P2096" t="inlineStr">
        <is>
          <t>NT26082000822</t>
        </is>
      </c>
      <c r="Q2096" t="inlineStr">
        <is>
          <t>GROSS</t>
        </is>
      </c>
    </row>
    <row r="2097">
      <c r="A2097" t="inlineStr">
        <is>
          <t>794226063698</t>
        </is>
      </c>
      <c r="B2097" t="inlineStr">
        <is>
          <t>TCP</t>
        </is>
      </c>
      <c r="C2097" t="inlineStr">
        <is>
          <t>BRMD</t>
        </is>
      </c>
      <c r="D2097" s="6" t="n">
        <v>46254</v>
      </c>
      <c r="E2097" t="inlineStr">
        <is>
          <t>DR</t>
        </is>
      </c>
      <c r="F2097" t="inlineStr">
        <is>
          <t>AED</t>
        </is>
      </c>
      <c r="G2097" s="7" t="n">
        <v>-14780.121</v>
      </c>
      <c r="H2097" t="inlineStr">
        <is>
          <t>GBP</t>
        </is>
      </c>
      <c r="I2097" s="7" t="n">
        <v>-3148.166</v>
      </c>
      <c r="J2097" s="8" t="n">
        <v>46254.73930555556</v>
      </c>
      <c r="K2097" t="inlineStr">
        <is>
          <t>CF260820 02091</t>
        </is>
      </c>
      <c r="L2097" t="inlineStr">
        <is>
          <t>GL.NOSTRO.AED.BRMD.002</t>
        </is>
      </c>
      <c r="M2097" t="inlineStr">
        <is>
          <t>Pinehurst Settlement Bank</t>
        </is>
      </c>
      <c r="N2097" t="inlineStr">
        <is>
          <t>BRMD</t>
        </is>
      </c>
      <c r="O2097" t="inlineStr">
        <is>
          <t>NEW</t>
        </is>
      </c>
      <c r="P2097" t="inlineStr">
        <is>
          <t>NT26082000814</t>
        </is>
      </c>
      <c r="Q2097" t="inlineStr">
        <is>
          <t>NETTER</t>
        </is>
      </c>
    </row>
    <row r="2098">
      <c r="A2098" t="inlineStr">
        <is>
          <t>968942362772</t>
        </is>
      </c>
      <c r="B2098" t="inlineStr">
        <is>
          <t>TCX</t>
        </is>
      </c>
      <c r="C2098" t="inlineStr">
        <is>
          <t>BRYG</t>
        </is>
      </c>
      <c r="D2098" s="6" t="n">
        <v>46254</v>
      </c>
      <c r="E2098" t="inlineStr">
        <is>
          <t>DR</t>
        </is>
      </c>
      <c r="F2098" t="inlineStr">
        <is>
          <t>EUR</t>
        </is>
      </c>
      <c r="G2098" s="7" t="n">
        <v>-245711347.551</v>
      </c>
      <c r="H2098" t="inlineStr">
        <is>
          <t>GBP</t>
        </is>
      </c>
      <c r="I2098" s="7" t="n">
        <v>-210820336.199</v>
      </c>
      <c r="J2098" s="8" t="n">
        <v>46254.48153935185</v>
      </c>
      <c r="K2098" t="inlineStr">
        <is>
          <t>CF260820 02092</t>
        </is>
      </c>
      <c r="L2098" t="inlineStr">
        <is>
          <t>GL.NOSTRO.EUR.BRYG.009</t>
        </is>
      </c>
      <c r="M2098" t="inlineStr">
        <is>
          <t>Umberton Commercial Bank</t>
        </is>
      </c>
      <c r="N2098" t="inlineStr">
        <is>
          <t>BRYGCASH</t>
        </is>
      </c>
      <c r="O2098" t="inlineStr">
        <is>
          <t>NEW</t>
        </is>
      </c>
      <c r="Q2098" t="inlineStr">
        <is>
          <t>INTERNAL</t>
        </is>
      </c>
    </row>
    <row r="2099">
      <c r="A2099" t="inlineStr">
        <is>
          <t>794226063698</t>
        </is>
      </c>
      <c r="B2099" t="inlineStr">
        <is>
          <t>TCC</t>
        </is>
      </c>
      <c r="C2099" t="inlineStr">
        <is>
          <t>BRMD</t>
        </is>
      </c>
      <c r="D2099" s="6" t="n">
        <v>46254</v>
      </c>
      <c r="E2099" t="inlineStr">
        <is>
          <t>DR</t>
        </is>
      </c>
      <c r="F2099" t="inlineStr">
        <is>
          <t>AED</t>
        </is>
      </c>
      <c r="G2099" s="7" t="n">
        <v>-218662339.207</v>
      </c>
      <c r="H2099" t="inlineStr">
        <is>
          <t>GBP</t>
        </is>
      </c>
      <c r="I2099" s="7" t="n">
        <v>-46575078.251</v>
      </c>
      <c r="J2099" s="8" t="n">
        <v>46254.29258101852</v>
      </c>
      <c r="K2099" t="inlineStr">
        <is>
          <t>CF260820 02093</t>
        </is>
      </c>
      <c r="L2099" t="inlineStr">
        <is>
          <t>GL.NOSTRO.AED.BRMD.002</t>
        </is>
      </c>
      <c r="M2099" t="inlineStr">
        <is>
          <t>Sablewood Settlement Bank</t>
        </is>
      </c>
      <c r="N2099" t="inlineStr">
        <is>
          <t>BRMDMM</t>
        </is>
      </c>
      <c r="O2099" t="inlineStr">
        <is>
          <t>NEW</t>
        </is>
      </c>
      <c r="P2099" t="inlineStr">
        <is>
          <t>NT26082000790</t>
        </is>
      </c>
      <c r="Q2099" t="inlineStr">
        <is>
          <t>NETTER</t>
        </is>
      </c>
    </row>
    <row r="2100">
      <c r="A2100" t="inlineStr">
        <is>
          <t>968942362772</t>
        </is>
      </c>
      <c r="B2100" t="inlineStr">
        <is>
          <t>TCQ</t>
        </is>
      </c>
      <c r="C2100" t="inlineStr">
        <is>
          <t>BRYG</t>
        </is>
      </c>
      <c r="D2100" s="6" t="n">
        <v>46254</v>
      </c>
      <c r="E2100" t="inlineStr">
        <is>
          <t>CR</t>
        </is>
      </c>
      <c r="F2100" t="inlineStr">
        <is>
          <t>EUR</t>
        </is>
      </c>
      <c r="G2100" s="7" t="n">
        <v>672787950.681</v>
      </c>
      <c r="H2100" t="inlineStr">
        <is>
          <t>GBP</t>
        </is>
      </c>
      <c r="I2100" s="7" t="n">
        <v>577252061.684</v>
      </c>
      <c r="J2100" s="8" t="n">
        <v>46254.41478009259</v>
      </c>
      <c r="K2100" t="inlineStr">
        <is>
          <t>CF260820 02094</t>
        </is>
      </c>
      <c r="L2100" t="inlineStr">
        <is>
          <t>GL.NOSTRO.EUR.BRYG.005</t>
        </is>
      </c>
      <c r="M2100" t="inlineStr">
        <is>
          <t>Vetchling Commercial Bank</t>
        </is>
      </c>
      <c r="N2100" t="inlineStr">
        <is>
          <t>BRYGMM</t>
        </is>
      </c>
      <c r="O2100" t="inlineStr">
        <is>
          <t>NEW</t>
        </is>
      </c>
      <c r="Q2100" t="inlineStr">
        <is>
          <t>NETTER</t>
        </is>
      </c>
    </row>
    <row r="2101">
      <c r="A2101" t="inlineStr">
        <is>
          <t>468341071172</t>
        </is>
      </c>
      <c r="B2101" t="inlineStr">
        <is>
          <t>TCP</t>
        </is>
      </c>
      <c r="C2101" t="inlineStr">
        <is>
          <t>BRCC</t>
        </is>
      </c>
      <c r="D2101" s="6" t="n">
        <v>46254</v>
      </c>
      <c r="E2101" t="inlineStr">
        <is>
          <t>DR</t>
        </is>
      </c>
      <c r="F2101" t="inlineStr">
        <is>
          <t>EUR</t>
        </is>
      </c>
      <c r="G2101" s="7" t="n">
        <v>-59003.008</v>
      </c>
      <c r="H2101" t="inlineStr">
        <is>
          <t>GBP</t>
        </is>
      </c>
      <c r="I2101" s="7" t="n">
        <v>-50624.581</v>
      </c>
      <c r="J2101" s="8" t="n">
        <v>46254.39376157407</v>
      </c>
      <c r="K2101" t="inlineStr">
        <is>
          <t>CF260820 02095</t>
        </is>
      </c>
      <c r="L2101" t="inlineStr">
        <is>
          <t>GL.NOSTRO.EUR.BRCC.009</t>
        </is>
      </c>
      <c r="M2101" t="inlineStr">
        <is>
          <t>Elmwood Bank</t>
        </is>
      </c>
      <c r="N2101" t="inlineStr">
        <is>
          <t>BRCCCASH</t>
        </is>
      </c>
      <c r="O2101" t="inlineStr">
        <is>
          <t>NEW</t>
        </is>
      </c>
      <c r="Q2101" t="inlineStr">
        <is>
          <t>GROSS</t>
        </is>
      </c>
    </row>
    <row r="2102">
      <c r="A2102" t="inlineStr">
        <is>
          <t>150316825069</t>
        </is>
      </c>
      <c r="B2102" t="inlineStr">
        <is>
          <t>TCC</t>
        </is>
      </c>
      <c r="C2102" t="inlineStr">
        <is>
          <t>BRGX</t>
        </is>
      </c>
      <c r="D2102" s="6" t="n">
        <v>46254</v>
      </c>
      <c r="E2102" t="inlineStr">
        <is>
          <t>CR</t>
        </is>
      </c>
      <c r="F2102" t="inlineStr">
        <is>
          <t>GBP</t>
        </is>
      </c>
      <c r="G2102" s="7" t="n">
        <v>6069062.675</v>
      </c>
      <c r="H2102" t="inlineStr">
        <is>
          <t>GBP</t>
        </is>
      </c>
      <c r="I2102" s="7" t="n">
        <v>6069062.675</v>
      </c>
      <c r="J2102" s="8" t="n">
        <v>46254.27179398148</v>
      </c>
      <c r="K2102" t="inlineStr">
        <is>
          <t>CF260820 02096</t>
        </is>
      </c>
      <c r="L2102" t="inlineStr">
        <is>
          <t>GL.NOSTRO.GBP.BRGX.001</t>
        </is>
      </c>
      <c r="M2102" t="inlineStr">
        <is>
          <t>Bramble Bank</t>
        </is>
      </c>
      <c r="N2102" t="inlineStr">
        <is>
          <t>BRGX</t>
        </is>
      </c>
      <c r="O2102" t="inlineStr">
        <is>
          <t>NEW</t>
        </is>
      </c>
      <c r="P2102" t="inlineStr">
        <is>
          <t>NT26082000816</t>
        </is>
      </c>
      <c r="Q2102" t="inlineStr">
        <is>
          <t>NETTER</t>
        </is>
      </c>
    </row>
    <row r="2103">
      <c r="A2103" t="inlineStr">
        <is>
          <t>265771593142</t>
        </is>
      </c>
      <c r="B2103" t="inlineStr">
        <is>
          <t>TCC</t>
        </is>
      </c>
      <c r="C2103" t="inlineStr">
        <is>
          <t>BRYG</t>
        </is>
      </c>
      <c r="D2103" s="6" t="n">
        <v>46254</v>
      </c>
      <c r="E2103" t="inlineStr">
        <is>
          <t>DR</t>
        </is>
      </c>
      <c r="F2103" t="inlineStr">
        <is>
          <t>EUR</t>
        </is>
      </c>
      <c r="G2103" s="7" t="n">
        <v>-9454433.506999999</v>
      </c>
      <c r="H2103" t="inlineStr">
        <is>
          <t>GBP</t>
        </is>
      </c>
      <c r="I2103" s="7" t="n">
        <v>-8111903.949</v>
      </c>
      <c r="J2103" s="8" t="n">
        <v>46254.33311342593</v>
      </c>
      <c r="K2103" t="inlineStr">
        <is>
          <t>CF260820 02097</t>
        </is>
      </c>
      <c r="L2103" t="inlineStr">
        <is>
          <t>GL.NOSTRO.EUR.BRYG.009</t>
        </is>
      </c>
      <c r="M2103" t="inlineStr">
        <is>
          <t>Sablewood Settlement Bank</t>
        </is>
      </c>
      <c r="N2103" t="inlineStr">
        <is>
          <t>BRYGCASH</t>
        </is>
      </c>
      <c r="O2103" t="inlineStr">
        <is>
          <t>NEW</t>
        </is>
      </c>
      <c r="P2103" t="inlineStr">
        <is>
          <t>NT26082000798</t>
        </is>
      </c>
      <c r="Q2103" t="inlineStr">
        <is>
          <t>NETTER</t>
        </is>
      </c>
    </row>
    <row r="2104">
      <c r="A2104" t="inlineStr">
        <is>
          <t>132544340094</t>
        </is>
      </c>
      <c r="B2104" t="inlineStr">
        <is>
          <t>TCC</t>
        </is>
      </c>
      <c r="C2104" t="inlineStr">
        <is>
          <t>BRYG</t>
        </is>
      </c>
      <c r="D2104" s="6" t="n">
        <v>46254</v>
      </c>
      <c r="E2104" t="inlineStr">
        <is>
          <t>DR</t>
        </is>
      </c>
      <c r="F2104" t="inlineStr">
        <is>
          <t>CZK</t>
        </is>
      </c>
      <c r="G2104" s="7" t="n">
        <v>-7295413.637</v>
      </c>
      <c r="H2104" t="inlineStr">
        <is>
          <t>GBP</t>
        </is>
      </c>
      <c r="I2104" s="7" t="n">
        <v>-247314.522</v>
      </c>
      <c r="J2104" s="8" t="n">
        <v>46254.35341435186</v>
      </c>
      <c r="K2104" t="inlineStr">
        <is>
          <t>CF260820 02098</t>
        </is>
      </c>
      <c r="L2104" t="inlineStr">
        <is>
          <t>GL.NOSTRO.CZK.BRYG.007</t>
        </is>
      </c>
      <c r="M2104" t="inlineStr">
        <is>
          <t>Pinehurst Bank</t>
        </is>
      </c>
      <c r="N2104" t="inlineStr">
        <is>
          <t>BRYG</t>
        </is>
      </c>
      <c r="O2104" t="inlineStr">
        <is>
          <t>NEW</t>
        </is>
      </c>
      <c r="Q2104" t="inlineStr">
        <is>
          <t>INTERNAL</t>
        </is>
      </c>
    </row>
    <row r="2105">
      <c r="A2105" t="inlineStr">
        <is>
          <t>968942362772</t>
        </is>
      </c>
      <c r="B2105" t="inlineStr">
        <is>
          <t>TCP</t>
        </is>
      </c>
      <c r="C2105" t="inlineStr">
        <is>
          <t>BRYG</t>
        </is>
      </c>
      <c r="D2105" s="6" t="n">
        <v>46254</v>
      </c>
      <c r="E2105" t="inlineStr">
        <is>
          <t>DR</t>
        </is>
      </c>
      <c r="F2105" t="inlineStr">
        <is>
          <t>EUR</t>
        </is>
      </c>
      <c r="G2105" s="7" t="n">
        <v>-57104.969</v>
      </c>
      <c r="H2105" t="inlineStr">
        <is>
          <t>GBP</t>
        </is>
      </c>
      <c r="I2105" s="7" t="n">
        <v>-48996.063</v>
      </c>
      <c r="J2105" s="8" t="n">
        <v>46254.74576388889</v>
      </c>
      <c r="K2105" t="inlineStr">
        <is>
          <t>CF260820 02099</t>
        </is>
      </c>
      <c r="L2105" t="inlineStr">
        <is>
          <t>GL.NOSTRO.EUR.BRYG.002</t>
        </is>
      </c>
      <c r="M2105" t="inlineStr">
        <is>
          <t>Mallow Trust</t>
        </is>
      </c>
      <c r="N2105" t="inlineStr">
        <is>
          <t>BRYGCASH</t>
        </is>
      </c>
      <c r="O2105" t="inlineStr">
        <is>
          <t>AMEND</t>
        </is>
      </c>
      <c r="Q2105" t="inlineStr">
        <is>
          <t>INTERNAL</t>
        </is>
      </c>
    </row>
    <row r="2106">
      <c r="A2106" t="inlineStr">
        <is>
          <t>468341071172</t>
        </is>
      </c>
      <c r="B2106" t="inlineStr">
        <is>
          <t>TCQ</t>
        </is>
      </c>
      <c r="C2106" t="inlineStr">
        <is>
          <t>BRCC</t>
        </is>
      </c>
      <c r="D2106" s="6" t="n">
        <v>46254</v>
      </c>
      <c r="E2106" t="inlineStr">
        <is>
          <t>DR</t>
        </is>
      </c>
      <c r="F2106" t="inlineStr">
        <is>
          <t>EUR</t>
        </is>
      </c>
      <c r="G2106" s="7" t="n">
        <v>-1892597.608</v>
      </c>
      <c r="H2106" t="inlineStr">
        <is>
          <t>GBP</t>
        </is>
      </c>
      <c r="I2106" s="7" t="n">
        <v>-1623848.748</v>
      </c>
      <c r="J2106" s="8" t="n">
        <v>46254.58650462963</v>
      </c>
      <c r="K2106" t="inlineStr">
        <is>
          <t>CF260820 02100</t>
        </is>
      </c>
      <c r="L2106" t="inlineStr">
        <is>
          <t>GL.NOSTRO.EUR.BRCC.008</t>
        </is>
      </c>
      <c r="M2106" t="inlineStr">
        <is>
          <t>Sablewood Bank</t>
        </is>
      </c>
      <c r="N2106" t="inlineStr">
        <is>
          <t>BRCC</t>
        </is>
      </c>
      <c r="O2106" t="inlineStr">
        <is>
          <t>AMEND</t>
        </is>
      </c>
      <c r="Q2106" t="inlineStr">
        <is>
          <t>INTERNAL</t>
        </is>
      </c>
    </row>
    <row r="2107">
      <c r="A2107" t="inlineStr">
        <is>
          <t>726928343448</t>
        </is>
      </c>
      <c r="B2107" t="inlineStr">
        <is>
          <t>TCG</t>
        </is>
      </c>
      <c r="C2107" t="inlineStr">
        <is>
          <t>BRGX</t>
        </is>
      </c>
      <c r="D2107" s="6" t="n">
        <v>46254</v>
      </c>
      <c r="E2107" t="inlineStr">
        <is>
          <t>DR</t>
        </is>
      </c>
      <c r="F2107" t="inlineStr">
        <is>
          <t>EUR</t>
        </is>
      </c>
      <c r="G2107" s="7" t="n">
        <v>-399609686.834</v>
      </c>
      <c r="H2107" t="inlineStr">
        <is>
          <t>GBP</t>
        </is>
      </c>
      <c r="I2107" s="7" t="n">
        <v>-342865111.304</v>
      </c>
      <c r="J2107" s="8" t="n">
        <v>46254.38783564815</v>
      </c>
      <c r="K2107" t="inlineStr">
        <is>
          <t>CF260820 02101</t>
        </is>
      </c>
      <c r="L2107" t="inlineStr">
        <is>
          <t>GL.NOSTRO.EUR.BRGX.006</t>
        </is>
      </c>
      <c r="M2107" t="inlineStr">
        <is>
          <t>Wrenfield Settlement Bank</t>
        </is>
      </c>
      <c r="N2107" t="inlineStr">
        <is>
          <t>BRGX</t>
        </is>
      </c>
      <c r="O2107" t="inlineStr">
        <is>
          <t>NEW</t>
        </is>
      </c>
      <c r="Q2107" t="inlineStr">
        <is>
          <t>NETTER</t>
        </is>
      </c>
    </row>
    <row r="2108">
      <c r="A2108" t="inlineStr">
        <is>
          <t>150316825069</t>
        </is>
      </c>
      <c r="B2108" t="inlineStr">
        <is>
          <t>TCC</t>
        </is>
      </c>
      <c r="C2108" t="inlineStr">
        <is>
          <t>BRGX</t>
        </is>
      </c>
      <c r="D2108" s="6" t="n">
        <v>46254</v>
      </c>
      <c r="E2108" t="inlineStr">
        <is>
          <t>DR</t>
        </is>
      </c>
      <c r="F2108" t="inlineStr">
        <is>
          <t>GBP</t>
        </is>
      </c>
      <c r="G2108" s="7" t="n">
        <v>-7355944.807</v>
      </c>
      <c r="H2108" t="inlineStr">
        <is>
          <t>GBP</t>
        </is>
      </c>
      <c r="I2108" s="7" t="n">
        <v>-7355944.807</v>
      </c>
      <c r="J2108" s="8" t="n">
        <v>46254.46125</v>
      </c>
      <c r="K2108" t="inlineStr">
        <is>
          <t>CF260820 02102</t>
        </is>
      </c>
      <c r="L2108" t="inlineStr">
        <is>
          <t>GL.NOSTRO.GBP.BRGX.003</t>
        </is>
      </c>
      <c r="M2108" t="inlineStr">
        <is>
          <t>Ironbark Commercial Bank</t>
        </is>
      </c>
      <c r="N2108" t="inlineStr">
        <is>
          <t>BRGX</t>
        </is>
      </c>
      <c r="O2108" t="inlineStr">
        <is>
          <t>NEW</t>
        </is>
      </c>
      <c r="Q2108" t="inlineStr">
        <is>
          <t>INTERNAL</t>
        </is>
      </c>
    </row>
    <row r="2109">
      <c r="A2109" t="inlineStr">
        <is>
          <t>968942362772</t>
        </is>
      </c>
      <c r="B2109" t="inlineStr">
        <is>
          <t>TCX</t>
        </is>
      </c>
      <c r="C2109" t="inlineStr">
        <is>
          <t>BRYG</t>
        </is>
      </c>
      <c r="D2109" s="6" t="n">
        <v>46254</v>
      </c>
      <c r="E2109" t="inlineStr">
        <is>
          <t>DR</t>
        </is>
      </c>
      <c r="F2109" t="inlineStr">
        <is>
          <t>EUR</t>
        </is>
      </c>
      <c r="G2109" s="7" t="n">
        <v>-696754.0110000001</v>
      </c>
      <c r="H2109" t="inlineStr">
        <is>
          <t>GBP</t>
        </is>
      </c>
      <c r="I2109" s="7" t="n">
        <v>-597814.941</v>
      </c>
      <c r="J2109" s="8" t="n">
        <v>46254.67256944445</v>
      </c>
      <c r="K2109" t="inlineStr">
        <is>
          <t>CF260820 02103</t>
        </is>
      </c>
      <c r="L2109" t="inlineStr">
        <is>
          <t>GL.NOSTRO.EUR.BRYG.004</t>
        </is>
      </c>
      <c r="M2109" t="inlineStr">
        <is>
          <t>Umberton Commercial Bank</t>
        </is>
      </c>
      <c r="N2109" t="inlineStr">
        <is>
          <t>BRYGCASH</t>
        </is>
      </c>
      <c r="O2109" t="inlineStr">
        <is>
          <t>AMEND</t>
        </is>
      </c>
      <c r="P2109" t="inlineStr">
        <is>
          <t>NT26082000808</t>
        </is>
      </c>
      <c r="Q2109" t="inlineStr">
        <is>
          <t>GROSS</t>
        </is>
      </c>
    </row>
    <row r="2110">
      <c r="A2110" t="inlineStr">
        <is>
          <t>150316825069</t>
        </is>
      </c>
      <c r="B2110" t="inlineStr">
        <is>
          <t>TCX</t>
        </is>
      </c>
      <c r="C2110" t="inlineStr">
        <is>
          <t>BRGX</t>
        </is>
      </c>
      <c r="D2110" s="6" t="n">
        <v>46254</v>
      </c>
      <c r="E2110" t="inlineStr">
        <is>
          <t>DR</t>
        </is>
      </c>
      <c r="F2110" t="inlineStr">
        <is>
          <t>GBP</t>
        </is>
      </c>
      <c r="G2110" s="7" t="n">
        <v>-153990963.275</v>
      </c>
      <c r="H2110" t="inlineStr">
        <is>
          <t>GBP</t>
        </is>
      </c>
      <c r="I2110" s="7" t="n">
        <v>-153990963.275</v>
      </c>
      <c r="J2110" s="8" t="n">
        <v>46254.45230324074</v>
      </c>
      <c r="K2110" t="inlineStr">
        <is>
          <t>CF260820 02104</t>
        </is>
      </c>
      <c r="L2110" t="inlineStr">
        <is>
          <t>GL.NOSTRO.GBP.BRGX.007</t>
        </is>
      </c>
      <c r="M2110" t="inlineStr">
        <is>
          <t>Oriel Trust</t>
        </is>
      </c>
      <c r="N2110" t="inlineStr">
        <is>
          <t>BRGXMM</t>
        </is>
      </c>
      <c r="O2110" t="inlineStr">
        <is>
          <t>NEW</t>
        </is>
      </c>
      <c r="Q2110" t="inlineStr">
        <is>
          <t>NETTER</t>
        </is>
      </c>
    </row>
    <row r="2111">
      <c r="A2111" t="inlineStr">
        <is>
          <t>898317028833</t>
        </is>
      </c>
      <c r="B2111" t="inlineStr">
        <is>
          <t>TCQ</t>
        </is>
      </c>
      <c r="C2111" t="inlineStr">
        <is>
          <t>BRAA</t>
        </is>
      </c>
      <c r="D2111" s="6" t="n">
        <v>46254</v>
      </c>
      <c r="E2111" t="inlineStr">
        <is>
          <t>CR</t>
        </is>
      </c>
      <c r="F2111" t="inlineStr">
        <is>
          <t>GBP</t>
        </is>
      </c>
      <c r="G2111" s="7" t="n">
        <v>79660964.96600001</v>
      </c>
      <c r="H2111" t="inlineStr">
        <is>
          <t>GBP</t>
        </is>
      </c>
      <c r="I2111" s="7" t="n">
        <v>79660964.96600001</v>
      </c>
      <c r="J2111" s="8" t="n">
        <v>46254.46515046297</v>
      </c>
      <c r="K2111" t="inlineStr">
        <is>
          <t>CF260820 02105</t>
        </is>
      </c>
      <c r="L2111" t="inlineStr">
        <is>
          <t>GL.NOSTRO.GBP.BRAA.006</t>
        </is>
      </c>
      <c r="M2111" t="inlineStr">
        <is>
          <t>Pinehurst Clearing</t>
        </is>
      </c>
      <c r="N2111" t="inlineStr">
        <is>
          <t>BRAATRSY</t>
        </is>
      </c>
      <c r="O2111" t="inlineStr">
        <is>
          <t>NEW</t>
        </is>
      </c>
      <c r="P2111" t="inlineStr">
        <is>
          <t>NT26082000799</t>
        </is>
      </c>
      <c r="Q2111" t="inlineStr">
        <is>
          <t>NETTER</t>
        </is>
      </c>
    </row>
    <row r="2112">
      <c r="A2112" t="inlineStr">
        <is>
          <t>910703979141</t>
        </is>
      </c>
      <c r="B2112" t="inlineStr">
        <is>
          <t>TCX</t>
        </is>
      </c>
      <c r="C2112" t="inlineStr">
        <is>
          <t>BRCC</t>
        </is>
      </c>
      <c r="D2112" s="6" t="n">
        <v>46254</v>
      </c>
      <c r="E2112" t="inlineStr">
        <is>
          <t>DR</t>
        </is>
      </c>
      <c r="F2112" t="inlineStr">
        <is>
          <t>CHF</t>
        </is>
      </c>
      <c r="G2112" s="7" t="n">
        <v>-4202322.452</v>
      </c>
      <c r="H2112" t="inlineStr">
        <is>
          <t>GBP</t>
        </is>
      </c>
      <c r="I2112" s="7" t="n">
        <v>-3769483.239</v>
      </c>
      <c r="J2112" s="8" t="n">
        <v>46254.37962962963</v>
      </c>
      <c r="K2112" t="inlineStr">
        <is>
          <t>CF260820 02106</t>
        </is>
      </c>
      <c r="L2112" t="inlineStr">
        <is>
          <t>GL.NOSTRO.CHF.BRCC.002</t>
        </is>
      </c>
      <c r="M2112" t="inlineStr">
        <is>
          <t>Granite Clearing</t>
        </is>
      </c>
      <c r="N2112" t="inlineStr">
        <is>
          <t>BRCCCASH</t>
        </is>
      </c>
      <c r="O2112" t="inlineStr">
        <is>
          <t>NEW</t>
        </is>
      </c>
      <c r="P2112" t="inlineStr">
        <is>
          <t>NT26082000808</t>
        </is>
      </c>
      <c r="Q2112" t="inlineStr">
        <is>
          <t>NETTER</t>
        </is>
      </c>
    </row>
    <row r="2113">
      <c r="A2113" t="inlineStr">
        <is>
          <t>150316825069</t>
        </is>
      </c>
      <c r="B2113" t="inlineStr">
        <is>
          <t>TCC</t>
        </is>
      </c>
      <c r="C2113" t="inlineStr">
        <is>
          <t>BRGX</t>
        </is>
      </c>
      <c r="D2113" s="6" t="n">
        <v>46254</v>
      </c>
      <c r="E2113" t="inlineStr">
        <is>
          <t>CR</t>
        </is>
      </c>
      <c r="F2113" t="inlineStr">
        <is>
          <t>GBP</t>
        </is>
      </c>
      <c r="G2113" s="7" t="n">
        <v>4575238.868</v>
      </c>
      <c r="H2113" t="inlineStr">
        <is>
          <t>GBP</t>
        </is>
      </c>
      <c r="I2113" s="7" t="n">
        <v>4575238.868</v>
      </c>
      <c r="J2113" s="8" t="n">
        <v>46254.3947800926</v>
      </c>
      <c r="K2113" t="inlineStr">
        <is>
          <t>CF260820 02107</t>
        </is>
      </c>
      <c r="L2113" t="inlineStr">
        <is>
          <t>GL.NOSTRO.GBP.BRGX.009</t>
        </is>
      </c>
      <c r="M2113" t="inlineStr">
        <is>
          <t>Cedar Commercial Bank</t>
        </is>
      </c>
      <c r="N2113" t="inlineStr">
        <is>
          <t>BRGXCASH</t>
        </is>
      </c>
      <c r="O2113" t="inlineStr">
        <is>
          <t>NEW</t>
        </is>
      </c>
      <c r="Q2113" t="inlineStr">
        <is>
          <t>INTERNAL</t>
        </is>
      </c>
    </row>
    <row r="2114">
      <c r="A2114" t="inlineStr">
        <is>
          <t>468341071172</t>
        </is>
      </c>
      <c r="B2114" t="inlineStr">
        <is>
          <t>TCX</t>
        </is>
      </c>
      <c r="C2114" t="inlineStr">
        <is>
          <t>BRCC</t>
        </is>
      </c>
      <c r="D2114" s="6" t="n">
        <v>46254</v>
      </c>
      <c r="E2114" t="inlineStr">
        <is>
          <t>CR</t>
        </is>
      </c>
      <c r="F2114" t="inlineStr">
        <is>
          <t>EUR</t>
        </is>
      </c>
      <c r="G2114" s="7" t="n">
        <v>79115.731</v>
      </c>
      <c r="H2114" t="inlineStr">
        <is>
          <t>GBP</t>
        </is>
      </c>
      <c r="I2114" s="7" t="n">
        <v>67881.29700000001</v>
      </c>
      <c r="J2114" s="8" t="n">
        <v>46254.17981481482</v>
      </c>
      <c r="K2114" t="inlineStr">
        <is>
          <t>CF260820 02108</t>
        </is>
      </c>
      <c r="L2114" t="inlineStr">
        <is>
          <t>GL.NOSTRO.EUR.BRCC.006</t>
        </is>
      </c>
      <c r="M2114" t="inlineStr">
        <is>
          <t>Nightjar Bank</t>
        </is>
      </c>
      <c r="N2114" t="inlineStr">
        <is>
          <t>BRCCTRSY</t>
        </is>
      </c>
      <c r="O2114" t="inlineStr">
        <is>
          <t>NEW</t>
        </is>
      </c>
      <c r="Q2114" t="inlineStr">
        <is>
          <t>INTERNAL</t>
        </is>
      </c>
    </row>
    <row r="2115">
      <c r="A2115" t="inlineStr">
        <is>
          <t>359365220160</t>
        </is>
      </c>
      <c r="B2115" t="inlineStr">
        <is>
          <t>TCC</t>
        </is>
      </c>
      <c r="C2115" t="inlineStr">
        <is>
          <t>BRGX</t>
        </is>
      </c>
      <c r="D2115" s="6" t="n">
        <v>46254</v>
      </c>
      <c r="E2115" t="inlineStr">
        <is>
          <t>DR</t>
        </is>
      </c>
      <c r="F2115" t="inlineStr">
        <is>
          <t>EUR</t>
        </is>
      </c>
      <c r="G2115" s="7" t="n">
        <v>-41476846.537</v>
      </c>
      <c r="H2115" t="inlineStr">
        <is>
          <t>GBP</t>
        </is>
      </c>
      <c r="I2115" s="7" t="n">
        <v>-35587134.329</v>
      </c>
      <c r="J2115" s="8" t="n">
        <v>46254.59010416667</v>
      </c>
      <c r="K2115" t="inlineStr">
        <is>
          <t>CF260820 02109</t>
        </is>
      </c>
      <c r="L2115" t="inlineStr">
        <is>
          <t>GL.NOSTRO.EUR.BRGX.006</t>
        </is>
      </c>
      <c r="M2115" t="inlineStr">
        <is>
          <t>Redstart Trust</t>
        </is>
      </c>
      <c r="N2115" t="inlineStr">
        <is>
          <t>BRGX</t>
        </is>
      </c>
      <c r="O2115" t="inlineStr">
        <is>
          <t>NEW</t>
        </is>
      </c>
      <c r="Q2115" t="inlineStr">
        <is>
          <t>NETTER</t>
        </is>
      </c>
    </row>
    <row r="2116">
      <c r="A2116" t="inlineStr">
        <is>
          <t>468341071172</t>
        </is>
      </c>
      <c r="B2116" t="inlineStr">
        <is>
          <t>TCG</t>
        </is>
      </c>
      <c r="C2116" t="inlineStr">
        <is>
          <t>BRCC</t>
        </is>
      </c>
      <c r="D2116" s="6" t="n">
        <v>46254</v>
      </c>
      <c r="E2116" t="inlineStr">
        <is>
          <t>DR</t>
        </is>
      </c>
      <c r="F2116" t="inlineStr">
        <is>
          <t>EUR</t>
        </is>
      </c>
      <c r="G2116" s="7" t="n">
        <v>-20317741.027</v>
      </c>
      <c r="H2116" t="inlineStr">
        <is>
          <t>GBP</t>
        </is>
      </c>
      <c r="I2116" s="7" t="n">
        <v>-17432621.801</v>
      </c>
      <c r="J2116" s="8" t="n">
        <v>46254.46309027778</v>
      </c>
      <c r="K2116" t="inlineStr">
        <is>
          <t>CF260820 02110</t>
        </is>
      </c>
      <c r="L2116" t="inlineStr">
        <is>
          <t>GL.NOSTRO.EUR.BRCC.009</t>
        </is>
      </c>
      <c r="M2116" t="inlineStr">
        <is>
          <t>Elmwood Bank</t>
        </is>
      </c>
      <c r="N2116" t="inlineStr">
        <is>
          <t>BRCC</t>
        </is>
      </c>
      <c r="O2116" t="inlineStr">
        <is>
          <t>NEW</t>
        </is>
      </c>
      <c r="Q2116" t="inlineStr">
        <is>
          <t>NETTER</t>
        </is>
      </c>
    </row>
    <row r="2117">
      <c r="A2117" t="inlineStr">
        <is>
          <t>265771593142</t>
        </is>
      </c>
      <c r="B2117" t="inlineStr">
        <is>
          <t>TCG</t>
        </is>
      </c>
      <c r="C2117" t="inlineStr">
        <is>
          <t>BRYG</t>
        </is>
      </c>
      <c r="D2117" s="6" t="n">
        <v>46254</v>
      </c>
      <c r="E2117" t="inlineStr">
        <is>
          <t>CR</t>
        </is>
      </c>
      <c r="F2117" t="inlineStr">
        <is>
          <t>EUR</t>
        </is>
      </c>
      <c r="G2117" s="7" t="n">
        <v>261.464</v>
      </c>
      <c r="H2117" t="inlineStr">
        <is>
          <t>GBP</t>
        </is>
      </c>
      <c r="I2117" s="7" t="n">
        <v>224.336</v>
      </c>
      <c r="J2117" s="8" t="n">
        <v>46254.62476851852</v>
      </c>
      <c r="K2117" t="inlineStr">
        <is>
          <t>CF260820 02111</t>
        </is>
      </c>
      <c r="L2117" t="inlineStr">
        <is>
          <t>GL.NOSTRO.EUR.BRYG.001</t>
        </is>
      </c>
      <c r="M2117" t="inlineStr">
        <is>
          <t>Sablewood Bank</t>
        </is>
      </c>
      <c r="N2117" t="inlineStr">
        <is>
          <t>BRYGCASH</t>
        </is>
      </c>
      <c r="O2117" t="inlineStr">
        <is>
          <t>NEW</t>
        </is>
      </c>
      <c r="P2117" t="inlineStr">
        <is>
          <t>NT26082000818</t>
        </is>
      </c>
      <c r="Q2117" t="inlineStr">
        <is>
          <t>NETTER</t>
        </is>
      </c>
    </row>
    <row r="2118">
      <c r="A2118" t="inlineStr">
        <is>
          <t>468341071172</t>
        </is>
      </c>
      <c r="B2118" t="inlineStr">
        <is>
          <t>TCG</t>
        </is>
      </c>
      <c r="C2118" t="inlineStr">
        <is>
          <t>BRCC</t>
        </is>
      </c>
      <c r="D2118" s="6" t="n">
        <v>46254</v>
      </c>
      <c r="E2118" t="inlineStr">
        <is>
          <t>DR</t>
        </is>
      </c>
      <c r="F2118" t="inlineStr">
        <is>
          <t>EUR</t>
        </is>
      </c>
      <c r="G2118" s="7" t="n">
        <v>-306451.626</v>
      </c>
      <c r="H2118" t="inlineStr">
        <is>
          <t>GBP</t>
        </is>
      </c>
      <c r="I2118" s="7" t="n">
        <v>-262935.495</v>
      </c>
      <c r="J2118" s="8" t="n">
        <v>46254.22967592593</v>
      </c>
      <c r="K2118" t="inlineStr">
        <is>
          <t>CF260820 02112</t>
        </is>
      </c>
      <c r="L2118" t="inlineStr">
        <is>
          <t>GL.NOSTRO.EUR.BRCC.003</t>
        </is>
      </c>
      <c r="M2118" t="inlineStr">
        <is>
          <t>Juniper Bank</t>
        </is>
      </c>
      <c r="N2118" t="inlineStr">
        <is>
          <t>BRCCTRSY</t>
        </is>
      </c>
      <c r="O2118" t="inlineStr">
        <is>
          <t>NEW</t>
        </is>
      </c>
      <c r="P2118" t="inlineStr">
        <is>
          <t>NT26082000802</t>
        </is>
      </c>
      <c r="Q2118" t="inlineStr">
        <is>
          <t>NETTER</t>
        </is>
      </c>
    </row>
    <row r="2119">
      <c r="A2119" t="inlineStr">
        <is>
          <t>284925023085</t>
        </is>
      </c>
      <c r="B2119" t="inlineStr">
        <is>
          <t>TCP</t>
        </is>
      </c>
      <c r="C2119" t="inlineStr">
        <is>
          <t>BRMD</t>
        </is>
      </c>
      <c r="D2119" s="6" t="n">
        <v>46254</v>
      </c>
      <c r="E2119" t="inlineStr">
        <is>
          <t>CR</t>
        </is>
      </c>
      <c r="F2119" t="inlineStr">
        <is>
          <t>MXN</t>
        </is>
      </c>
      <c r="G2119" s="7" t="n">
        <v>1413912.989</v>
      </c>
      <c r="H2119" t="inlineStr">
        <is>
          <t>GBP</t>
        </is>
      </c>
      <c r="I2119" s="7" t="n">
        <v>60515.476</v>
      </c>
      <c r="J2119" s="8" t="n">
        <v>46254.48199074074</v>
      </c>
      <c r="K2119" t="inlineStr">
        <is>
          <t>CF260820 02113</t>
        </is>
      </c>
      <c r="L2119" t="inlineStr">
        <is>
          <t>GL.NOSTRO.MXN.BRMD.002</t>
        </is>
      </c>
      <c r="M2119" t="inlineStr">
        <is>
          <t>Yarrow Clearing</t>
        </is>
      </c>
      <c r="N2119" t="inlineStr">
        <is>
          <t>BRMDTRSY</t>
        </is>
      </c>
      <c r="O2119" t="inlineStr">
        <is>
          <t>NEW</t>
        </is>
      </c>
      <c r="Q2119" t="inlineStr">
        <is>
          <t>GROSS</t>
        </is>
      </c>
    </row>
    <row r="2120">
      <c r="A2120" t="inlineStr">
        <is>
          <t>265771593142</t>
        </is>
      </c>
      <c r="B2120" t="inlineStr">
        <is>
          <t>TCC</t>
        </is>
      </c>
      <c r="C2120" t="inlineStr">
        <is>
          <t>BRYG</t>
        </is>
      </c>
      <c r="D2120" s="6" t="n">
        <v>46254</v>
      </c>
      <c r="E2120" t="inlineStr">
        <is>
          <t>CR</t>
        </is>
      </c>
      <c r="F2120" t="inlineStr">
        <is>
          <t>EUR</t>
        </is>
      </c>
      <c r="G2120" s="7" t="n">
        <v>27813103.675</v>
      </c>
      <c r="H2120" t="inlineStr">
        <is>
          <t>GBP</t>
        </is>
      </c>
      <c r="I2120" s="7" t="n">
        <v>23863642.953</v>
      </c>
      <c r="J2120" s="8" t="n">
        <v>46254.66539351852</v>
      </c>
      <c r="K2120" t="inlineStr">
        <is>
          <t>CF260820 02114</t>
        </is>
      </c>
      <c r="L2120" t="inlineStr">
        <is>
          <t>GL.NOSTRO.EUR.BRYG.005</t>
        </is>
      </c>
      <c r="M2120" t="inlineStr">
        <is>
          <t>Sablewood Clearing</t>
        </is>
      </c>
      <c r="N2120" t="inlineStr">
        <is>
          <t>BRYGMM</t>
        </is>
      </c>
      <c r="O2120" t="inlineStr">
        <is>
          <t>NEW</t>
        </is>
      </c>
      <c r="Q2120" t="inlineStr">
        <is>
          <t>GROSS</t>
        </is>
      </c>
    </row>
    <row r="2121">
      <c r="A2121" t="inlineStr">
        <is>
          <t>499062838623</t>
        </is>
      </c>
      <c r="B2121" t="inlineStr">
        <is>
          <t>TCG</t>
        </is>
      </c>
      <c r="C2121" t="inlineStr">
        <is>
          <t>BRBX</t>
        </is>
      </c>
      <c r="D2121" s="6" t="n">
        <v>46254</v>
      </c>
      <c r="E2121" t="inlineStr">
        <is>
          <t>DR</t>
        </is>
      </c>
      <c r="F2121" t="inlineStr">
        <is>
          <t>USD</t>
        </is>
      </c>
      <c r="G2121" s="7" t="n">
        <v>-511297870.348</v>
      </c>
      <c r="H2121" t="inlineStr">
        <is>
          <t>GBP</t>
        </is>
      </c>
      <c r="I2121" s="7" t="n">
        <v>-400857530.353</v>
      </c>
      <c r="J2121" s="8" t="n">
        <v>46254.39400462963</v>
      </c>
      <c r="K2121" t="inlineStr">
        <is>
          <t>CF260820 02115</t>
        </is>
      </c>
      <c r="L2121" t="inlineStr">
        <is>
          <t>GL.NOSTRO.USD.BRBX.004</t>
        </is>
      </c>
      <c r="M2121" t="inlineStr">
        <is>
          <t>Sablewood Bank</t>
        </is>
      </c>
      <c r="N2121" t="inlineStr">
        <is>
          <t>BRBXMM</t>
        </is>
      </c>
      <c r="O2121" t="inlineStr">
        <is>
          <t>NEW</t>
        </is>
      </c>
      <c r="Q2121" t="inlineStr">
        <is>
          <t>NETTER</t>
        </is>
      </c>
    </row>
    <row r="2122">
      <c r="A2122" t="inlineStr">
        <is>
          <t>910703979141</t>
        </is>
      </c>
      <c r="B2122" t="inlineStr">
        <is>
          <t>TCG</t>
        </is>
      </c>
      <c r="C2122" t="inlineStr">
        <is>
          <t>BRCC</t>
        </is>
      </c>
      <c r="D2122" s="6" t="n">
        <v>46254</v>
      </c>
      <c r="E2122" t="inlineStr">
        <is>
          <t>DR</t>
        </is>
      </c>
      <c r="F2122" t="inlineStr">
        <is>
          <t>CHF</t>
        </is>
      </c>
      <c r="G2122" s="7" t="n">
        <v>-16418281.467</v>
      </c>
      <c r="H2122" t="inlineStr">
        <is>
          <t>GBP</t>
        </is>
      </c>
      <c r="I2122" s="7" t="n">
        <v>-14727198.476</v>
      </c>
      <c r="J2122" s="8" t="n">
        <v>46254.82509259259</v>
      </c>
      <c r="K2122" t="inlineStr">
        <is>
          <t>CF260820 02116</t>
        </is>
      </c>
      <c r="L2122" t="inlineStr">
        <is>
          <t>GL.NOSTRO.CHF.BRCC.008</t>
        </is>
      </c>
      <c r="M2122" t="inlineStr">
        <is>
          <t>Zephyr Commercial Bank</t>
        </is>
      </c>
      <c r="N2122" t="inlineStr">
        <is>
          <t>BRCCTRSY</t>
        </is>
      </c>
      <c r="O2122" t="inlineStr">
        <is>
          <t>AMEND</t>
        </is>
      </c>
      <c r="P2122" t="inlineStr">
        <is>
          <t>NT26082000788</t>
        </is>
      </c>
      <c r="Q2122" t="inlineStr">
        <is>
          <t>NETTER</t>
        </is>
      </c>
    </row>
    <row r="2123">
      <c r="A2123" t="inlineStr">
        <is>
          <t>700726936098</t>
        </is>
      </c>
      <c r="B2123" t="inlineStr">
        <is>
          <t>TCQ</t>
        </is>
      </c>
      <c r="C2123" t="inlineStr">
        <is>
          <t>BRMD</t>
        </is>
      </c>
      <c r="D2123" s="6" t="n">
        <v>46254</v>
      </c>
      <c r="E2123" t="inlineStr">
        <is>
          <t>DR</t>
        </is>
      </c>
      <c r="F2123" t="inlineStr">
        <is>
          <t>SAR</t>
        </is>
      </c>
      <c r="G2123" s="7" t="n">
        <v>-6889850613.142</v>
      </c>
      <c r="H2123" t="inlineStr">
        <is>
          <t>GBP</t>
        </is>
      </c>
      <c r="I2123" s="7" t="n">
        <v>-1439978778.147</v>
      </c>
      <c r="J2123" s="8" t="n">
        <v>46254.28762731481</v>
      </c>
      <c r="K2123" t="inlineStr">
        <is>
          <t>CF260820 02117</t>
        </is>
      </c>
      <c r="L2123" t="inlineStr">
        <is>
          <t>GL.NOSTRO.SAR.BRMD.009</t>
        </is>
      </c>
      <c r="M2123" t="inlineStr">
        <is>
          <t>Nightjar Bank</t>
        </is>
      </c>
      <c r="N2123" t="inlineStr">
        <is>
          <t>BRMDCASH</t>
        </is>
      </c>
      <c r="O2123" t="inlineStr">
        <is>
          <t>NEW</t>
        </is>
      </c>
      <c r="Q2123" t="inlineStr">
        <is>
          <t>GROSS</t>
        </is>
      </c>
    </row>
    <row r="2124">
      <c r="A2124" t="inlineStr">
        <is>
          <t>910703979141</t>
        </is>
      </c>
      <c r="B2124" t="inlineStr">
        <is>
          <t>TCC</t>
        </is>
      </c>
      <c r="C2124" t="inlineStr">
        <is>
          <t>BRCC</t>
        </is>
      </c>
      <c r="D2124" s="6" t="n">
        <v>46254</v>
      </c>
      <c r="E2124" t="inlineStr">
        <is>
          <t>CR</t>
        </is>
      </c>
      <c r="F2124" t="inlineStr">
        <is>
          <t>CHF</t>
        </is>
      </c>
      <c r="G2124" s="7" t="n">
        <v>361704849.678</v>
      </c>
      <c r="H2124" t="inlineStr">
        <is>
          <t>GBP</t>
        </is>
      </c>
      <c r="I2124" s="7" t="n">
        <v>324449250.161</v>
      </c>
      <c r="J2124" s="8" t="n">
        <v>46254.68847222222</v>
      </c>
      <c r="K2124" t="inlineStr">
        <is>
          <t>CF260820 02118</t>
        </is>
      </c>
      <c r="L2124" t="inlineStr">
        <is>
          <t>GL.NOSTRO.CHF.BRCC.007</t>
        </is>
      </c>
      <c r="M2124" t="inlineStr">
        <is>
          <t>Elmwood Trust</t>
        </is>
      </c>
      <c r="N2124" t="inlineStr">
        <is>
          <t>BRCCCASH</t>
        </is>
      </c>
      <c r="O2124" t="inlineStr">
        <is>
          <t>NEW</t>
        </is>
      </c>
      <c r="P2124" t="inlineStr">
        <is>
          <t>NT26082000814</t>
        </is>
      </c>
      <c r="Q2124" t="inlineStr">
        <is>
          <t>GROSS</t>
        </is>
      </c>
    </row>
    <row r="2125">
      <c r="A2125" t="inlineStr">
        <is>
          <t>150316825069</t>
        </is>
      </c>
      <c r="B2125" t="inlineStr">
        <is>
          <t>TCG</t>
        </is>
      </c>
      <c r="C2125" t="inlineStr">
        <is>
          <t>BRGX</t>
        </is>
      </c>
      <c r="D2125" s="6" t="n">
        <v>46254</v>
      </c>
      <c r="E2125" t="inlineStr">
        <is>
          <t>CR</t>
        </is>
      </c>
      <c r="F2125" t="inlineStr">
        <is>
          <t>GBP</t>
        </is>
      </c>
      <c r="G2125" s="7" t="n">
        <v>418850255.249</v>
      </c>
      <c r="H2125" t="inlineStr">
        <is>
          <t>GBP</t>
        </is>
      </c>
      <c r="I2125" s="7" t="n">
        <v>418850255.249</v>
      </c>
      <c r="J2125" s="8" t="n">
        <v>46254.39424768519</v>
      </c>
      <c r="K2125" t="inlineStr">
        <is>
          <t>CF260820 02119</t>
        </is>
      </c>
      <c r="L2125" t="inlineStr">
        <is>
          <t>GL.NOSTRO.GBP.BRGX.005</t>
        </is>
      </c>
      <c r="M2125" t="inlineStr">
        <is>
          <t>Yarrow Clearing</t>
        </is>
      </c>
      <c r="N2125" t="inlineStr">
        <is>
          <t>BRGX</t>
        </is>
      </c>
      <c r="O2125" t="inlineStr">
        <is>
          <t>NEW</t>
        </is>
      </c>
      <c r="P2125" t="inlineStr">
        <is>
          <t>NT26082000793</t>
        </is>
      </c>
      <c r="Q2125" t="inlineStr">
        <is>
          <t>NETTER</t>
        </is>
      </c>
    </row>
    <row r="2126">
      <c r="A2126" t="inlineStr">
        <is>
          <t>150316825069</t>
        </is>
      </c>
      <c r="B2126" t="inlineStr">
        <is>
          <t>TCG</t>
        </is>
      </c>
      <c r="C2126" t="inlineStr">
        <is>
          <t>BRGX</t>
        </is>
      </c>
      <c r="D2126" s="6" t="n">
        <v>46254</v>
      </c>
      <c r="E2126" t="inlineStr">
        <is>
          <t>DR</t>
        </is>
      </c>
      <c r="F2126" t="inlineStr">
        <is>
          <t>GBP</t>
        </is>
      </c>
      <c r="G2126" s="7" t="n">
        <v>-103158.595</v>
      </c>
      <c r="H2126" t="inlineStr">
        <is>
          <t>GBP</t>
        </is>
      </c>
      <c r="I2126" s="7" t="n">
        <v>-103158.595</v>
      </c>
      <c r="J2126" s="8" t="n">
        <v>46254.64728009259</v>
      </c>
      <c r="K2126" t="inlineStr">
        <is>
          <t>CF260820 02120</t>
        </is>
      </c>
      <c r="L2126" t="inlineStr">
        <is>
          <t>GL.NOSTRO.GBP.BRGX.002</t>
        </is>
      </c>
      <c r="M2126" t="inlineStr">
        <is>
          <t>Umberton Commercial Bank</t>
        </is>
      </c>
      <c r="N2126" t="inlineStr">
        <is>
          <t>BRGXCASH</t>
        </is>
      </c>
      <c r="O2126" t="inlineStr">
        <is>
          <t>NEW</t>
        </is>
      </c>
      <c r="Q2126" t="inlineStr">
        <is>
          <t>INTERNAL</t>
        </is>
      </c>
    </row>
    <row r="2127">
      <c r="A2127" t="inlineStr">
        <is>
          <t>132544340094</t>
        </is>
      </c>
      <c r="B2127" t="inlineStr">
        <is>
          <t>TCQ</t>
        </is>
      </c>
      <c r="C2127" t="inlineStr">
        <is>
          <t>BRYG</t>
        </is>
      </c>
      <c r="D2127" s="6" t="n">
        <v>46254</v>
      </c>
      <c r="E2127" t="inlineStr">
        <is>
          <t>DR</t>
        </is>
      </c>
      <c r="F2127" t="inlineStr">
        <is>
          <t>CZK</t>
        </is>
      </c>
      <c r="G2127" s="7" t="n">
        <v>-107328976.889</v>
      </c>
      <c r="H2127" t="inlineStr">
        <is>
          <t>GBP</t>
        </is>
      </c>
      <c r="I2127" s="7" t="n">
        <v>-3638452.317</v>
      </c>
      <c r="J2127" s="8" t="n">
        <v>46254.34071759259</v>
      </c>
      <c r="K2127" t="inlineStr">
        <is>
          <t>CF260820 02121</t>
        </is>
      </c>
      <c r="L2127" t="inlineStr">
        <is>
          <t>GL.NOSTRO.CZK.BRYG.001</t>
        </is>
      </c>
      <c r="M2127" t="inlineStr">
        <is>
          <t>Umberton Clearing</t>
        </is>
      </c>
      <c r="N2127" t="inlineStr">
        <is>
          <t>BRYG</t>
        </is>
      </c>
      <c r="O2127" t="inlineStr">
        <is>
          <t>NEW</t>
        </is>
      </c>
      <c r="Q2127" t="inlineStr">
        <is>
          <t>NETTER</t>
        </is>
      </c>
    </row>
    <row r="2128">
      <c r="A2128" t="inlineStr">
        <is>
          <t>794226063698</t>
        </is>
      </c>
      <c r="B2128" t="inlineStr">
        <is>
          <t>TCC</t>
        </is>
      </c>
      <c r="C2128" t="inlineStr">
        <is>
          <t>BRMD</t>
        </is>
      </c>
      <c r="D2128" s="6" t="n">
        <v>46254</v>
      </c>
      <c r="E2128" t="inlineStr">
        <is>
          <t>DR</t>
        </is>
      </c>
      <c r="F2128" t="inlineStr">
        <is>
          <t>AED</t>
        </is>
      </c>
      <c r="G2128" s="7" t="n">
        <v>-2371174.759</v>
      </c>
      <c r="H2128" t="inlineStr">
        <is>
          <t>GBP</t>
        </is>
      </c>
      <c r="I2128" s="7" t="n">
        <v>-505060.224</v>
      </c>
      <c r="J2128" s="8" t="n">
        <v>46254.43774305555</v>
      </c>
      <c r="K2128" t="inlineStr">
        <is>
          <t>CF260820 02122</t>
        </is>
      </c>
      <c r="L2128" t="inlineStr">
        <is>
          <t>GL.NOSTRO.AED.BRMD.006</t>
        </is>
      </c>
      <c r="M2128" t="inlineStr">
        <is>
          <t>Ironbark Trust</t>
        </is>
      </c>
      <c r="N2128" t="inlineStr">
        <is>
          <t>BRMDCASH</t>
        </is>
      </c>
      <c r="O2128" t="inlineStr">
        <is>
          <t>NEW</t>
        </is>
      </c>
      <c r="P2128" t="inlineStr">
        <is>
          <t>NT26082000792</t>
        </is>
      </c>
      <c r="Q2128" t="inlineStr">
        <is>
          <t>NETTER</t>
        </is>
      </c>
    </row>
    <row r="2129">
      <c r="A2129" t="inlineStr">
        <is>
          <t>499062838623</t>
        </is>
      </c>
      <c r="B2129" t="inlineStr">
        <is>
          <t>TCQ</t>
        </is>
      </c>
      <c r="C2129" t="inlineStr">
        <is>
          <t>BRBX</t>
        </is>
      </c>
      <c r="D2129" s="6" t="n">
        <v>46254</v>
      </c>
      <c r="E2129" t="inlineStr">
        <is>
          <t>DR</t>
        </is>
      </c>
      <c r="F2129" t="inlineStr">
        <is>
          <t>USD</t>
        </is>
      </c>
      <c r="G2129" s="7" t="n">
        <v>-140121.438</v>
      </c>
      <c r="H2129" t="inlineStr">
        <is>
          <t>GBP</t>
        </is>
      </c>
      <c r="I2129" s="7" t="n">
        <v>-109855.207</v>
      </c>
      <c r="J2129" s="8" t="n">
        <v>46254.30334490741</v>
      </c>
      <c r="K2129" t="inlineStr">
        <is>
          <t>CF260820 02123</t>
        </is>
      </c>
      <c r="L2129" t="inlineStr">
        <is>
          <t>GL.NOSTRO.USD.BRBX.001</t>
        </is>
      </c>
      <c r="M2129" t="inlineStr">
        <is>
          <t>Ironbark Commercial Bank</t>
        </is>
      </c>
      <c r="N2129" t="inlineStr">
        <is>
          <t>BRBX</t>
        </is>
      </c>
      <c r="O2129" t="inlineStr">
        <is>
          <t>NEW</t>
        </is>
      </c>
      <c r="P2129" t="inlineStr">
        <is>
          <t>NT26082000796</t>
        </is>
      </c>
      <c r="Q2129" t="inlineStr">
        <is>
          <t>NETTER</t>
        </is>
      </c>
    </row>
    <row r="2130">
      <c r="A2130" t="inlineStr">
        <is>
          <t>113829985108</t>
        </is>
      </c>
      <c r="B2130" t="inlineStr">
        <is>
          <t>TCP</t>
        </is>
      </c>
      <c r="C2130" t="inlineStr">
        <is>
          <t>BRGL</t>
        </is>
      </c>
      <c r="D2130" s="6" t="n">
        <v>46254</v>
      </c>
      <c r="E2130" t="inlineStr">
        <is>
          <t>DR</t>
        </is>
      </c>
      <c r="F2130" t="inlineStr">
        <is>
          <t>EUR</t>
        </is>
      </c>
      <c r="G2130" s="7" t="n">
        <v>-183070204.893</v>
      </c>
      <c r="H2130" t="inlineStr">
        <is>
          <t>GBP</t>
        </is>
      </c>
      <c r="I2130" s="7" t="n">
        <v>-157074235.798</v>
      </c>
      <c r="J2130" s="8" t="n">
        <v>46254.4878587963</v>
      </c>
      <c r="K2130" t="inlineStr">
        <is>
          <t>CF260820 02124</t>
        </is>
      </c>
      <c r="L2130" t="inlineStr">
        <is>
          <t>GL.NOSTRO.EUR.BRGL.001</t>
        </is>
      </c>
      <c r="M2130" t="inlineStr">
        <is>
          <t>Granite Clearing</t>
        </is>
      </c>
      <c r="N2130" t="inlineStr">
        <is>
          <t>BRGLMM</t>
        </is>
      </c>
      <c r="O2130" t="inlineStr">
        <is>
          <t>NEW</t>
        </is>
      </c>
      <c r="P2130" t="inlineStr">
        <is>
          <t>NT26082000794</t>
        </is>
      </c>
      <c r="Q2130" t="inlineStr">
        <is>
          <t>GROSS</t>
        </is>
      </c>
    </row>
    <row r="2131">
      <c r="A2131" t="inlineStr">
        <is>
          <t>171857983160</t>
        </is>
      </c>
      <c r="B2131" t="inlineStr">
        <is>
          <t>TCP</t>
        </is>
      </c>
      <c r="C2131" t="inlineStr">
        <is>
          <t>BRBX</t>
        </is>
      </c>
      <c r="D2131" s="6" t="n">
        <v>46254</v>
      </c>
      <c r="E2131" t="inlineStr">
        <is>
          <t>CR</t>
        </is>
      </c>
      <c r="F2131" t="inlineStr">
        <is>
          <t>AUD</t>
        </is>
      </c>
      <c r="G2131" s="7" t="n">
        <v>5576812.421</v>
      </c>
      <c r="H2131" t="inlineStr">
        <is>
          <t>GBP</t>
        </is>
      </c>
      <c r="I2131" s="7" t="n">
        <v>2860904.772</v>
      </c>
      <c r="J2131" s="8" t="n">
        <v>46254.62707175926</v>
      </c>
      <c r="K2131" t="inlineStr">
        <is>
          <t>CF260820 02125</t>
        </is>
      </c>
      <c r="L2131" t="inlineStr">
        <is>
          <t>GL.NOSTRO.AUD.BRBX.007</t>
        </is>
      </c>
      <c r="M2131" t="inlineStr">
        <is>
          <t>Umberton Clearing</t>
        </is>
      </c>
      <c r="N2131" t="inlineStr">
        <is>
          <t>BRBXTRSY</t>
        </is>
      </c>
      <c r="O2131" t="inlineStr">
        <is>
          <t>NEW</t>
        </is>
      </c>
      <c r="P2131" t="inlineStr">
        <is>
          <t>NT26082000823</t>
        </is>
      </c>
      <c r="Q2131" t="inlineStr">
        <is>
          <t>NETTER</t>
        </is>
      </c>
    </row>
    <row r="2132">
      <c r="A2132" t="inlineStr">
        <is>
          <t>621381112674</t>
        </is>
      </c>
      <c r="B2132" t="inlineStr">
        <is>
          <t>TCQ</t>
        </is>
      </c>
      <c r="C2132" t="inlineStr">
        <is>
          <t>BRAA</t>
        </is>
      </c>
      <c r="D2132" s="6" t="n">
        <v>46254</v>
      </c>
      <c r="E2132" t="inlineStr">
        <is>
          <t>DR</t>
        </is>
      </c>
      <c r="F2132" t="inlineStr">
        <is>
          <t>PLN</t>
        </is>
      </c>
      <c r="G2132" s="7" t="n">
        <v>-126078762.812</v>
      </c>
      <c r="H2132" t="inlineStr">
        <is>
          <t>GBP</t>
        </is>
      </c>
      <c r="I2132" s="7" t="n">
        <v>-24963595.037</v>
      </c>
      <c r="J2132" s="8" t="n">
        <v>46254.43606481481</v>
      </c>
      <c r="K2132" t="inlineStr">
        <is>
          <t>CF260820 02126</t>
        </is>
      </c>
      <c r="L2132" t="inlineStr">
        <is>
          <t>GL.NOSTRO.PLN.BRAA.005</t>
        </is>
      </c>
      <c r="M2132" t="inlineStr">
        <is>
          <t>Sablewood Clearing</t>
        </is>
      </c>
      <c r="N2132" t="inlineStr">
        <is>
          <t>BRAATRSY</t>
        </is>
      </c>
      <c r="O2132" t="inlineStr">
        <is>
          <t>NEW</t>
        </is>
      </c>
      <c r="Q2132" t="inlineStr">
        <is>
          <t>NETTER</t>
        </is>
      </c>
    </row>
    <row r="2133">
      <c r="A2133" t="inlineStr">
        <is>
          <t>171857983160</t>
        </is>
      </c>
      <c r="B2133" t="inlineStr">
        <is>
          <t>TCC</t>
        </is>
      </c>
      <c r="C2133" t="inlineStr">
        <is>
          <t>BRBX</t>
        </is>
      </c>
      <c r="D2133" s="6" t="n">
        <v>46254</v>
      </c>
      <c r="E2133" t="inlineStr">
        <is>
          <t>DR</t>
        </is>
      </c>
      <c r="F2133" t="inlineStr">
        <is>
          <t>AUD</t>
        </is>
      </c>
      <c r="G2133" s="7" t="n">
        <v>-2165114.183</v>
      </c>
      <c r="H2133" t="inlineStr">
        <is>
          <t>GBP</t>
        </is>
      </c>
      <c r="I2133" s="7" t="n">
        <v>-1110703.576</v>
      </c>
      <c r="J2133" s="8" t="n">
        <v>46254.67050925926</v>
      </c>
      <c r="K2133" t="inlineStr">
        <is>
          <t>CF260820 02127</t>
        </is>
      </c>
      <c r="L2133" t="inlineStr">
        <is>
          <t>GL.NOSTRO.AUD.BRBX.001</t>
        </is>
      </c>
      <c r="M2133" t="inlineStr">
        <is>
          <t>Redstart Commercial Bank</t>
        </is>
      </c>
      <c r="N2133" t="inlineStr">
        <is>
          <t>BRBX</t>
        </is>
      </c>
      <c r="O2133" t="inlineStr">
        <is>
          <t>NEW</t>
        </is>
      </c>
      <c r="Q2133" t="inlineStr">
        <is>
          <t>NETTER</t>
        </is>
      </c>
    </row>
    <row r="2134">
      <c r="A2134" t="inlineStr">
        <is>
          <t>150316825069</t>
        </is>
      </c>
      <c r="B2134" t="inlineStr">
        <is>
          <t>TCG</t>
        </is>
      </c>
      <c r="C2134" t="inlineStr">
        <is>
          <t>BRGX</t>
        </is>
      </c>
      <c r="D2134" s="6" t="n">
        <v>46254</v>
      </c>
      <c r="E2134" t="inlineStr">
        <is>
          <t>CR</t>
        </is>
      </c>
      <c r="F2134" t="inlineStr">
        <is>
          <t>GBP</t>
        </is>
      </c>
      <c r="G2134" s="7" t="n">
        <v>1052598.539</v>
      </c>
      <c r="H2134" t="inlineStr">
        <is>
          <t>GBP</t>
        </is>
      </c>
      <c r="I2134" s="7" t="n">
        <v>1052598.539</v>
      </c>
      <c r="J2134" s="8" t="n">
        <v>46254.73054398148</v>
      </c>
      <c r="K2134" t="inlineStr">
        <is>
          <t>CF260820 02128</t>
        </is>
      </c>
      <c r="L2134" t="inlineStr">
        <is>
          <t>GL.NOSTRO.GBP.BRGX.007</t>
        </is>
      </c>
      <c r="M2134" t="inlineStr">
        <is>
          <t>Alder Trust</t>
        </is>
      </c>
      <c r="N2134" t="inlineStr">
        <is>
          <t>BRGXMM</t>
        </is>
      </c>
      <c r="O2134" t="inlineStr">
        <is>
          <t>NEW</t>
        </is>
      </c>
      <c r="P2134" t="inlineStr">
        <is>
          <t>NT26082000805</t>
        </is>
      </c>
      <c r="Q2134" t="inlineStr">
        <is>
          <t>GROSS</t>
        </is>
      </c>
    </row>
    <row r="2135">
      <c r="A2135" t="inlineStr">
        <is>
          <t>171857983160</t>
        </is>
      </c>
      <c r="B2135" t="inlineStr">
        <is>
          <t>TCQ</t>
        </is>
      </c>
      <c r="C2135" t="inlineStr">
        <is>
          <t>BRBX</t>
        </is>
      </c>
      <c r="D2135" s="6" t="n">
        <v>46254</v>
      </c>
      <c r="E2135" t="inlineStr">
        <is>
          <t>DR</t>
        </is>
      </c>
      <c r="F2135" t="inlineStr">
        <is>
          <t>AUD</t>
        </is>
      </c>
      <c r="G2135" s="7" t="n">
        <v>-2125802.323</v>
      </c>
      <c r="H2135" t="inlineStr">
        <is>
          <t>GBP</t>
        </is>
      </c>
      <c r="I2135" s="7" t="n">
        <v>-1090536.592</v>
      </c>
      <c r="J2135" s="8" t="n">
        <v>46254.43704861111</v>
      </c>
      <c r="K2135" t="inlineStr">
        <is>
          <t>CF260820 02129</t>
        </is>
      </c>
      <c r="L2135" t="inlineStr">
        <is>
          <t>GL.NOSTRO.AUD.BRBX.004</t>
        </is>
      </c>
      <c r="M2135" t="inlineStr">
        <is>
          <t>Mallow Trust</t>
        </is>
      </c>
      <c r="N2135" t="inlineStr">
        <is>
          <t>BRBX</t>
        </is>
      </c>
      <c r="O2135" t="inlineStr">
        <is>
          <t>NEW</t>
        </is>
      </c>
      <c r="P2135" t="inlineStr">
        <is>
          <t>NT26082000817</t>
        </is>
      </c>
      <c r="Q2135" t="inlineStr">
        <is>
          <t>GROSS</t>
        </is>
      </c>
    </row>
    <row r="2136">
      <c r="A2136" t="inlineStr">
        <is>
          <t>953625291146</t>
        </is>
      </c>
      <c r="B2136" t="inlineStr">
        <is>
          <t>TCQ</t>
        </is>
      </c>
      <c r="C2136" t="inlineStr">
        <is>
          <t>BRGL</t>
        </is>
      </c>
      <c r="D2136" s="6" t="n">
        <v>46254</v>
      </c>
      <c r="E2136" t="inlineStr">
        <is>
          <t>DR</t>
        </is>
      </c>
      <c r="F2136" t="inlineStr">
        <is>
          <t>USD</t>
        </is>
      </c>
      <c r="G2136" s="7" t="n">
        <v>-52812463.436</v>
      </c>
      <c r="H2136" t="inlineStr">
        <is>
          <t>GBP</t>
        </is>
      </c>
      <c r="I2136" s="7" t="n">
        <v>-41404971.334</v>
      </c>
      <c r="J2136" s="8" t="n">
        <v>46254.62436342592</v>
      </c>
      <c r="K2136" t="inlineStr">
        <is>
          <t>CF260820 02130</t>
        </is>
      </c>
      <c r="L2136" t="inlineStr">
        <is>
          <t>GL.NOSTRO.USD.BRGL.004</t>
        </is>
      </c>
      <c r="M2136" t="inlineStr">
        <is>
          <t>Yarrow Clearing</t>
        </is>
      </c>
      <c r="N2136" t="inlineStr">
        <is>
          <t>BRGLCASH</t>
        </is>
      </c>
      <c r="O2136" t="inlineStr">
        <is>
          <t>NEW</t>
        </is>
      </c>
      <c r="Q2136" t="inlineStr">
        <is>
          <t>GROSS</t>
        </is>
      </c>
    </row>
    <row r="2137">
      <c r="A2137" t="inlineStr">
        <is>
          <t>284925023085</t>
        </is>
      </c>
      <c r="B2137" t="inlineStr">
        <is>
          <t>TCC</t>
        </is>
      </c>
      <c r="C2137" t="inlineStr">
        <is>
          <t>BRMD</t>
        </is>
      </c>
      <c r="D2137" s="6" t="n">
        <v>46254</v>
      </c>
      <c r="E2137" t="inlineStr">
        <is>
          <t>DR</t>
        </is>
      </c>
      <c r="F2137" t="inlineStr">
        <is>
          <t>MXN</t>
        </is>
      </c>
      <c r="G2137" s="7" t="n">
        <v>-27079907.273</v>
      </c>
      <c r="H2137" t="inlineStr">
        <is>
          <t>GBP</t>
        </is>
      </c>
      <c r="I2137" s="7" t="n">
        <v>-1159020.031</v>
      </c>
      <c r="J2137" s="8" t="n">
        <v>46254.62674768519</v>
      </c>
      <c r="K2137" t="inlineStr">
        <is>
          <t>CF260820 02131</t>
        </is>
      </c>
      <c r="L2137" t="inlineStr">
        <is>
          <t>GL.NOSTRO.MXN.BRMD.002</t>
        </is>
      </c>
      <c r="M2137" t="inlineStr">
        <is>
          <t>Sablewood Settlement Bank</t>
        </is>
      </c>
      <c r="N2137" t="inlineStr">
        <is>
          <t>BRMDTRSY</t>
        </is>
      </c>
      <c r="O2137" t="inlineStr">
        <is>
          <t>AMEND</t>
        </is>
      </c>
      <c r="Q2137" t="inlineStr">
        <is>
          <t>NETTER</t>
        </is>
      </c>
    </row>
    <row r="2138">
      <c r="A2138" t="inlineStr">
        <is>
          <t>150316825069</t>
        </is>
      </c>
      <c r="B2138" t="inlineStr">
        <is>
          <t>TCX</t>
        </is>
      </c>
      <c r="C2138" t="inlineStr">
        <is>
          <t>BRGX</t>
        </is>
      </c>
      <c r="D2138" s="6" t="n">
        <v>46254</v>
      </c>
      <c r="E2138" t="inlineStr">
        <is>
          <t>DR</t>
        </is>
      </c>
      <c r="F2138" t="inlineStr">
        <is>
          <t>GBP</t>
        </is>
      </c>
      <c r="G2138" s="7" t="n">
        <v>-50016631.658</v>
      </c>
      <c r="H2138" t="inlineStr">
        <is>
          <t>GBP</t>
        </is>
      </c>
      <c r="I2138" s="7" t="n">
        <v>-50016631.658</v>
      </c>
      <c r="J2138" s="8" t="n">
        <v>46254.41658564815</v>
      </c>
      <c r="K2138" t="inlineStr">
        <is>
          <t>CF260820 02132</t>
        </is>
      </c>
      <c r="L2138" t="inlineStr">
        <is>
          <t>GL.NOSTRO.GBP.BRGX.006</t>
        </is>
      </c>
      <c r="M2138" t="inlineStr">
        <is>
          <t>Sablewood Bank</t>
        </is>
      </c>
      <c r="N2138" t="inlineStr">
        <is>
          <t>BRGXTRSY</t>
        </is>
      </c>
      <c r="O2138" t="inlineStr">
        <is>
          <t>AMEND</t>
        </is>
      </c>
      <c r="P2138" t="inlineStr">
        <is>
          <t>NT26082000787</t>
        </is>
      </c>
      <c r="Q2138" t="inlineStr">
        <is>
          <t>GROSS</t>
        </is>
      </c>
    </row>
    <row r="2139">
      <c r="A2139" t="inlineStr">
        <is>
          <t>150316825069</t>
        </is>
      </c>
      <c r="B2139" t="inlineStr">
        <is>
          <t>TCC</t>
        </is>
      </c>
      <c r="C2139" t="inlineStr">
        <is>
          <t>BRGX</t>
        </is>
      </c>
      <c r="D2139" s="6" t="n">
        <v>46254</v>
      </c>
      <c r="E2139" t="inlineStr">
        <is>
          <t>DR</t>
        </is>
      </c>
      <c r="F2139" t="inlineStr">
        <is>
          <t>GBP</t>
        </is>
      </c>
      <c r="G2139" s="7" t="n">
        <v>-500300.189</v>
      </c>
      <c r="H2139" t="inlineStr">
        <is>
          <t>GBP</t>
        </is>
      </c>
      <c r="I2139" s="7" t="n">
        <v>-500300.189</v>
      </c>
      <c r="J2139" s="8" t="n">
        <v>46254.38805555556</v>
      </c>
      <c r="K2139" t="inlineStr">
        <is>
          <t>CF260820 02133</t>
        </is>
      </c>
      <c r="L2139" t="inlineStr">
        <is>
          <t>GL.NOSTRO.GBP.BRGX.009</t>
        </is>
      </c>
      <c r="M2139" t="inlineStr">
        <is>
          <t>Elmwood Settlement Bank</t>
        </is>
      </c>
      <c r="N2139" t="inlineStr">
        <is>
          <t>BRGX</t>
        </is>
      </c>
      <c r="O2139" t="inlineStr">
        <is>
          <t>NEW</t>
        </is>
      </c>
      <c r="P2139" t="inlineStr">
        <is>
          <t>NT26082000792</t>
        </is>
      </c>
      <c r="Q2139" t="inlineStr">
        <is>
          <t>GROSS</t>
        </is>
      </c>
    </row>
    <row r="2140">
      <c r="A2140" t="inlineStr">
        <is>
          <t>120047354818</t>
        </is>
      </c>
      <c r="B2140" t="inlineStr">
        <is>
          <t>TCC</t>
        </is>
      </c>
      <c r="C2140" t="inlineStr">
        <is>
          <t>BRNK</t>
        </is>
      </c>
      <c r="D2140" s="6" t="n">
        <v>46254</v>
      </c>
      <c r="E2140" t="inlineStr">
        <is>
          <t>DR</t>
        </is>
      </c>
      <c r="F2140" t="inlineStr">
        <is>
          <t>USD</t>
        </is>
      </c>
      <c r="G2140" s="7" t="n">
        <v>-253266.937</v>
      </c>
      <c r="H2140" t="inlineStr">
        <is>
          <t>GBP</t>
        </is>
      </c>
      <c r="I2140" s="7" t="n">
        <v>-198561.279</v>
      </c>
      <c r="J2140" s="8" t="n">
        <v>46254.56917824074</v>
      </c>
      <c r="K2140" t="inlineStr">
        <is>
          <t>CF260820 02134</t>
        </is>
      </c>
      <c r="L2140" t="inlineStr">
        <is>
          <t>GL.NOSTRO.USD.BRNK.001</t>
        </is>
      </c>
      <c r="M2140" t="inlineStr">
        <is>
          <t>Pinehurst Settlement Bank</t>
        </is>
      </c>
      <c r="N2140" t="inlineStr">
        <is>
          <t>BRNK</t>
        </is>
      </c>
      <c r="O2140" t="inlineStr">
        <is>
          <t>NEW</t>
        </is>
      </c>
      <c r="Q2140" t="inlineStr">
        <is>
          <t>GROSS</t>
        </is>
      </c>
    </row>
    <row r="2141">
      <c r="A2141" t="inlineStr">
        <is>
          <t>150316825069</t>
        </is>
      </c>
      <c r="B2141" t="inlineStr">
        <is>
          <t>TCC</t>
        </is>
      </c>
      <c r="C2141" t="inlineStr">
        <is>
          <t>BRGX</t>
        </is>
      </c>
      <c r="D2141" s="6" t="n">
        <v>46254</v>
      </c>
      <c r="E2141" t="inlineStr">
        <is>
          <t>DR</t>
        </is>
      </c>
      <c r="F2141" t="inlineStr">
        <is>
          <t>GBP</t>
        </is>
      </c>
      <c r="G2141" s="7" t="n">
        <v>-19320296.71</v>
      </c>
      <c r="H2141" t="inlineStr">
        <is>
          <t>GBP</t>
        </is>
      </c>
      <c r="I2141" s="7" t="n">
        <v>-19320296.71</v>
      </c>
      <c r="J2141" s="8" t="n">
        <v>46254.44945601852</v>
      </c>
      <c r="K2141" t="inlineStr">
        <is>
          <t>CF260820 02135</t>
        </is>
      </c>
      <c r="L2141" t="inlineStr">
        <is>
          <t>GL.NOSTRO.GBP.BRGX.002</t>
        </is>
      </c>
      <c r="M2141" t="inlineStr">
        <is>
          <t>Yarrow Commercial Bank</t>
        </is>
      </c>
      <c r="N2141" t="inlineStr">
        <is>
          <t>BRGX</t>
        </is>
      </c>
      <c r="O2141" t="inlineStr">
        <is>
          <t>NEW</t>
        </is>
      </c>
      <c r="Q2141" t="inlineStr">
        <is>
          <t>NETTER</t>
        </is>
      </c>
    </row>
    <row r="2142">
      <c r="A2142" t="inlineStr">
        <is>
          <t>150316825069</t>
        </is>
      </c>
      <c r="B2142" t="inlineStr">
        <is>
          <t>TCG</t>
        </is>
      </c>
      <c r="C2142" t="inlineStr">
        <is>
          <t>BRGX</t>
        </is>
      </c>
      <c r="D2142" s="6" t="n">
        <v>46254</v>
      </c>
      <c r="E2142" t="inlineStr">
        <is>
          <t>DR</t>
        </is>
      </c>
      <c r="F2142" t="inlineStr">
        <is>
          <t>GBP</t>
        </is>
      </c>
      <c r="G2142" s="7" t="n">
        <v>-199895.61</v>
      </c>
      <c r="H2142" t="inlineStr">
        <is>
          <t>GBP</t>
        </is>
      </c>
      <c r="I2142" s="7" t="n">
        <v>-199895.61</v>
      </c>
      <c r="J2142" s="8" t="n">
        <v>46254.4577199074</v>
      </c>
      <c r="K2142" t="inlineStr">
        <is>
          <t>CF260820 02136</t>
        </is>
      </c>
      <c r="L2142" t="inlineStr">
        <is>
          <t>GL.NOSTRO.GBP.BRGX.002</t>
        </is>
      </c>
      <c r="M2142" t="inlineStr">
        <is>
          <t>Yarrow Commercial Bank</t>
        </is>
      </c>
      <c r="N2142" t="inlineStr">
        <is>
          <t>BRGXMM</t>
        </is>
      </c>
      <c r="O2142" t="inlineStr">
        <is>
          <t>NEW</t>
        </is>
      </c>
      <c r="Q2142" t="inlineStr">
        <is>
          <t>NETTER</t>
        </is>
      </c>
    </row>
    <row r="2143">
      <c r="A2143" t="inlineStr">
        <is>
          <t>284925023085</t>
        </is>
      </c>
      <c r="B2143" t="inlineStr">
        <is>
          <t>TCG</t>
        </is>
      </c>
      <c r="C2143" t="inlineStr">
        <is>
          <t>BRMD</t>
        </is>
      </c>
      <c r="D2143" s="6" t="n">
        <v>46254</v>
      </c>
      <c r="E2143" t="inlineStr">
        <is>
          <t>CR</t>
        </is>
      </c>
      <c r="F2143" t="inlineStr">
        <is>
          <t>MXN</t>
        </is>
      </c>
      <c r="G2143" s="7" t="n">
        <v>47089158.344</v>
      </c>
      <c r="H2143" t="inlineStr">
        <is>
          <t>GBP</t>
        </is>
      </c>
      <c r="I2143" s="7" t="n">
        <v>2015415.977</v>
      </c>
      <c r="J2143" s="8" t="n">
        <v>46254.33050925926</v>
      </c>
      <c r="K2143" t="inlineStr">
        <is>
          <t>CF260820 02137</t>
        </is>
      </c>
      <c r="L2143" t="inlineStr">
        <is>
          <t>GL.NOSTRO.MXN.BRMD.007</t>
        </is>
      </c>
      <c r="M2143" t="inlineStr">
        <is>
          <t>Cedar Commercial Bank</t>
        </is>
      </c>
      <c r="N2143" t="inlineStr">
        <is>
          <t>BRMD</t>
        </is>
      </c>
      <c r="O2143" t="inlineStr">
        <is>
          <t>NEW</t>
        </is>
      </c>
      <c r="Q2143" t="inlineStr">
        <is>
          <t>NETTER</t>
        </is>
      </c>
    </row>
    <row r="2144">
      <c r="A2144" t="inlineStr">
        <is>
          <t>968942362772</t>
        </is>
      </c>
      <c r="B2144" t="inlineStr">
        <is>
          <t>TCP</t>
        </is>
      </c>
      <c r="C2144" t="inlineStr">
        <is>
          <t>BRYG</t>
        </is>
      </c>
      <c r="D2144" s="6" t="n">
        <v>46254</v>
      </c>
      <c r="E2144" t="inlineStr">
        <is>
          <t>CR</t>
        </is>
      </c>
      <c r="F2144" t="inlineStr">
        <is>
          <t>EUR</t>
        </is>
      </c>
      <c r="G2144" s="7" t="n">
        <v>63852.881</v>
      </c>
      <c r="H2144" t="inlineStr">
        <is>
          <t>GBP</t>
        </is>
      </c>
      <c r="I2144" s="7" t="n">
        <v>54785.772</v>
      </c>
      <c r="J2144" s="8" t="n">
        <v>46254.49868055555</v>
      </c>
      <c r="K2144" t="inlineStr">
        <is>
          <t>CF260820 02138</t>
        </is>
      </c>
      <c r="L2144" t="inlineStr">
        <is>
          <t>GL.NOSTRO.EUR.BRYG.007</t>
        </is>
      </c>
      <c r="M2144" t="inlineStr">
        <is>
          <t>Granite Bank</t>
        </is>
      </c>
      <c r="N2144" t="inlineStr">
        <is>
          <t>BRYG</t>
        </is>
      </c>
      <c r="O2144" t="inlineStr">
        <is>
          <t>AMEND</t>
        </is>
      </c>
      <c r="Q2144" t="inlineStr">
        <is>
          <t>NETTER</t>
        </is>
      </c>
    </row>
    <row r="2145">
      <c r="A2145" t="inlineStr">
        <is>
          <t>468341071172</t>
        </is>
      </c>
      <c r="B2145" t="inlineStr">
        <is>
          <t>TCC</t>
        </is>
      </c>
      <c r="C2145" t="inlineStr">
        <is>
          <t>BRCC</t>
        </is>
      </c>
      <c r="D2145" s="6" t="n">
        <v>46254</v>
      </c>
      <c r="E2145" t="inlineStr">
        <is>
          <t>CR</t>
        </is>
      </c>
      <c r="F2145" t="inlineStr">
        <is>
          <t>EUR</t>
        </is>
      </c>
      <c r="G2145" s="7" t="n">
        <v>6917216.244</v>
      </c>
      <c r="H2145" t="inlineStr">
        <is>
          <t>GBP</t>
        </is>
      </c>
      <c r="I2145" s="7" t="n">
        <v>5934971.537</v>
      </c>
      <c r="J2145" s="8" t="n">
        <v>46254.22842592592</v>
      </c>
      <c r="K2145" t="inlineStr">
        <is>
          <t>CF260820 02139</t>
        </is>
      </c>
      <c r="L2145" t="inlineStr">
        <is>
          <t>GL.NOSTRO.EUR.BRCC.005</t>
        </is>
      </c>
      <c r="M2145" t="inlineStr">
        <is>
          <t>Alder Clearing</t>
        </is>
      </c>
      <c r="N2145" t="inlineStr">
        <is>
          <t>BRCCCASH</t>
        </is>
      </c>
      <c r="O2145" t="inlineStr">
        <is>
          <t>NEW</t>
        </is>
      </c>
      <c r="Q2145" t="inlineStr">
        <is>
          <t>GROSS</t>
        </is>
      </c>
    </row>
    <row r="2146">
      <c r="A2146" t="inlineStr">
        <is>
          <t>898317028833</t>
        </is>
      </c>
      <c r="B2146" t="inlineStr">
        <is>
          <t>TCG</t>
        </is>
      </c>
      <c r="C2146" t="inlineStr">
        <is>
          <t>BRAA</t>
        </is>
      </c>
      <c r="D2146" s="6" t="n">
        <v>46254</v>
      </c>
      <c r="E2146" t="inlineStr">
        <is>
          <t>CR</t>
        </is>
      </c>
      <c r="F2146" t="inlineStr">
        <is>
          <t>GBP</t>
        </is>
      </c>
      <c r="G2146" s="7" t="n">
        <v>81289836.24600001</v>
      </c>
      <c r="H2146" t="inlineStr">
        <is>
          <t>GBP</t>
        </is>
      </c>
      <c r="I2146" s="7" t="n">
        <v>81289836.24600001</v>
      </c>
      <c r="J2146" s="8" t="n">
        <v>46254.66660879629</v>
      </c>
      <c r="K2146" t="inlineStr">
        <is>
          <t>CF260820 02140</t>
        </is>
      </c>
      <c r="L2146" t="inlineStr">
        <is>
          <t>GL.NOSTRO.GBP.BRAA.003</t>
        </is>
      </c>
      <c r="M2146" t="inlineStr">
        <is>
          <t>Wrenfield Settlement Bank</t>
        </is>
      </c>
      <c r="N2146" t="inlineStr">
        <is>
          <t>BRAACASH</t>
        </is>
      </c>
      <c r="O2146" t="inlineStr">
        <is>
          <t>NEW</t>
        </is>
      </c>
      <c r="P2146" t="inlineStr">
        <is>
          <t>NT26082000810</t>
        </is>
      </c>
      <c r="Q2146" t="inlineStr">
        <is>
          <t>NETTER</t>
        </is>
      </c>
    </row>
    <row r="2147">
      <c r="A2147" t="inlineStr">
        <is>
          <t>150316825069</t>
        </is>
      </c>
      <c r="B2147" t="inlineStr">
        <is>
          <t>TCP</t>
        </is>
      </c>
      <c r="C2147" t="inlineStr">
        <is>
          <t>BRGX</t>
        </is>
      </c>
      <c r="D2147" s="6" t="n">
        <v>46254</v>
      </c>
      <c r="E2147" t="inlineStr">
        <is>
          <t>CR</t>
        </is>
      </c>
      <c r="F2147" t="inlineStr">
        <is>
          <t>GBP</t>
        </is>
      </c>
      <c r="G2147" s="7" t="n">
        <v>144786664.685</v>
      </c>
      <c r="H2147" t="inlineStr">
        <is>
          <t>GBP</t>
        </is>
      </c>
      <c r="I2147" s="7" t="n">
        <v>144786664.685</v>
      </c>
      <c r="J2147" s="8" t="n">
        <v>46254.29719907408</v>
      </c>
      <c r="K2147" t="inlineStr">
        <is>
          <t>CF260820 02141</t>
        </is>
      </c>
      <c r="L2147" t="inlineStr">
        <is>
          <t>GL.NOSTRO.GBP.BRGX.008</t>
        </is>
      </c>
      <c r="M2147" t="inlineStr">
        <is>
          <t>Pinehurst Bank</t>
        </is>
      </c>
      <c r="N2147" t="inlineStr">
        <is>
          <t>BRGX</t>
        </is>
      </c>
      <c r="O2147" t="inlineStr">
        <is>
          <t>NEW</t>
        </is>
      </c>
      <c r="Q2147" t="inlineStr">
        <is>
          <t>NETTER</t>
        </is>
      </c>
    </row>
    <row r="2148">
      <c r="A2148" t="inlineStr">
        <is>
          <t>953625291146</t>
        </is>
      </c>
      <c r="B2148" t="inlineStr">
        <is>
          <t>TCP</t>
        </is>
      </c>
      <c r="C2148" t="inlineStr">
        <is>
          <t>BRGL</t>
        </is>
      </c>
      <c r="D2148" s="6" t="n">
        <v>46254</v>
      </c>
      <c r="E2148" t="inlineStr">
        <is>
          <t>DR</t>
        </is>
      </c>
      <c r="F2148" t="inlineStr">
        <is>
          <t>USD</t>
        </is>
      </c>
      <c r="G2148" s="7" t="n">
        <v>-2209259.099</v>
      </c>
      <c r="H2148" t="inlineStr">
        <is>
          <t>GBP</t>
        </is>
      </c>
      <c r="I2148" s="7" t="n">
        <v>-1732059.134</v>
      </c>
      <c r="J2148" s="8" t="n">
        <v>46254.39063657408</v>
      </c>
      <c r="K2148" t="inlineStr">
        <is>
          <t>CF260820 02142</t>
        </is>
      </c>
      <c r="L2148" t="inlineStr">
        <is>
          <t>GL.NOSTRO.USD.BRGL.005</t>
        </is>
      </c>
      <c r="M2148" t="inlineStr">
        <is>
          <t>Redstart Commercial Bank</t>
        </is>
      </c>
      <c r="N2148" t="inlineStr">
        <is>
          <t>BRGLTRSY</t>
        </is>
      </c>
      <c r="O2148" t="inlineStr">
        <is>
          <t>NEW</t>
        </is>
      </c>
      <c r="P2148" t="inlineStr">
        <is>
          <t>NT26082000789</t>
        </is>
      </c>
      <c r="Q2148" t="inlineStr">
        <is>
          <t>NETTER</t>
        </is>
      </c>
    </row>
    <row r="2149">
      <c r="A2149" t="inlineStr">
        <is>
          <t>794226063698</t>
        </is>
      </c>
      <c r="B2149" t="inlineStr">
        <is>
          <t>TCQ</t>
        </is>
      </c>
      <c r="C2149" t="inlineStr">
        <is>
          <t>BRMD</t>
        </is>
      </c>
      <c r="D2149" s="6" t="n">
        <v>46254</v>
      </c>
      <c r="E2149" t="inlineStr">
        <is>
          <t>DR</t>
        </is>
      </c>
      <c r="F2149" t="inlineStr">
        <is>
          <t>AED</t>
        </is>
      </c>
      <c r="G2149" s="7" t="n">
        <v>-1742996.968</v>
      </c>
      <c r="H2149" t="inlineStr">
        <is>
          <t>GBP</t>
        </is>
      </c>
      <c r="I2149" s="7" t="n">
        <v>-371258.354</v>
      </c>
      <c r="J2149" s="8" t="n">
        <v>46254.37871527778</v>
      </c>
      <c r="K2149" t="inlineStr">
        <is>
          <t>CF260820 02143</t>
        </is>
      </c>
      <c r="L2149" t="inlineStr">
        <is>
          <t>GL.NOSTRO.AED.BRMD.009</t>
        </is>
      </c>
      <c r="M2149" t="inlineStr">
        <is>
          <t>Sablewood Bank</t>
        </is>
      </c>
      <c r="N2149" t="inlineStr">
        <is>
          <t>BRMDTRSY</t>
        </is>
      </c>
      <c r="O2149" t="inlineStr">
        <is>
          <t>CANCEL</t>
        </is>
      </c>
      <c r="Q2149" t="inlineStr">
        <is>
          <t>NETTER</t>
        </is>
      </c>
    </row>
    <row r="2150">
      <c r="A2150" t="inlineStr">
        <is>
          <t>794226063698</t>
        </is>
      </c>
      <c r="B2150" t="inlineStr">
        <is>
          <t>TCQ</t>
        </is>
      </c>
      <c r="C2150" t="inlineStr">
        <is>
          <t>BRMD</t>
        </is>
      </c>
      <c r="D2150" s="6" t="n">
        <v>46254</v>
      </c>
      <c r="E2150" t="inlineStr">
        <is>
          <t>DR</t>
        </is>
      </c>
      <c r="F2150" t="inlineStr">
        <is>
          <t>AED</t>
        </is>
      </c>
      <c r="G2150" s="7" t="n">
        <v>-8681547.971999999</v>
      </c>
      <c r="H2150" t="inlineStr">
        <is>
          <t>GBP</t>
        </is>
      </c>
      <c r="I2150" s="7" t="n">
        <v>-1849169.718</v>
      </c>
      <c r="J2150" s="8" t="n">
        <v>46254.65407407407</v>
      </c>
      <c r="K2150" t="inlineStr">
        <is>
          <t>CF260820 02144</t>
        </is>
      </c>
      <c r="L2150" t="inlineStr">
        <is>
          <t>GL.NOSTRO.AED.BRMD.005</t>
        </is>
      </c>
      <c r="M2150" t="inlineStr">
        <is>
          <t>Mallow Commercial Bank</t>
        </is>
      </c>
      <c r="N2150" t="inlineStr">
        <is>
          <t>BRMDMM</t>
        </is>
      </c>
      <c r="O2150" t="inlineStr">
        <is>
          <t>NEW</t>
        </is>
      </c>
      <c r="Q2150" t="inlineStr">
        <is>
          <t>NETTER</t>
        </is>
      </c>
    </row>
    <row r="2151">
      <c r="A2151" t="inlineStr">
        <is>
          <t>726928343448</t>
        </is>
      </c>
      <c r="B2151" t="inlineStr">
        <is>
          <t>TCQ</t>
        </is>
      </c>
      <c r="C2151" t="inlineStr">
        <is>
          <t>BRGX</t>
        </is>
      </c>
      <c r="D2151" s="6" t="n">
        <v>46254</v>
      </c>
      <c r="E2151" t="inlineStr">
        <is>
          <t>CR</t>
        </is>
      </c>
      <c r="F2151" t="inlineStr">
        <is>
          <t>EUR</t>
        </is>
      </c>
      <c r="G2151" s="7" t="n">
        <v>35649683.934</v>
      </c>
      <c r="H2151" t="inlineStr">
        <is>
          <t>GBP</t>
        </is>
      </c>
      <c r="I2151" s="7" t="n">
        <v>30587428.815</v>
      </c>
      <c r="J2151" s="8" t="n">
        <v>46254.70646990741</v>
      </c>
      <c r="K2151" t="inlineStr">
        <is>
          <t>CF260820 02145</t>
        </is>
      </c>
      <c r="L2151" t="inlineStr">
        <is>
          <t>GL.NOSTRO.EUR.BRGX.007</t>
        </is>
      </c>
      <c r="M2151" t="inlineStr">
        <is>
          <t>Umberton Commercial Bank</t>
        </is>
      </c>
      <c r="N2151" t="inlineStr">
        <is>
          <t>BRGX</t>
        </is>
      </c>
      <c r="O2151" t="inlineStr">
        <is>
          <t>NEW</t>
        </is>
      </c>
      <c r="Q2151" t="inlineStr">
        <is>
          <t>GROSS</t>
        </is>
      </c>
    </row>
    <row r="2152">
      <c r="A2152" t="inlineStr">
        <is>
          <t>150316825069</t>
        </is>
      </c>
      <c r="B2152" t="inlineStr">
        <is>
          <t>TCQ</t>
        </is>
      </c>
      <c r="C2152" t="inlineStr">
        <is>
          <t>BRGX</t>
        </is>
      </c>
      <c r="D2152" s="6" t="n">
        <v>46254</v>
      </c>
      <c r="E2152" t="inlineStr">
        <is>
          <t>CR</t>
        </is>
      </c>
      <c r="F2152" t="inlineStr">
        <is>
          <t>GBP</t>
        </is>
      </c>
      <c r="G2152" s="7" t="n">
        <v>3021.54</v>
      </c>
      <c r="H2152" t="inlineStr">
        <is>
          <t>GBP</t>
        </is>
      </c>
      <c r="I2152" s="7" t="n">
        <v>3021.54</v>
      </c>
      <c r="J2152" s="8" t="n">
        <v>46254.69385416667</v>
      </c>
      <c r="K2152" t="inlineStr">
        <is>
          <t>CF260820 02146</t>
        </is>
      </c>
      <c r="L2152" t="inlineStr">
        <is>
          <t>GL.NOSTRO.GBP.BRGX.003</t>
        </is>
      </c>
      <c r="M2152" t="inlineStr">
        <is>
          <t>Ironbark Trust</t>
        </is>
      </c>
      <c r="N2152" t="inlineStr">
        <is>
          <t>BRGXMM</t>
        </is>
      </c>
      <c r="O2152" t="inlineStr">
        <is>
          <t>NEW</t>
        </is>
      </c>
      <c r="P2152" t="inlineStr">
        <is>
          <t>NT26082000803</t>
        </is>
      </c>
      <c r="Q2152" t="inlineStr">
        <is>
          <t>GROSS</t>
        </is>
      </c>
    </row>
    <row r="2153">
      <c r="A2153" t="inlineStr">
        <is>
          <t>171857983160</t>
        </is>
      </c>
      <c r="B2153" t="inlineStr">
        <is>
          <t>TCX</t>
        </is>
      </c>
      <c r="C2153" t="inlineStr">
        <is>
          <t>BRBX</t>
        </is>
      </c>
      <c r="D2153" s="6" t="n">
        <v>46254</v>
      </c>
      <c r="E2153" t="inlineStr">
        <is>
          <t>CR</t>
        </is>
      </c>
      <c r="F2153" t="inlineStr">
        <is>
          <t>AUD</t>
        </is>
      </c>
      <c r="G2153" s="7" t="n">
        <v>103938627.129</v>
      </c>
      <c r="H2153" t="inlineStr">
        <is>
          <t>GBP</t>
        </is>
      </c>
      <c r="I2153" s="7" t="n">
        <v>53320515.717</v>
      </c>
      <c r="J2153" s="8" t="n">
        <v>46254.49503472223</v>
      </c>
      <c r="K2153" t="inlineStr">
        <is>
          <t>CF260820 02147</t>
        </is>
      </c>
      <c r="L2153" t="inlineStr">
        <is>
          <t>GL.NOSTRO.AUD.BRBX.006</t>
        </is>
      </c>
      <c r="M2153" t="inlineStr">
        <is>
          <t>Redstart Commercial Bank</t>
        </is>
      </c>
      <c r="N2153" t="inlineStr">
        <is>
          <t>BRBX</t>
        </is>
      </c>
      <c r="O2153" t="inlineStr">
        <is>
          <t>NEW</t>
        </is>
      </c>
      <c r="P2153" t="inlineStr">
        <is>
          <t>NT26082000789</t>
        </is>
      </c>
      <c r="Q2153" t="inlineStr">
        <is>
          <t>NETTER</t>
        </is>
      </c>
    </row>
    <row r="2154">
      <c r="A2154" t="inlineStr">
        <is>
          <t>726928343448</t>
        </is>
      </c>
      <c r="B2154" t="inlineStr">
        <is>
          <t>TCQ</t>
        </is>
      </c>
      <c r="C2154" t="inlineStr">
        <is>
          <t>BRGX</t>
        </is>
      </c>
      <c r="D2154" s="6" t="n">
        <v>46254</v>
      </c>
      <c r="E2154" t="inlineStr">
        <is>
          <t>CR</t>
        </is>
      </c>
      <c r="F2154" t="inlineStr">
        <is>
          <t>EUR</t>
        </is>
      </c>
      <c r="G2154" s="7" t="n">
        <v>58277870.98</v>
      </c>
      <c r="H2154" t="inlineStr">
        <is>
          <t>GBP</t>
        </is>
      </c>
      <c r="I2154" s="7" t="n">
        <v>50002413.301</v>
      </c>
      <c r="J2154" s="8" t="n">
        <v>46254.49791666667</v>
      </c>
      <c r="K2154" t="inlineStr">
        <is>
          <t>CF260820 02148</t>
        </is>
      </c>
      <c r="L2154" t="inlineStr">
        <is>
          <t>GL.NOSTRO.EUR.BRGX.003</t>
        </is>
      </c>
      <c r="M2154" t="inlineStr">
        <is>
          <t>Zephyr Commercial Bank</t>
        </is>
      </c>
      <c r="N2154" t="inlineStr">
        <is>
          <t>BRGXTRSY</t>
        </is>
      </c>
      <c r="O2154" t="inlineStr">
        <is>
          <t>NEW</t>
        </is>
      </c>
      <c r="Q2154" t="inlineStr">
        <is>
          <t>GROSS</t>
        </is>
      </c>
    </row>
    <row r="2155">
      <c r="A2155" t="inlineStr">
        <is>
          <t>794226063698</t>
        </is>
      </c>
      <c r="B2155" t="inlineStr">
        <is>
          <t>TCG</t>
        </is>
      </c>
      <c r="C2155" t="inlineStr">
        <is>
          <t>BRMD</t>
        </is>
      </c>
      <c r="D2155" s="6" t="n">
        <v>46254</v>
      </c>
      <c r="E2155" t="inlineStr">
        <is>
          <t>CR</t>
        </is>
      </c>
      <c r="F2155" t="inlineStr">
        <is>
          <t>AED</t>
        </is>
      </c>
      <c r="G2155" s="7" t="n">
        <v>12565.697</v>
      </c>
      <c r="H2155" t="inlineStr">
        <is>
          <t>GBP</t>
        </is>
      </c>
      <c r="I2155" s="7" t="n">
        <v>2676.493</v>
      </c>
      <c r="J2155" s="8" t="n">
        <v>46254.54101851852</v>
      </c>
      <c r="K2155" t="inlineStr">
        <is>
          <t>CF260820 02149</t>
        </is>
      </c>
      <c r="L2155" t="inlineStr">
        <is>
          <t>GL.NOSTRO.AED.BRMD.004</t>
        </is>
      </c>
      <c r="M2155" t="inlineStr">
        <is>
          <t>Ironbark Trust</t>
        </is>
      </c>
      <c r="N2155" t="inlineStr">
        <is>
          <t>BRMDMM</t>
        </is>
      </c>
      <c r="O2155" t="inlineStr">
        <is>
          <t>NEW</t>
        </is>
      </c>
      <c r="Q2155" t="inlineStr">
        <is>
          <t>NETTER</t>
        </is>
      </c>
    </row>
    <row r="2156">
      <c r="A2156" t="inlineStr">
        <is>
          <t>468341071172</t>
        </is>
      </c>
      <c r="B2156" t="inlineStr">
        <is>
          <t>TCC</t>
        </is>
      </c>
      <c r="C2156" t="inlineStr">
        <is>
          <t>BRCC</t>
        </is>
      </c>
      <c r="D2156" s="6" t="n">
        <v>46254</v>
      </c>
      <c r="E2156" t="inlineStr">
        <is>
          <t>DR</t>
        </is>
      </c>
      <c r="F2156" t="inlineStr">
        <is>
          <t>EUR</t>
        </is>
      </c>
      <c r="G2156" s="7" t="n">
        <v>-1414381.51</v>
      </c>
      <c r="H2156" t="inlineStr">
        <is>
          <t>GBP</t>
        </is>
      </c>
      <c r="I2156" s="7" t="n">
        <v>-1213539.336</v>
      </c>
      <c r="J2156" s="8" t="n">
        <v>46254.55645833333</v>
      </c>
      <c r="K2156" t="inlineStr">
        <is>
          <t>CF260820 02150</t>
        </is>
      </c>
      <c r="L2156" t="inlineStr">
        <is>
          <t>GL.NOSTRO.EUR.BRCC.006</t>
        </is>
      </c>
      <c r="M2156" t="inlineStr">
        <is>
          <t>Juniper Bank</t>
        </is>
      </c>
      <c r="N2156" t="inlineStr">
        <is>
          <t>BRCCTRSY</t>
        </is>
      </c>
      <c r="O2156" t="inlineStr">
        <is>
          <t>CANCEL</t>
        </is>
      </c>
      <c r="P2156" t="inlineStr">
        <is>
          <t>NT26082000786</t>
        </is>
      </c>
      <c r="Q2156" t="inlineStr">
        <is>
          <t>NETTER</t>
        </is>
      </c>
    </row>
    <row r="2157">
      <c r="A2157" t="inlineStr">
        <is>
          <t>700726936098</t>
        </is>
      </c>
      <c r="B2157" t="inlineStr">
        <is>
          <t>TCC</t>
        </is>
      </c>
      <c r="C2157" t="inlineStr">
        <is>
          <t>BRMD</t>
        </is>
      </c>
      <c r="D2157" s="6" t="n">
        <v>46254</v>
      </c>
      <c r="E2157" t="inlineStr">
        <is>
          <t>CR</t>
        </is>
      </c>
      <c r="F2157" t="inlineStr">
        <is>
          <t>SAR</t>
        </is>
      </c>
      <c r="G2157" s="7" t="n">
        <v>197332.041</v>
      </c>
      <c r="H2157" t="inlineStr">
        <is>
          <t>GBP</t>
        </is>
      </c>
      <c r="I2157" s="7" t="n">
        <v>41242.397</v>
      </c>
      <c r="J2157" s="8" t="n">
        <v>46254.61885416666</v>
      </c>
      <c r="K2157" t="inlineStr">
        <is>
          <t>CF260820 02151</t>
        </is>
      </c>
      <c r="L2157" t="inlineStr">
        <is>
          <t>GL.NOSTRO.SAR.BRMD.002</t>
        </is>
      </c>
      <c r="M2157" t="inlineStr">
        <is>
          <t>Redstart Trust</t>
        </is>
      </c>
      <c r="N2157" t="inlineStr">
        <is>
          <t>BRMD</t>
        </is>
      </c>
      <c r="O2157" t="inlineStr">
        <is>
          <t>NEW</t>
        </is>
      </c>
      <c r="Q2157" t="inlineStr">
        <is>
          <t>NETTER</t>
        </is>
      </c>
    </row>
    <row r="2158">
      <c r="A2158" t="inlineStr">
        <is>
          <t>171857983160</t>
        </is>
      </c>
      <c r="B2158" t="inlineStr">
        <is>
          <t>TCG</t>
        </is>
      </c>
      <c r="C2158" t="inlineStr">
        <is>
          <t>BRBX</t>
        </is>
      </c>
      <c r="D2158" s="6" t="n">
        <v>46254</v>
      </c>
      <c r="E2158" t="inlineStr">
        <is>
          <t>CR</t>
        </is>
      </c>
      <c r="F2158" t="inlineStr">
        <is>
          <t>AUD</t>
        </is>
      </c>
      <c r="G2158" s="7" t="n">
        <v>5274378.629</v>
      </c>
      <c r="H2158" t="inlineStr">
        <is>
          <t>GBP</t>
        </is>
      </c>
      <c r="I2158" s="7" t="n">
        <v>2705756.237</v>
      </c>
      <c r="J2158" s="8" t="n">
        <v>46254.35145833333</v>
      </c>
      <c r="K2158" t="inlineStr">
        <is>
          <t>CF260820 02152</t>
        </is>
      </c>
      <c r="L2158" t="inlineStr">
        <is>
          <t>GL.NOSTRO.AUD.BRBX.001</t>
        </is>
      </c>
      <c r="M2158" t="inlineStr">
        <is>
          <t>Elmwood Bank</t>
        </is>
      </c>
      <c r="N2158" t="inlineStr">
        <is>
          <t>BRBXCASH</t>
        </is>
      </c>
      <c r="O2158" t="inlineStr">
        <is>
          <t>AMEND</t>
        </is>
      </c>
      <c r="P2158" t="inlineStr">
        <is>
          <t>NT26082000821</t>
        </is>
      </c>
      <c r="Q2158" t="inlineStr">
        <is>
          <t>GROSS</t>
        </is>
      </c>
    </row>
    <row r="2159">
      <c r="A2159" t="inlineStr">
        <is>
          <t>621381112674</t>
        </is>
      </c>
      <c r="B2159" t="inlineStr">
        <is>
          <t>TCG</t>
        </is>
      </c>
      <c r="C2159" t="inlineStr">
        <is>
          <t>BRAA</t>
        </is>
      </c>
      <c r="D2159" s="6" t="n">
        <v>46254</v>
      </c>
      <c r="E2159" t="inlineStr">
        <is>
          <t>CR</t>
        </is>
      </c>
      <c r="F2159" t="inlineStr">
        <is>
          <t>PLN</t>
        </is>
      </c>
      <c r="G2159" s="7" t="n">
        <v>67436843.90899999</v>
      </c>
      <c r="H2159" t="inlineStr">
        <is>
          <t>GBP</t>
        </is>
      </c>
      <c r="I2159" s="7" t="n">
        <v>13352495.094</v>
      </c>
      <c r="J2159" s="8" t="n">
        <v>46254.44729166666</v>
      </c>
      <c r="K2159" t="inlineStr">
        <is>
          <t>CF260820 02153</t>
        </is>
      </c>
      <c r="L2159" t="inlineStr">
        <is>
          <t>GL.NOSTRO.PLN.BRAA.002</t>
        </is>
      </c>
      <c r="M2159" t="inlineStr">
        <is>
          <t>Elmwood Bank</t>
        </is>
      </c>
      <c r="N2159" t="inlineStr">
        <is>
          <t>BRAA</t>
        </is>
      </c>
      <c r="O2159" t="inlineStr">
        <is>
          <t>NEW</t>
        </is>
      </c>
      <c r="Q2159" t="inlineStr">
        <is>
          <t>INTERNAL</t>
        </is>
      </c>
    </row>
    <row r="2160">
      <c r="A2160" t="inlineStr">
        <is>
          <t>898317028833</t>
        </is>
      </c>
      <c r="B2160" t="inlineStr">
        <is>
          <t>TCQ</t>
        </is>
      </c>
      <c r="C2160" t="inlineStr">
        <is>
          <t>BRAA</t>
        </is>
      </c>
      <c r="D2160" s="6" t="n">
        <v>46254</v>
      </c>
      <c r="E2160" t="inlineStr">
        <is>
          <t>CR</t>
        </is>
      </c>
      <c r="F2160" t="inlineStr">
        <is>
          <t>GBP</t>
        </is>
      </c>
      <c r="G2160" s="7" t="n">
        <v>30317515.26</v>
      </c>
      <c r="H2160" t="inlineStr">
        <is>
          <t>GBP</t>
        </is>
      </c>
      <c r="I2160" s="7" t="n">
        <v>30317515.26</v>
      </c>
      <c r="J2160" s="8" t="n">
        <v>46254.25311342593</v>
      </c>
      <c r="K2160" t="inlineStr">
        <is>
          <t>CF260820 02154</t>
        </is>
      </c>
      <c r="L2160" t="inlineStr">
        <is>
          <t>GL.NOSTRO.GBP.BRAA.003</t>
        </is>
      </c>
      <c r="M2160" t="inlineStr">
        <is>
          <t>Sablewood Clearing</t>
        </is>
      </c>
      <c r="N2160" t="inlineStr">
        <is>
          <t>BRAACASH</t>
        </is>
      </c>
      <c r="O2160" t="inlineStr">
        <is>
          <t>NEW</t>
        </is>
      </c>
      <c r="Q2160" t="inlineStr">
        <is>
          <t>NETTER</t>
        </is>
      </c>
    </row>
    <row r="2161">
      <c r="A2161" t="inlineStr">
        <is>
          <t>499062838623</t>
        </is>
      </c>
      <c r="B2161" t="inlineStr">
        <is>
          <t>TCC</t>
        </is>
      </c>
      <c r="C2161" t="inlineStr">
        <is>
          <t>BRBX</t>
        </is>
      </c>
      <c r="D2161" s="6" t="n">
        <v>46254</v>
      </c>
      <c r="E2161" t="inlineStr">
        <is>
          <t>DR</t>
        </is>
      </c>
      <c r="F2161" t="inlineStr">
        <is>
          <t>USD</t>
        </is>
      </c>
      <c r="G2161" s="7" t="n">
        <v>-213347374.863</v>
      </c>
      <c r="H2161" t="inlineStr">
        <is>
          <t>GBP</t>
        </is>
      </c>
      <c r="I2161" s="7" t="n">
        <v>-167264341.893</v>
      </c>
      <c r="J2161" s="8" t="n">
        <v>46254.74693287037</v>
      </c>
      <c r="K2161" t="inlineStr">
        <is>
          <t>CF260820 02155</t>
        </is>
      </c>
      <c r="L2161" t="inlineStr">
        <is>
          <t>GL.NOSTRO.USD.BRBX.002</t>
        </is>
      </c>
      <c r="M2161" t="inlineStr">
        <is>
          <t>Fernway Settlement Bank</t>
        </is>
      </c>
      <c r="N2161" t="inlineStr">
        <is>
          <t>BRBXMM</t>
        </is>
      </c>
      <c r="O2161" t="inlineStr">
        <is>
          <t>NEW</t>
        </is>
      </c>
      <c r="Q2161" t="inlineStr">
        <is>
          <t>NETTER</t>
        </is>
      </c>
    </row>
    <row r="2162">
      <c r="A2162" t="inlineStr">
        <is>
          <t>359365220160</t>
        </is>
      </c>
      <c r="B2162" t="inlineStr">
        <is>
          <t>TCX</t>
        </is>
      </c>
      <c r="C2162" t="inlineStr">
        <is>
          <t>BRGX</t>
        </is>
      </c>
      <c r="D2162" s="6" t="n">
        <v>46254</v>
      </c>
      <c r="E2162" t="inlineStr">
        <is>
          <t>DR</t>
        </is>
      </c>
      <c r="F2162" t="inlineStr">
        <is>
          <t>EUR</t>
        </is>
      </c>
      <c r="G2162" s="7" t="n">
        <v>-753765918.684</v>
      </c>
      <c r="H2162" t="inlineStr">
        <is>
          <t>GBP</t>
        </is>
      </c>
      <c r="I2162" s="7" t="n">
        <v>-646731158.2309999</v>
      </c>
      <c r="J2162" s="8" t="n">
        <v>46254.58402777778</v>
      </c>
      <c r="K2162" t="inlineStr">
        <is>
          <t>CF260820 02156</t>
        </is>
      </c>
      <c r="L2162" t="inlineStr">
        <is>
          <t>GL.NOSTRO.EUR.BRGX.003</t>
        </is>
      </c>
      <c r="M2162" t="inlineStr">
        <is>
          <t>Alder Trust</t>
        </is>
      </c>
      <c r="N2162" t="inlineStr">
        <is>
          <t>BRGXMM</t>
        </is>
      </c>
      <c r="O2162" t="inlineStr">
        <is>
          <t>NEW</t>
        </is>
      </c>
      <c r="Q2162" t="inlineStr">
        <is>
          <t>INTERNAL</t>
        </is>
      </c>
    </row>
    <row r="2163">
      <c r="A2163" t="inlineStr">
        <is>
          <t>150316825069</t>
        </is>
      </c>
      <c r="B2163" t="inlineStr">
        <is>
          <t>TCX</t>
        </is>
      </c>
      <c r="C2163" t="inlineStr">
        <is>
          <t>BRGX</t>
        </is>
      </c>
      <c r="D2163" s="6" t="n">
        <v>46254</v>
      </c>
      <c r="E2163" t="inlineStr">
        <is>
          <t>CR</t>
        </is>
      </c>
      <c r="F2163" t="inlineStr">
        <is>
          <t>GBP</t>
        </is>
      </c>
      <c r="G2163" s="7" t="n">
        <v>2108616.847</v>
      </c>
      <c r="H2163" t="inlineStr">
        <is>
          <t>GBP</t>
        </is>
      </c>
      <c r="I2163" s="7" t="n">
        <v>2108616.847</v>
      </c>
      <c r="J2163" s="8" t="n">
        <v>46254.65663194445</v>
      </c>
      <c r="K2163" t="inlineStr">
        <is>
          <t>CF260820 02157</t>
        </is>
      </c>
      <c r="L2163" t="inlineStr">
        <is>
          <t>GL.NOSTRO.GBP.BRGX.008</t>
        </is>
      </c>
      <c r="M2163" t="inlineStr">
        <is>
          <t>Sablewood Bank</t>
        </is>
      </c>
      <c r="N2163" t="inlineStr">
        <is>
          <t>BRGX</t>
        </is>
      </c>
      <c r="O2163" t="inlineStr">
        <is>
          <t>NEW</t>
        </is>
      </c>
      <c r="Q2163" t="inlineStr">
        <is>
          <t>NETTER</t>
        </is>
      </c>
    </row>
    <row r="2164">
      <c r="A2164" t="inlineStr">
        <is>
          <t>968942362772</t>
        </is>
      </c>
      <c r="B2164" t="inlineStr">
        <is>
          <t>TCX</t>
        </is>
      </c>
      <c r="C2164" t="inlineStr">
        <is>
          <t>BRYG</t>
        </is>
      </c>
      <c r="D2164" s="6" t="n">
        <v>46254</v>
      </c>
      <c r="E2164" t="inlineStr">
        <is>
          <t>CR</t>
        </is>
      </c>
      <c r="F2164" t="inlineStr">
        <is>
          <t>EUR</t>
        </is>
      </c>
      <c r="G2164" s="7" t="n">
        <v>10882600.472</v>
      </c>
      <c r="H2164" t="inlineStr">
        <is>
          <t>GBP</t>
        </is>
      </c>
      <c r="I2164" s="7" t="n">
        <v>9337271.205</v>
      </c>
      <c r="J2164" s="8" t="n">
        <v>46254.75636574074</v>
      </c>
      <c r="K2164" t="inlineStr">
        <is>
          <t>CF260820 02158</t>
        </is>
      </c>
      <c r="L2164" t="inlineStr">
        <is>
          <t>GL.NOSTRO.EUR.BRYG.009</t>
        </is>
      </c>
      <c r="M2164" t="inlineStr">
        <is>
          <t>Yarrow Clearing</t>
        </is>
      </c>
      <c r="N2164" t="inlineStr">
        <is>
          <t>BRYGTRSY</t>
        </is>
      </c>
      <c r="O2164" t="inlineStr">
        <is>
          <t>AMEND</t>
        </is>
      </c>
      <c r="Q2164" t="inlineStr">
        <is>
          <t>NETTER</t>
        </is>
      </c>
    </row>
    <row r="2165">
      <c r="A2165" t="inlineStr">
        <is>
          <t>968942362772</t>
        </is>
      </c>
      <c r="B2165" t="inlineStr">
        <is>
          <t>TCQ</t>
        </is>
      </c>
      <c r="C2165" t="inlineStr">
        <is>
          <t>BRYG</t>
        </is>
      </c>
      <c r="D2165" s="6" t="n">
        <v>46254</v>
      </c>
      <c r="E2165" t="inlineStr">
        <is>
          <t>DR</t>
        </is>
      </c>
      <c r="F2165" t="inlineStr">
        <is>
          <t>EUR</t>
        </is>
      </c>
      <c r="G2165" s="7" t="n">
        <v>-1317745.606</v>
      </c>
      <c r="H2165" t="inlineStr">
        <is>
          <t>GBP</t>
        </is>
      </c>
      <c r="I2165" s="7" t="n">
        <v>-1130625.73</v>
      </c>
      <c r="J2165" s="8" t="n">
        <v>46254.59498842592</v>
      </c>
      <c r="K2165" t="inlineStr">
        <is>
          <t>CF260820 02159</t>
        </is>
      </c>
      <c r="L2165" t="inlineStr">
        <is>
          <t>GL.NOSTRO.EUR.BRYG.007</t>
        </is>
      </c>
      <c r="M2165" t="inlineStr">
        <is>
          <t>Pinehurst Settlement Bank</t>
        </is>
      </c>
      <c r="N2165" t="inlineStr">
        <is>
          <t>BRYG</t>
        </is>
      </c>
      <c r="O2165" t="inlineStr">
        <is>
          <t>AMEND</t>
        </is>
      </c>
      <c r="P2165" t="inlineStr">
        <is>
          <t>NT26082000817</t>
        </is>
      </c>
      <c r="Q2165" t="inlineStr">
        <is>
          <t>GROSS</t>
        </is>
      </c>
    </row>
    <row r="2166">
      <c r="A2166" t="inlineStr">
        <is>
          <t>468341071172</t>
        </is>
      </c>
      <c r="B2166" t="inlineStr">
        <is>
          <t>TCQ</t>
        </is>
      </c>
      <c r="C2166" t="inlineStr">
        <is>
          <t>BRCC</t>
        </is>
      </c>
      <c r="D2166" s="6" t="n">
        <v>46254</v>
      </c>
      <c r="E2166" t="inlineStr">
        <is>
          <t>DR</t>
        </is>
      </c>
      <c r="F2166" t="inlineStr">
        <is>
          <t>EUR</t>
        </is>
      </c>
      <c r="G2166" s="7" t="n">
        <v>-595223470.508</v>
      </c>
      <c r="H2166" t="inlineStr">
        <is>
          <t>GBP</t>
        </is>
      </c>
      <c r="I2166" s="7" t="n">
        <v>-510701737.696</v>
      </c>
      <c r="J2166" s="8" t="n">
        <v>46254.13489583333</v>
      </c>
      <c r="K2166" t="inlineStr">
        <is>
          <t>CF260820 02160</t>
        </is>
      </c>
      <c r="L2166" t="inlineStr">
        <is>
          <t>GL.NOSTRO.EUR.BRCC.003</t>
        </is>
      </c>
      <c r="M2166" t="inlineStr">
        <is>
          <t>Vetchling Commercial Bank</t>
        </is>
      </c>
      <c r="N2166" t="inlineStr">
        <is>
          <t>BRCC</t>
        </is>
      </c>
      <c r="O2166" t="inlineStr">
        <is>
          <t>NEW</t>
        </is>
      </c>
      <c r="P2166" t="inlineStr">
        <is>
          <t>NT26082000794</t>
        </is>
      </c>
      <c r="Q2166" t="inlineStr">
        <is>
          <t>GROSS</t>
        </is>
      </c>
    </row>
    <row r="2167">
      <c r="A2167" t="inlineStr">
        <is>
          <t>284925023085</t>
        </is>
      </c>
      <c r="B2167" t="inlineStr">
        <is>
          <t>TCC</t>
        </is>
      </c>
      <c r="C2167" t="inlineStr">
        <is>
          <t>BRMD</t>
        </is>
      </c>
      <c r="D2167" s="6" t="n">
        <v>46254</v>
      </c>
      <c r="E2167" t="inlineStr">
        <is>
          <t>CR</t>
        </is>
      </c>
      <c r="F2167" t="inlineStr">
        <is>
          <t>MXN</t>
        </is>
      </c>
      <c r="G2167" s="7" t="n">
        <v>335784252.25</v>
      </c>
      <c r="H2167" t="inlineStr">
        <is>
          <t>GBP</t>
        </is>
      </c>
      <c r="I2167" s="7" t="n">
        <v>14371565.996</v>
      </c>
      <c r="J2167" s="8" t="n">
        <v>46254.75523148148</v>
      </c>
      <c r="K2167" t="inlineStr">
        <is>
          <t>CF260820 02161</t>
        </is>
      </c>
      <c r="L2167" t="inlineStr">
        <is>
          <t>GL.NOSTRO.MXN.BRMD.005</t>
        </is>
      </c>
      <c r="M2167" t="inlineStr">
        <is>
          <t>Elmwood Bank</t>
        </is>
      </c>
      <c r="N2167" t="inlineStr">
        <is>
          <t>BRMDCASH</t>
        </is>
      </c>
      <c r="O2167" t="inlineStr">
        <is>
          <t>AMEND</t>
        </is>
      </c>
      <c r="P2167" t="inlineStr">
        <is>
          <t>NT26082000819</t>
        </is>
      </c>
      <c r="Q2167" t="inlineStr">
        <is>
          <t>GROSS</t>
        </is>
      </c>
    </row>
    <row r="2168">
      <c r="A2168" t="inlineStr">
        <is>
          <t>700726936098</t>
        </is>
      </c>
      <c r="B2168" t="inlineStr">
        <is>
          <t>TCX</t>
        </is>
      </c>
      <c r="C2168" t="inlineStr">
        <is>
          <t>BRMD</t>
        </is>
      </c>
      <c r="D2168" s="6" t="n">
        <v>46254</v>
      </c>
      <c r="E2168" t="inlineStr">
        <is>
          <t>DR</t>
        </is>
      </c>
      <c r="F2168" t="inlineStr">
        <is>
          <t>SAR</t>
        </is>
      </c>
      <c r="G2168" s="7" t="n">
        <v>-28319972.526</v>
      </c>
      <c r="H2168" t="inlineStr">
        <is>
          <t>GBP</t>
        </is>
      </c>
      <c r="I2168" s="7" t="n">
        <v>-5918874.258</v>
      </c>
      <c r="J2168" s="8" t="n">
        <v>46254.22400462963</v>
      </c>
      <c r="K2168" t="inlineStr">
        <is>
          <t>CF260820 02162</t>
        </is>
      </c>
      <c r="L2168" t="inlineStr">
        <is>
          <t>GL.NOSTRO.SAR.BRMD.006</t>
        </is>
      </c>
      <c r="M2168" t="inlineStr">
        <is>
          <t>Pinehurst Clearing</t>
        </is>
      </c>
      <c r="N2168" t="inlineStr">
        <is>
          <t>BRMDMM</t>
        </is>
      </c>
      <c r="O2168" t="inlineStr">
        <is>
          <t>NEW</t>
        </is>
      </c>
      <c r="P2168" t="inlineStr">
        <is>
          <t>NT26082000802</t>
        </is>
      </c>
      <c r="Q2168" t="inlineStr">
        <is>
          <t>NETTER</t>
        </is>
      </c>
    </row>
    <row r="2169">
      <c r="A2169" t="inlineStr">
        <is>
          <t>824840705580</t>
        </is>
      </c>
      <c r="B2169" t="inlineStr">
        <is>
          <t>TCQ</t>
        </is>
      </c>
      <c r="C2169" t="inlineStr">
        <is>
          <t>BRGL</t>
        </is>
      </c>
      <c r="D2169" s="6" t="n">
        <v>46254</v>
      </c>
      <c r="E2169" t="inlineStr">
        <is>
          <t>DR</t>
        </is>
      </c>
      <c r="F2169" t="inlineStr">
        <is>
          <t>EUR</t>
        </is>
      </c>
      <c r="G2169" s="7" t="n">
        <v>-1840142.136</v>
      </c>
      <c r="H2169" t="inlineStr">
        <is>
          <t>GBP</t>
        </is>
      </c>
      <c r="I2169" s="7" t="n">
        <v>-1578841.953</v>
      </c>
      <c r="J2169" s="8" t="n">
        <v>46254.90719907408</v>
      </c>
      <c r="K2169" t="inlineStr">
        <is>
          <t>CF260820 02163</t>
        </is>
      </c>
      <c r="L2169" t="inlineStr">
        <is>
          <t>GL.NOSTRO.EUR.BRGL.001</t>
        </is>
      </c>
      <c r="M2169" t="inlineStr">
        <is>
          <t>Juniper Bank</t>
        </is>
      </c>
      <c r="N2169" t="inlineStr">
        <is>
          <t>BRGLCASH</t>
        </is>
      </c>
      <c r="O2169" t="inlineStr">
        <is>
          <t>NEW</t>
        </is>
      </c>
      <c r="Q2169" t="inlineStr">
        <is>
          <t>NETTER</t>
        </is>
      </c>
    </row>
    <row r="2170">
      <c r="A2170" t="inlineStr">
        <is>
          <t>794226063698</t>
        </is>
      </c>
      <c r="B2170" t="inlineStr">
        <is>
          <t>TCX</t>
        </is>
      </c>
      <c r="C2170" t="inlineStr">
        <is>
          <t>BRMD</t>
        </is>
      </c>
      <c r="D2170" s="6" t="n">
        <v>46254</v>
      </c>
      <c r="E2170" t="inlineStr">
        <is>
          <t>CR</t>
        </is>
      </c>
      <c r="F2170" t="inlineStr">
        <is>
          <t>AED</t>
        </is>
      </c>
      <c r="G2170" s="7" t="n">
        <v>2640943.928</v>
      </c>
      <c r="H2170" t="inlineStr">
        <is>
          <t>GBP</t>
        </is>
      </c>
      <c r="I2170" s="7" t="n">
        <v>562521.057</v>
      </c>
      <c r="J2170" s="8" t="n">
        <v>46254.53212962963</v>
      </c>
      <c r="K2170" t="inlineStr">
        <is>
          <t>CF260820 02164</t>
        </is>
      </c>
      <c r="L2170" t="inlineStr">
        <is>
          <t>GL.NOSTRO.AED.BRMD.008</t>
        </is>
      </c>
      <c r="M2170" t="inlineStr">
        <is>
          <t>Yarrow Clearing</t>
        </is>
      </c>
      <c r="N2170" t="inlineStr">
        <is>
          <t>BRMD</t>
        </is>
      </c>
      <c r="O2170" t="inlineStr">
        <is>
          <t>NEW</t>
        </is>
      </c>
      <c r="Q2170" t="inlineStr">
        <is>
          <t>NETTER</t>
        </is>
      </c>
    </row>
    <row r="2171">
      <c r="A2171" t="inlineStr">
        <is>
          <t>468341071172</t>
        </is>
      </c>
      <c r="B2171" t="inlineStr">
        <is>
          <t>TCX</t>
        </is>
      </c>
      <c r="C2171" t="inlineStr">
        <is>
          <t>BRCC</t>
        </is>
      </c>
      <c r="D2171" s="6" t="n">
        <v>46254</v>
      </c>
      <c r="E2171" t="inlineStr">
        <is>
          <t>CR</t>
        </is>
      </c>
      <c r="F2171" t="inlineStr">
        <is>
          <t>EUR</t>
        </is>
      </c>
      <c r="G2171" s="7" t="n">
        <v>4182256.847</v>
      </c>
      <c r="H2171" t="inlineStr">
        <is>
          <t>GBP</t>
        </is>
      </c>
      <c r="I2171" s="7" t="n">
        <v>3588376.375</v>
      </c>
      <c r="J2171" s="8" t="n">
        <v>46254.68162037037</v>
      </c>
      <c r="K2171" t="inlineStr">
        <is>
          <t>CF260820 02165</t>
        </is>
      </c>
      <c r="L2171" t="inlineStr">
        <is>
          <t>GL.NOSTRO.EUR.BRCC.005</t>
        </is>
      </c>
      <c r="M2171" t="inlineStr">
        <is>
          <t>Vetchling Settlement Bank</t>
        </is>
      </c>
      <c r="N2171" t="inlineStr">
        <is>
          <t>BRCCCASH</t>
        </is>
      </c>
      <c r="O2171" t="inlineStr">
        <is>
          <t>NEW</t>
        </is>
      </c>
      <c r="P2171" t="inlineStr">
        <is>
          <t>NT26082000788</t>
        </is>
      </c>
      <c r="Q2171" t="inlineStr">
        <is>
          <t>GROSS</t>
        </is>
      </c>
    </row>
    <row r="2172">
      <c r="A2172" t="inlineStr">
        <is>
          <t>700726936098</t>
        </is>
      </c>
      <c r="B2172" t="inlineStr">
        <is>
          <t>TCC</t>
        </is>
      </c>
      <c r="C2172" t="inlineStr">
        <is>
          <t>BRMD</t>
        </is>
      </c>
      <c r="D2172" s="6" t="n">
        <v>46254</v>
      </c>
      <c r="E2172" t="inlineStr">
        <is>
          <t>CR</t>
        </is>
      </c>
      <c r="F2172" t="inlineStr">
        <is>
          <t>SAR</t>
        </is>
      </c>
      <c r="G2172" s="7" t="n">
        <v>22257796.746</v>
      </c>
      <c r="H2172" t="inlineStr">
        <is>
          <t>GBP</t>
        </is>
      </c>
      <c r="I2172" s="7" t="n">
        <v>4651879.52</v>
      </c>
      <c r="J2172" s="8" t="n">
        <v>46254.42559027778</v>
      </c>
      <c r="K2172" t="inlineStr">
        <is>
          <t>CF260820 02166</t>
        </is>
      </c>
      <c r="L2172" t="inlineStr">
        <is>
          <t>GL.NOSTRO.SAR.BRMD.008</t>
        </is>
      </c>
      <c r="M2172" t="inlineStr">
        <is>
          <t>Umberton Clearing</t>
        </is>
      </c>
      <c r="N2172" t="inlineStr">
        <is>
          <t>BRMDCASH</t>
        </is>
      </c>
      <c r="O2172" t="inlineStr">
        <is>
          <t>NEW</t>
        </is>
      </c>
      <c r="Q2172" t="inlineStr">
        <is>
          <t>NETTER</t>
        </is>
      </c>
    </row>
    <row r="2173">
      <c r="A2173" t="inlineStr">
        <is>
          <t>726928343448</t>
        </is>
      </c>
      <c r="B2173" t="inlineStr">
        <is>
          <t>TCC</t>
        </is>
      </c>
      <c r="C2173" t="inlineStr">
        <is>
          <t>BRGX</t>
        </is>
      </c>
      <c r="D2173" s="6" t="n">
        <v>46254</v>
      </c>
      <c r="E2173" t="inlineStr">
        <is>
          <t>DR</t>
        </is>
      </c>
      <c r="F2173" t="inlineStr">
        <is>
          <t>EUR</t>
        </is>
      </c>
      <c r="G2173" s="7" t="n">
        <v>-76675587.32600001</v>
      </c>
      <c r="H2173" t="inlineStr">
        <is>
          <t>GBP</t>
        </is>
      </c>
      <c r="I2173" s="7" t="n">
        <v>-65787653.926</v>
      </c>
      <c r="J2173" s="8" t="n">
        <v>46254.38081018518</v>
      </c>
      <c r="K2173" t="inlineStr">
        <is>
          <t>CF260820 02167</t>
        </is>
      </c>
      <c r="L2173" t="inlineStr">
        <is>
          <t>GL.NOSTRO.EUR.BRGX.008</t>
        </is>
      </c>
      <c r="M2173" t="inlineStr">
        <is>
          <t>Vetchling Commercial Bank</t>
        </is>
      </c>
      <c r="N2173" t="inlineStr">
        <is>
          <t>BRGX</t>
        </is>
      </c>
      <c r="O2173" t="inlineStr">
        <is>
          <t>NEW</t>
        </is>
      </c>
      <c r="Q2173" t="inlineStr">
        <is>
          <t>NETTER</t>
        </is>
      </c>
    </row>
    <row r="2174">
      <c r="A2174" t="inlineStr">
        <is>
          <t>910703979141</t>
        </is>
      </c>
      <c r="B2174" t="inlineStr">
        <is>
          <t>TCX</t>
        </is>
      </c>
      <c r="C2174" t="inlineStr">
        <is>
          <t>BRCC</t>
        </is>
      </c>
      <c r="D2174" s="6" t="n">
        <v>46254</v>
      </c>
      <c r="E2174" t="inlineStr">
        <is>
          <t>CR</t>
        </is>
      </c>
      <c r="F2174" t="inlineStr">
        <is>
          <t>CHF</t>
        </is>
      </c>
      <c r="G2174" s="7" t="n">
        <v>1475981.797</v>
      </c>
      <c r="H2174" t="inlineStr">
        <is>
          <t>GBP</t>
        </is>
      </c>
      <c r="I2174" s="7" t="n">
        <v>1323955.672</v>
      </c>
      <c r="J2174" s="8" t="n">
        <v>46254.59356481482</v>
      </c>
      <c r="K2174" t="inlineStr">
        <is>
          <t>CF260820 02168</t>
        </is>
      </c>
      <c r="L2174" t="inlineStr">
        <is>
          <t>GL.NOSTRO.CHF.BRCC.006</t>
        </is>
      </c>
      <c r="M2174" t="inlineStr">
        <is>
          <t>Juniper Settlement Bank</t>
        </is>
      </c>
      <c r="N2174" t="inlineStr">
        <is>
          <t>BRCCTRSY</t>
        </is>
      </c>
      <c r="O2174" t="inlineStr">
        <is>
          <t>NEW</t>
        </is>
      </c>
      <c r="Q2174" t="inlineStr">
        <is>
          <t>NETTER</t>
        </is>
      </c>
    </row>
    <row r="2175">
      <c r="A2175" t="inlineStr">
        <is>
          <t>794226063698</t>
        </is>
      </c>
      <c r="B2175" t="inlineStr">
        <is>
          <t>TCG</t>
        </is>
      </c>
      <c r="C2175" t="inlineStr">
        <is>
          <t>BRMD</t>
        </is>
      </c>
      <c r="D2175" s="6" t="n">
        <v>46254</v>
      </c>
      <c r="E2175" t="inlineStr">
        <is>
          <t>DR</t>
        </is>
      </c>
      <c r="F2175" t="inlineStr">
        <is>
          <t>AED</t>
        </is>
      </c>
      <c r="G2175" s="7" t="n">
        <v>-16157618.504</v>
      </c>
      <c r="H2175" t="inlineStr">
        <is>
          <t>GBP</t>
        </is>
      </c>
      <c r="I2175" s="7" t="n">
        <v>-3441572.741</v>
      </c>
      <c r="J2175" s="8" t="n">
        <v>46254.39927083333</v>
      </c>
      <c r="K2175" t="inlineStr">
        <is>
          <t>CF260820 02169</t>
        </is>
      </c>
      <c r="L2175" t="inlineStr">
        <is>
          <t>GL.NOSTRO.AED.BRMD.007</t>
        </is>
      </c>
      <c r="M2175" t="inlineStr">
        <is>
          <t>Sablewood Settlement Bank</t>
        </is>
      </c>
      <c r="N2175" t="inlineStr">
        <is>
          <t>BRMDCASH</t>
        </is>
      </c>
      <c r="O2175" t="inlineStr">
        <is>
          <t>NEW</t>
        </is>
      </c>
      <c r="Q2175" t="inlineStr">
        <is>
          <t>GROSS</t>
        </is>
      </c>
    </row>
    <row r="2176">
      <c r="A2176" t="inlineStr">
        <is>
          <t>968942362772</t>
        </is>
      </c>
      <c r="B2176" t="inlineStr">
        <is>
          <t>TCQ</t>
        </is>
      </c>
      <c r="C2176" t="inlineStr">
        <is>
          <t>BRYG</t>
        </is>
      </c>
      <c r="D2176" s="6" t="n">
        <v>46254</v>
      </c>
      <c r="E2176" t="inlineStr">
        <is>
          <t>DR</t>
        </is>
      </c>
      <c r="F2176" t="inlineStr">
        <is>
          <t>EUR</t>
        </is>
      </c>
      <c r="G2176" s="7" t="n">
        <v>-78586752.219</v>
      </c>
      <c r="H2176" t="inlineStr">
        <is>
          <t>GBP</t>
        </is>
      </c>
      <c r="I2176" s="7" t="n">
        <v>-67427433.404</v>
      </c>
      <c r="J2176" s="8" t="n">
        <v>46254.541875</v>
      </c>
      <c r="K2176" t="inlineStr">
        <is>
          <t>CF260820 02170</t>
        </is>
      </c>
      <c r="L2176" t="inlineStr">
        <is>
          <t>GL.NOSTRO.EUR.BRYG.003</t>
        </is>
      </c>
      <c r="M2176" t="inlineStr">
        <is>
          <t>Sablewood Bank</t>
        </is>
      </c>
      <c r="N2176" t="inlineStr">
        <is>
          <t>BRYGCASH</t>
        </is>
      </c>
      <c r="O2176" t="inlineStr">
        <is>
          <t>NEW</t>
        </is>
      </c>
      <c r="Q2176" t="inlineStr">
        <is>
          <t>NETTER</t>
        </is>
      </c>
    </row>
    <row r="2177">
      <c r="A2177" t="inlineStr">
        <is>
          <t>910703979141</t>
        </is>
      </c>
      <c r="B2177" t="inlineStr">
        <is>
          <t>TCG</t>
        </is>
      </c>
      <c r="C2177" t="inlineStr">
        <is>
          <t>BRCC</t>
        </is>
      </c>
      <c r="D2177" s="6" t="n">
        <v>46254</v>
      </c>
      <c r="E2177" t="inlineStr">
        <is>
          <t>DR</t>
        </is>
      </c>
      <c r="F2177" t="inlineStr">
        <is>
          <t>CHF</t>
        </is>
      </c>
      <c r="G2177" s="7" t="n">
        <v>-95927602.55500001</v>
      </c>
      <c r="H2177" t="inlineStr">
        <is>
          <t>GBP</t>
        </is>
      </c>
      <c r="I2177" s="7" t="n">
        <v>-86047059.492</v>
      </c>
      <c r="J2177" s="8" t="n">
        <v>46254.29510416667</v>
      </c>
      <c r="K2177" t="inlineStr">
        <is>
          <t>CF260820 02171</t>
        </is>
      </c>
      <c r="L2177" t="inlineStr">
        <is>
          <t>GL.NOSTRO.CHF.BRCC.006</t>
        </is>
      </c>
      <c r="M2177" t="inlineStr">
        <is>
          <t>Granite Bank</t>
        </is>
      </c>
      <c r="N2177" t="inlineStr">
        <is>
          <t>BRCC</t>
        </is>
      </c>
      <c r="O2177" t="inlineStr">
        <is>
          <t>NEW</t>
        </is>
      </c>
      <c r="Q2177" t="inlineStr">
        <is>
          <t>GROSS</t>
        </is>
      </c>
    </row>
    <row r="2178">
      <c r="A2178" t="inlineStr">
        <is>
          <t>113829985108</t>
        </is>
      </c>
      <c r="B2178" t="inlineStr">
        <is>
          <t>TCQ</t>
        </is>
      </c>
      <c r="C2178" t="inlineStr">
        <is>
          <t>BRGL</t>
        </is>
      </c>
      <c r="D2178" s="6" t="n">
        <v>46254</v>
      </c>
      <c r="E2178" t="inlineStr">
        <is>
          <t>CR</t>
        </is>
      </c>
      <c r="F2178" t="inlineStr">
        <is>
          <t>EUR</t>
        </is>
      </c>
      <c r="G2178" s="7" t="n">
        <v>341638839.644</v>
      </c>
      <c r="H2178" t="inlineStr">
        <is>
          <t>GBP</t>
        </is>
      </c>
      <c r="I2178" s="7" t="n">
        <v>293126124.415</v>
      </c>
      <c r="J2178" s="8" t="n">
        <v>46254.66195601852</v>
      </c>
      <c r="K2178" t="inlineStr">
        <is>
          <t>CF260820 02172</t>
        </is>
      </c>
      <c r="L2178" t="inlineStr">
        <is>
          <t>GL.NOSTRO.EUR.BRGL.005</t>
        </is>
      </c>
      <c r="M2178" t="inlineStr">
        <is>
          <t>Pinehurst Clearing</t>
        </is>
      </c>
      <c r="N2178" t="inlineStr">
        <is>
          <t>BRGLMM</t>
        </is>
      </c>
      <c r="O2178" t="inlineStr">
        <is>
          <t>NEW</t>
        </is>
      </c>
      <c r="P2178" t="inlineStr">
        <is>
          <t>NT26082000795</t>
        </is>
      </c>
      <c r="Q2178" t="inlineStr">
        <is>
          <t>GROSS</t>
        </is>
      </c>
    </row>
    <row r="2179">
      <c r="A2179" t="inlineStr">
        <is>
          <t>150316825069</t>
        </is>
      </c>
      <c r="B2179" t="inlineStr">
        <is>
          <t>TCC</t>
        </is>
      </c>
      <c r="C2179" t="inlineStr">
        <is>
          <t>BRGX</t>
        </is>
      </c>
      <c r="D2179" s="6" t="n">
        <v>46254</v>
      </c>
      <c r="E2179" t="inlineStr">
        <is>
          <t>CR</t>
        </is>
      </c>
      <c r="F2179" t="inlineStr">
        <is>
          <t>GBP</t>
        </is>
      </c>
      <c r="G2179" s="7" t="n">
        <v>1450776.106</v>
      </c>
      <c r="H2179" t="inlineStr">
        <is>
          <t>GBP</t>
        </is>
      </c>
      <c r="I2179" s="7" t="n">
        <v>1450776.106</v>
      </c>
      <c r="J2179" s="8" t="n">
        <v>46254.51648148148</v>
      </c>
      <c r="K2179" t="inlineStr">
        <is>
          <t>CF260820 02173</t>
        </is>
      </c>
      <c r="L2179" t="inlineStr">
        <is>
          <t>GL.NOSTRO.GBP.BRGX.003</t>
        </is>
      </c>
      <c r="M2179" t="inlineStr">
        <is>
          <t>Vetchling Commercial Bank</t>
        </is>
      </c>
      <c r="N2179" t="inlineStr">
        <is>
          <t>BRGX</t>
        </is>
      </c>
      <c r="O2179" t="inlineStr">
        <is>
          <t>NEW</t>
        </is>
      </c>
      <c r="Q2179" t="inlineStr">
        <is>
          <t>GROSS</t>
        </is>
      </c>
    </row>
    <row r="2180">
      <c r="A2180" t="inlineStr">
        <is>
          <t>794226063698</t>
        </is>
      </c>
      <c r="B2180" t="inlineStr">
        <is>
          <t>TCP</t>
        </is>
      </c>
      <c r="C2180" t="inlineStr">
        <is>
          <t>BRMD</t>
        </is>
      </c>
      <c r="D2180" s="6" t="n">
        <v>46254</v>
      </c>
      <c r="E2180" t="inlineStr">
        <is>
          <t>CR</t>
        </is>
      </c>
      <c r="F2180" t="inlineStr">
        <is>
          <t>AED</t>
        </is>
      </c>
      <c r="G2180" s="7" t="n">
        <v>1021941.84</v>
      </c>
      <c r="H2180" t="inlineStr">
        <is>
          <t>GBP</t>
        </is>
      </c>
      <c r="I2180" s="7" t="n">
        <v>217673.612</v>
      </c>
      <c r="J2180" s="8" t="n">
        <v>46254.44880787037</v>
      </c>
      <c r="K2180" t="inlineStr">
        <is>
          <t>CF260820 02174</t>
        </is>
      </c>
      <c r="L2180" t="inlineStr">
        <is>
          <t>GL.NOSTRO.AED.BRMD.006</t>
        </is>
      </c>
      <c r="M2180" t="inlineStr">
        <is>
          <t>Mallow Clearing</t>
        </is>
      </c>
      <c r="N2180" t="inlineStr">
        <is>
          <t>BRMDTRSY</t>
        </is>
      </c>
      <c r="O2180" t="inlineStr">
        <is>
          <t>NEW</t>
        </is>
      </c>
      <c r="P2180" t="inlineStr">
        <is>
          <t>NT26082000818</t>
        </is>
      </c>
      <c r="Q2180" t="inlineStr">
        <is>
          <t>NETTER</t>
        </is>
      </c>
    </row>
    <row r="2181">
      <c r="A2181" t="inlineStr">
        <is>
          <t>359365220160</t>
        </is>
      </c>
      <c r="B2181" t="inlineStr">
        <is>
          <t>TCX</t>
        </is>
      </c>
      <c r="C2181" t="inlineStr">
        <is>
          <t>BRGX</t>
        </is>
      </c>
      <c r="D2181" s="6" t="n">
        <v>46254</v>
      </c>
      <c r="E2181" t="inlineStr">
        <is>
          <t>CR</t>
        </is>
      </c>
      <c r="F2181" t="inlineStr">
        <is>
          <t>EUR</t>
        </is>
      </c>
      <c r="G2181" s="7" t="n">
        <v>22324259.121</v>
      </c>
      <c r="H2181" t="inlineStr">
        <is>
          <t>GBP</t>
        </is>
      </c>
      <c r="I2181" s="7" t="n">
        <v>19154214.326</v>
      </c>
      <c r="J2181" s="8" t="n">
        <v>46254.47283564815</v>
      </c>
      <c r="K2181" t="inlineStr">
        <is>
          <t>CF260820 02175</t>
        </is>
      </c>
      <c r="L2181" t="inlineStr">
        <is>
          <t>GL.NOSTRO.EUR.BRGX.006</t>
        </is>
      </c>
      <c r="M2181" t="inlineStr">
        <is>
          <t>Zephyr Commercial Bank</t>
        </is>
      </c>
      <c r="N2181" t="inlineStr">
        <is>
          <t>BRGX</t>
        </is>
      </c>
      <c r="O2181" t="inlineStr">
        <is>
          <t>NEW</t>
        </is>
      </c>
      <c r="P2181" t="inlineStr">
        <is>
          <t>NT26082000814</t>
        </is>
      </c>
      <c r="Q2181" t="inlineStr">
        <is>
          <t>GROSS</t>
        </is>
      </c>
    </row>
    <row r="2182">
      <c r="A2182" t="inlineStr">
        <is>
          <t>468341071172</t>
        </is>
      </c>
      <c r="B2182" t="inlineStr">
        <is>
          <t>TCG</t>
        </is>
      </c>
      <c r="C2182" t="inlineStr">
        <is>
          <t>BRCC</t>
        </is>
      </c>
      <c r="D2182" s="6" t="n">
        <v>46254</v>
      </c>
      <c r="E2182" t="inlineStr">
        <is>
          <t>CR</t>
        </is>
      </c>
      <c r="F2182" t="inlineStr">
        <is>
          <t>EUR</t>
        </is>
      </c>
      <c r="G2182" s="7" t="n">
        <v>652585997.956</v>
      </c>
      <c r="H2182" t="inlineStr">
        <is>
          <t>GBP</t>
        </is>
      </c>
      <c r="I2182" s="7" t="n">
        <v>559918786.2460001</v>
      </c>
      <c r="J2182" s="8" t="n">
        <v>46254.41319444445</v>
      </c>
      <c r="K2182" t="inlineStr">
        <is>
          <t>CF260820 02176</t>
        </is>
      </c>
      <c r="L2182" t="inlineStr">
        <is>
          <t>GL.NOSTRO.EUR.BRCC.009</t>
        </is>
      </c>
      <c r="M2182" t="inlineStr">
        <is>
          <t>Elmwood Clearing</t>
        </is>
      </c>
      <c r="N2182" t="inlineStr">
        <is>
          <t>BRCCTRSY</t>
        </is>
      </c>
      <c r="O2182" t="inlineStr">
        <is>
          <t>NEW</t>
        </is>
      </c>
      <c r="P2182" t="inlineStr">
        <is>
          <t>NT26082000790</t>
        </is>
      </c>
      <c r="Q2182" t="inlineStr">
        <is>
          <t>GROSS</t>
        </is>
      </c>
    </row>
    <row r="2183">
      <c r="A2183" t="inlineStr">
        <is>
          <t>968942362772</t>
        </is>
      </c>
      <c r="B2183" t="inlineStr">
        <is>
          <t>TCP</t>
        </is>
      </c>
      <c r="C2183" t="inlineStr">
        <is>
          <t>BRYG</t>
        </is>
      </c>
      <c r="D2183" s="6" t="n">
        <v>46254</v>
      </c>
      <c r="E2183" t="inlineStr">
        <is>
          <t>DR</t>
        </is>
      </c>
      <c r="F2183" t="inlineStr">
        <is>
          <t>EUR</t>
        </is>
      </c>
      <c r="G2183" s="7" t="n">
        <v>-83626972.117</v>
      </c>
      <c r="H2183" t="inlineStr">
        <is>
          <t>GBP</t>
        </is>
      </c>
      <c r="I2183" s="7" t="n">
        <v>-71751942.07600001</v>
      </c>
      <c r="J2183" s="8" t="n">
        <v>46254.64956018519</v>
      </c>
      <c r="K2183" t="inlineStr">
        <is>
          <t>CF260820 02177</t>
        </is>
      </c>
      <c r="L2183" t="inlineStr">
        <is>
          <t>GL.NOSTRO.EUR.BRYG.001</t>
        </is>
      </c>
      <c r="M2183" t="inlineStr">
        <is>
          <t>Bramble Bank</t>
        </is>
      </c>
      <c r="N2183" t="inlineStr">
        <is>
          <t>BRYGMM</t>
        </is>
      </c>
      <c r="O2183" t="inlineStr">
        <is>
          <t>NEW</t>
        </is>
      </c>
      <c r="Q2183" t="inlineStr">
        <is>
          <t>GROSS</t>
        </is>
      </c>
    </row>
    <row r="2184">
      <c r="A2184" t="inlineStr">
        <is>
          <t>359365220160</t>
        </is>
      </c>
      <c r="B2184" t="inlineStr">
        <is>
          <t>TCP</t>
        </is>
      </c>
      <c r="C2184" t="inlineStr">
        <is>
          <t>BRGX</t>
        </is>
      </c>
      <c r="D2184" s="6" t="n">
        <v>46254</v>
      </c>
      <c r="E2184" t="inlineStr">
        <is>
          <t>CR</t>
        </is>
      </c>
      <c r="F2184" t="inlineStr">
        <is>
          <t>EUR</t>
        </is>
      </c>
      <c r="G2184" s="7" t="n">
        <v>5140867.363</v>
      </c>
      <c r="H2184" t="inlineStr">
        <is>
          <t>GBP</t>
        </is>
      </c>
      <c r="I2184" s="7" t="n">
        <v>4410864.197</v>
      </c>
      <c r="J2184" s="8" t="n">
        <v>46254.45412037037</v>
      </c>
      <c r="K2184" t="inlineStr">
        <is>
          <t>CF260820 02178</t>
        </is>
      </c>
      <c r="L2184" t="inlineStr">
        <is>
          <t>GL.NOSTRO.EUR.BRGX.008</t>
        </is>
      </c>
      <c r="M2184" t="inlineStr">
        <is>
          <t>Pinehurst Bank</t>
        </is>
      </c>
      <c r="N2184" t="inlineStr">
        <is>
          <t>BRGXMM</t>
        </is>
      </c>
      <c r="O2184" t="inlineStr">
        <is>
          <t>NEW</t>
        </is>
      </c>
      <c r="P2184" t="inlineStr">
        <is>
          <t>NT26082000802</t>
        </is>
      </c>
      <c r="Q2184" t="inlineStr">
        <is>
          <t>INTERNAL</t>
        </is>
      </c>
    </row>
    <row r="2185">
      <c r="A2185" t="inlineStr">
        <is>
          <t>265771593142</t>
        </is>
      </c>
      <c r="B2185" t="inlineStr">
        <is>
          <t>TCC</t>
        </is>
      </c>
      <c r="C2185" t="inlineStr">
        <is>
          <t>BRYG</t>
        </is>
      </c>
      <c r="D2185" s="6" t="n">
        <v>46254</v>
      </c>
      <c r="E2185" t="inlineStr">
        <is>
          <t>CR</t>
        </is>
      </c>
      <c r="F2185" t="inlineStr">
        <is>
          <t>EUR</t>
        </is>
      </c>
      <c r="G2185" s="7" t="n">
        <v>1228262.035</v>
      </c>
      <c r="H2185" t="inlineStr">
        <is>
          <t>GBP</t>
        </is>
      </c>
      <c r="I2185" s="7" t="n">
        <v>1053848.826</v>
      </c>
      <c r="J2185" s="8" t="n">
        <v>46254.44820601852</v>
      </c>
      <c r="K2185" t="inlineStr">
        <is>
          <t>CF260820 02179</t>
        </is>
      </c>
      <c r="L2185" t="inlineStr">
        <is>
          <t>GL.NOSTRO.EUR.BRYG.007</t>
        </is>
      </c>
      <c r="M2185" t="inlineStr">
        <is>
          <t>Zephyr Commercial Bank</t>
        </is>
      </c>
      <c r="N2185" t="inlineStr">
        <is>
          <t>BRYG</t>
        </is>
      </c>
      <c r="O2185" t="inlineStr">
        <is>
          <t>NEW</t>
        </is>
      </c>
      <c r="Q2185" t="inlineStr">
        <is>
          <t>NETTER</t>
        </is>
      </c>
    </row>
    <row r="2186">
      <c r="A2186" t="inlineStr">
        <is>
          <t>468341071172</t>
        </is>
      </c>
      <c r="B2186" t="inlineStr">
        <is>
          <t>TCP</t>
        </is>
      </c>
      <c r="C2186" t="inlineStr">
        <is>
          <t>BRCC</t>
        </is>
      </c>
      <c r="D2186" s="6" t="n">
        <v>46254</v>
      </c>
      <c r="E2186" t="inlineStr">
        <is>
          <t>DR</t>
        </is>
      </c>
      <c r="F2186" t="inlineStr">
        <is>
          <t>EUR</t>
        </is>
      </c>
      <c r="G2186" s="7" t="n">
        <v>-230450803.541</v>
      </c>
      <c r="H2186" t="inlineStr">
        <is>
          <t>GBP</t>
        </is>
      </c>
      <c r="I2186" s="7" t="n">
        <v>-197726789.438</v>
      </c>
      <c r="J2186" s="8" t="n">
        <v>46254.4865625</v>
      </c>
      <c r="K2186" t="inlineStr">
        <is>
          <t>CF260820 02180</t>
        </is>
      </c>
      <c r="L2186" t="inlineStr">
        <is>
          <t>GL.NOSTRO.EUR.BRCC.008</t>
        </is>
      </c>
      <c r="M2186" t="inlineStr">
        <is>
          <t>Cedar Commercial Bank</t>
        </is>
      </c>
      <c r="N2186" t="inlineStr">
        <is>
          <t>BRCC</t>
        </is>
      </c>
      <c r="O2186" t="inlineStr">
        <is>
          <t>NEW</t>
        </is>
      </c>
      <c r="Q2186" t="inlineStr">
        <is>
          <t>GROSS</t>
        </is>
      </c>
    </row>
    <row r="2187">
      <c r="A2187" t="inlineStr">
        <is>
          <t>468341071172</t>
        </is>
      </c>
      <c r="B2187" t="inlineStr">
        <is>
          <t>TCG</t>
        </is>
      </c>
      <c r="C2187" t="inlineStr">
        <is>
          <t>BRCC</t>
        </is>
      </c>
      <c r="D2187" s="6" t="n">
        <v>46254</v>
      </c>
      <c r="E2187" t="inlineStr">
        <is>
          <t>CR</t>
        </is>
      </c>
      <c r="F2187" t="inlineStr">
        <is>
          <t>EUR</t>
        </is>
      </c>
      <c r="G2187" s="7" t="n">
        <v>113373798.759</v>
      </c>
      <c r="H2187" t="inlineStr">
        <is>
          <t>GBP</t>
        </is>
      </c>
      <c r="I2187" s="7" t="n">
        <v>97274719.33499999</v>
      </c>
      <c r="J2187" s="8" t="n">
        <v>46254.58355324074</v>
      </c>
      <c r="K2187" t="inlineStr">
        <is>
          <t>CF260820 02181</t>
        </is>
      </c>
      <c r="L2187" t="inlineStr">
        <is>
          <t>GL.NOSTRO.EUR.BRCC.005</t>
        </is>
      </c>
      <c r="M2187" t="inlineStr">
        <is>
          <t>Pinehurst Settlement Bank</t>
        </is>
      </c>
      <c r="N2187" t="inlineStr">
        <is>
          <t>BRCCTRSY</t>
        </is>
      </c>
      <c r="O2187" t="inlineStr">
        <is>
          <t>AMEND</t>
        </is>
      </c>
      <c r="Q2187" t="inlineStr">
        <is>
          <t>GROSS</t>
        </is>
      </c>
    </row>
    <row r="2188">
      <c r="A2188" t="inlineStr">
        <is>
          <t>468341071172</t>
        </is>
      </c>
      <c r="B2188" t="inlineStr">
        <is>
          <t>TCQ</t>
        </is>
      </c>
      <c r="C2188" t="inlineStr">
        <is>
          <t>BRCC</t>
        </is>
      </c>
      <c r="D2188" s="6" t="n">
        <v>46254</v>
      </c>
      <c r="E2188" t="inlineStr">
        <is>
          <t>CR</t>
        </is>
      </c>
      <c r="F2188" t="inlineStr">
        <is>
          <t>EUR</t>
        </is>
      </c>
      <c r="G2188" s="7" t="n">
        <v>11548203.615</v>
      </c>
      <c r="H2188" t="inlineStr">
        <is>
          <t>GBP</t>
        </is>
      </c>
      <c r="I2188" s="7" t="n">
        <v>9908358.702</v>
      </c>
      <c r="J2188" s="8" t="n">
        <v>46254.68333333333</v>
      </c>
      <c r="K2188" t="inlineStr">
        <is>
          <t>CF260820 02182</t>
        </is>
      </c>
      <c r="L2188" t="inlineStr">
        <is>
          <t>GL.NOSTRO.EUR.BRCC.007</t>
        </is>
      </c>
      <c r="M2188" t="inlineStr">
        <is>
          <t>Harrow Clearing</t>
        </is>
      </c>
      <c r="N2188" t="inlineStr">
        <is>
          <t>BRCCCASH</t>
        </is>
      </c>
      <c r="O2188" t="inlineStr">
        <is>
          <t>NEW</t>
        </is>
      </c>
      <c r="Q2188" t="inlineStr">
        <is>
          <t>INTERNAL</t>
        </is>
      </c>
    </row>
    <row r="2189">
      <c r="A2189" t="inlineStr">
        <is>
          <t>120047354818</t>
        </is>
      </c>
      <c r="B2189" t="inlineStr">
        <is>
          <t>TCG</t>
        </is>
      </c>
      <c r="C2189" t="inlineStr">
        <is>
          <t>BRNK</t>
        </is>
      </c>
      <c r="D2189" s="6" t="n">
        <v>46254</v>
      </c>
      <c r="E2189" t="inlineStr">
        <is>
          <t>DR</t>
        </is>
      </c>
      <c r="F2189" t="inlineStr">
        <is>
          <t>USD</t>
        </is>
      </c>
      <c r="G2189" s="7" t="n">
        <v>-345762.517</v>
      </c>
      <c r="H2189" t="inlineStr">
        <is>
          <t>GBP</t>
        </is>
      </c>
      <c r="I2189" s="7" t="n">
        <v>-271077.813</v>
      </c>
      <c r="J2189" s="8" t="n">
        <v>46254.43761574074</v>
      </c>
      <c r="K2189" t="inlineStr">
        <is>
          <t>CF260820 02183</t>
        </is>
      </c>
      <c r="L2189" t="inlineStr">
        <is>
          <t>GL.NOSTRO.USD.BRNK.007</t>
        </is>
      </c>
      <c r="M2189" t="inlineStr">
        <is>
          <t>Zephyr Commercial Bank</t>
        </is>
      </c>
      <c r="N2189" t="inlineStr">
        <is>
          <t>BRNKCASH</t>
        </is>
      </c>
      <c r="O2189" t="inlineStr">
        <is>
          <t>NEW</t>
        </is>
      </c>
      <c r="Q2189" t="inlineStr">
        <is>
          <t>GROSS</t>
        </is>
      </c>
    </row>
    <row r="2190">
      <c r="A2190" t="inlineStr">
        <is>
          <t>284925023085</t>
        </is>
      </c>
      <c r="B2190" t="inlineStr">
        <is>
          <t>TCX</t>
        </is>
      </c>
      <c r="C2190" t="inlineStr">
        <is>
          <t>BRMD</t>
        </is>
      </c>
      <c r="D2190" s="6" t="n">
        <v>46254</v>
      </c>
      <c r="E2190" t="inlineStr">
        <is>
          <t>CR</t>
        </is>
      </c>
      <c r="F2190" t="inlineStr">
        <is>
          <t>MXN</t>
        </is>
      </c>
      <c r="G2190" s="7" t="n">
        <v>262102063.123</v>
      </c>
      <c r="H2190" t="inlineStr">
        <is>
          <t>GBP</t>
        </is>
      </c>
      <c r="I2190" s="7" t="n">
        <v>11217968.302</v>
      </c>
      <c r="J2190" s="8" t="n">
        <v>46254.60041666667</v>
      </c>
      <c r="K2190" t="inlineStr">
        <is>
          <t>CF260820 02184</t>
        </is>
      </c>
      <c r="L2190" t="inlineStr">
        <is>
          <t>GL.NOSTRO.MXN.BRMD.008</t>
        </is>
      </c>
      <c r="M2190" t="inlineStr">
        <is>
          <t>Dunlin Bank</t>
        </is>
      </c>
      <c r="N2190" t="inlineStr">
        <is>
          <t>BRMD</t>
        </is>
      </c>
      <c r="O2190" t="inlineStr">
        <is>
          <t>AMEND</t>
        </is>
      </c>
      <c r="P2190" t="inlineStr">
        <is>
          <t>NT26082000798</t>
        </is>
      </c>
      <c r="Q2190" t="inlineStr">
        <is>
          <t>NETTER</t>
        </is>
      </c>
    </row>
    <row r="2191">
      <c r="A2191" t="inlineStr">
        <is>
          <t>499062838623</t>
        </is>
      </c>
      <c r="B2191" t="inlineStr">
        <is>
          <t>TCX</t>
        </is>
      </c>
      <c r="C2191" t="inlineStr">
        <is>
          <t>BRBX</t>
        </is>
      </c>
      <c r="D2191" s="6" t="n">
        <v>46254</v>
      </c>
      <c r="E2191" t="inlineStr">
        <is>
          <t>CR</t>
        </is>
      </c>
      <c r="F2191" t="inlineStr">
        <is>
          <t>USD</t>
        </is>
      </c>
      <c r="G2191" s="7" t="n">
        <v>687270281.487</v>
      </c>
      <c r="H2191" t="inlineStr">
        <is>
          <t>GBP</t>
        </is>
      </c>
      <c r="I2191" s="7" t="n">
        <v>538819900.686</v>
      </c>
      <c r="J2191" s="8" t="n">
        <v>46254.00381944444</v>
      </c>
      <c r="K2191" t="inlineStr">
        <is>
          <t>CF260820 02185</t>
        </is>
      </c>
      <c r="L2191" t="inlineStr">
        <is>
          <t>GL.NOSTRO.USD.BRBX.007</t>
        </is>
      </c>
      <c r="M2191" t="inlineStr">
        <is>
          <t>Redstart Trust</t>
        </is>
      </c>
      <c r="N2191" t="inlineStr">
        <is>
          <t>BRBX</t>
        </is>
      </c>
      <c r="O2191" t="inlineStr">
        <is>
          <t>NEW</t>
        </is>
      </c>
      <c r="Q2191" t="inlineStr">
        <is>
          <t>NETTER</t>
        </is>
      </c>
    </row>
    <row r="2192">
      <c r="A2192" t="inlineStr">
        <is>
          <t>468341071172</t>
        </is>
      </c>
      <c r="B2192" t="inlineStr">
        <is>
          <t>TCQ</t>
        </is>
      </c>
      <c r="C2192" t="inlineStr">
        <is>
          <t>BRCC</t>
        </is>
      </c>
      <c r="D2192" s="6" t="n">
        <v>46254</v>
      </c>
      <c r="E2192" t="inlineStr">
        <is>
          <t>CR</t>
        </is>
      </c>
      <c r="F2192" t="inlineStr">
        <is>
          <t>EUR</t>
        </is>
      </c>
      <c r="G2192" s="7" t="n">
        <v>46252076.037</v>
      </c>
      <c r="H2192" t="inlineStr">
        <is>
          <t>GBP</t>
        </is>
      </c>
      <c r="I2192" s="7" t="n">
        <v>39684281.24</v>
      </c>
      <c r="J2192" s="8" t="n">
        <v>46254.48892361111</v>
      </c>
      <c r="K2192" t="inlineStr">
        <is>
          <t>CF260820 02186</t>
        </is>
      </c>
      <c r="L2192" t="inlineStr">
        <is>
          <t>GL.NOSTRO.EUR.BRCC.001</t>
        </is>
      </c>
      <c r="M2192" t="inlineStr">
        <is>
          <t>Fernway Settlement Bank</t>
        </is>
      </c>
      <c r="N2192" t="inlineStr">
        <is>
          <t>BRCC</t>
        </is>
      </c>
      <c r="O2192" t="inlineStr">
        <is>
          <t>NEW</t>
        </is>
      </c>
      <c r="P2192" t="inlineStr">
        <is>
          <t>NT26082000804</t>
        </is>
      </c>
      <c r="Q2192" t="inlineStr">
        <is>
          <t>INTERNAL</t>
        </is>
      </c>
    </row>
    <row r="2193">
      <c r="A2193" t="inlineStr">
        <is>
          <t>150316825069</t>
        </is>
      </c>
      <c r="B2193" t="inlineStr">
        <is>
          <t>TCP</t>
        </is>
      </c>
      <c r="C2193" t="inlineStr">
        <is>
          <t>BRGX</t>
        </is>
      </c>
      <c r="D2193" s="6" t="n">
        <v>46254</v>
      </c>
      <c r="E2193" t="inlineStr">
        <is>
          <t>CR</t>
        </is>
      </c>
      <c r="F2193" t="inlineStr">
        <is>
          <t>GBP</t>
        </is>
      </c>
      <c r="G2193" s="7" t="n">
        <v>139150.667</v>
      </c>
      <c r="H2193" t="inlineStr">
        <is>
          <t>GBP</t>
        </is>
      </c>
      <c r="I2193" s="7" t="n">
        <v>139150.667</v>
      </c>
      <c r="J2193" s="8" t="n">
        <v>46254.44288194444</v>
      </c>
      <c r="K2193" t="inlineStr">
        <is>
          <t>CF260820 02187</t>
        </is>
      </c>
      <c r="L2193" t="inlineStr">
        <is>
          <t>GL.NOSTRO.GBP.BRGX.007</t>
        </is>
      </c>
      <c r="M2193" t="inlineStr">
        <is>
          <t>Yarrow Clearing</t>
        </is>
      </c>
      <c r="N2193" t="inlineStr">
        <is>
          <t>BRGXMM</t>
        </is>
      </c>
      <c r="O2193" t="inlineStr">
        <is>
          <t>NEW</t>
        </is>
      </c>
      <c r="Q2193" t="inlineStr">
        <is>
          <t>INTERNAL</t>
        </is>
      </c>
    </row>
    <row r="2194">
      <c r="A2194" t="inlineStr">
        <is>
          <t>150316825069</t>
        </is>
      </c>
      <c r="B2194" t="inlineStr">
        <is>
          <t>TCC</t>
        </is>
      </c>
      <c r="C2194" t="inlineStr">
        <is>
          <t>BRGX</t>
        </is>
      </c>
      <c r="D2194" s="6" t="n">
        <v>46254</v>
      </c>
      <c r="E2194" t="inlineStr">
        <is>
          <t>DR</t>
        </is>
      </c>
      <c r="F2194" t="inlineStr">
        <is>
          <t>GBP</t>
        </is>
      </c>
      <c r="G2194" s="7" t="n">
        <v>-5784717.339</v>
      </c>
      <c r="H2194" t="inlineStr">
        <is>
          <t>GBP</t>
        </is>
      </c>
      <c r="I2194" s="7" t="n">
        <v>-5784717.339</v>
      </c>
      <c r="J2194" s="8" t="n">
        <v>46254.45456018519</v>
      </c>
      <c r="K2194" t="inlineStr">
        <is>
          <t>CF260820 02188</t>
        </is>
      </c>
      <c r="L2194" t="inlineStr">
        <is>
          <t>GL.NOSTRO.GBP.BRGX.002</t>
        </is>
      </c>
      <c r="M2194" t="inlineStr">
        <is>
          <t>Elmwood Clearing</t>
        </is>
      </c>
      <c r="N2194" t="inlineStr">
        <is>
          <t>BRGXCASH</t>
        </is>
      </c>
      <c r="O2194" t="inlineStr">
        <is>
          <t>NEW</t>
        </is>
      </c>
      <c r="Q2194" t="inlineStr">
        <is>
          <t>NETTER</t>
        </is>
      </c>
    </row>
    <row r="2195">
      <c r="A2195" t="inlineStr">
        <is>
          <t>910703979141</t>
        </is>
      </c>
      <c r="B2195" t="inlineStr">
        <is>
          <t>TCP</t>
        </is>
      </c>
      <c r="C2195" t="inlineStr">
        <is>
          <t>BRCC</t>
        </is>
      </c>
      <c r="D2195" s="6" t="n">
        <v>46254</v>
      </c>
      <c r="E2195" t="inlineStr">
        <is>
          <t>CR</t>
        </is>
      </c>
      <c r="F2195" t="inlineStr">
        <is>
          <t>CHF</t>
        </is>
      </c>
      <c r="G2195" s="7" t="n">
        <v>310.334</v>
      </c>
      <c r="H2195" t="inlineStr">
        <is>
          <t>GBP</t>
        </is>
      </c>
      <c r="I2195" s="7" t="n">
        <v>278.37</v>
      </c>
      <c r="J2195" s="8" t="n">
        <v>46254.63386574074</v>
      </c>
      <c r="K2195" t="inlineStr">
        <is>
          <t>CF260820 02189</t>
        </is>
      </c>
      <c r="L2195" t="inlineStr">
        <is>
          <t>GL.NOSTRO.CHF.BRCC.006</t>
        </is>
      </c>
      <c r="M2195" t="inlineStr">
        <is>
          <t>Granite Clearing</t>
        </is>
      </c>
      <c r="N2195" t="inlineStr">
        <is>
          <t>BRCC</t>
        </is>
      </c>
      <c r="O2195" t="inlineStr">
        <is>
          <t>NEW</t>
        </is>
      </c>
      <c r="Q2195" t="inlineStr">
        <is>
          <t>INTERNAL</t>
        </is>
      </c>
    </row>
    <row r="2196">
      <c r="A2196" t="inlineStr">
        <is>
          <t>794226063698</t>
        </is>
      </c>
      <c r="B2196" t="inlineStr">
        <is>
          <t>TCQ</t>
        </is>
      </c>
      <c r="C2196" t="inlineStr">
        <is>
          <t>BRMD</t>
        </is>
      </c>
      <c r="D2196" s="6" t="n">
        <v>46254</v>
      </c>
      <c r="E2196" t="inlineStr">
        <is>
          <t>CR</t>
        </is>
      </c>
      <c r="F2196" t="inlineStr">
        <is>
          <t>AED</t>
        </is>
      </c>
      <c r="G2196" s="7" t="n">
        <v>106233967.444</v>
      </c>
      <c r="H2196" t="inlineStr">
        <is>
          <t>GBP</t>
        </is>
      </c>
      <c r="I2196" s="7" t="n">
        <v>22627835.066</v>
      </c>
      <c r="J2196" s="8" t="n">
        <v>46254.43709490741</v>
      </c>
      <c r="K2196" t="inlineStr">
        <is>
          <t>CF260820 02190</t>
        </is>
      </c>
      <c r="L2196" t="inlineStr">
        <is>
          <t>GL.NOSTRO.AED.BRMD.007</t>
        </is>
      </c>
      <c r="M2196" t="inlineStr">
        <is>
          <t>Nightjar Trust</t>
        </is>
      </c>
      <c r="N2196" t="inlineStr">
        <is>
          <t>BRMDCASH</t>
        </is>
      </c>
      <c r="O2196" t="inlineStr">
        <is>
          <t>NEW</t>
        </is>
      </c>
      <c r="Q2196" t="inlineStr">
        <is>
          <t>GROSS</t>
        </is>
      </c>
    </row>
    <row r="2197">
      <c r="A2197" t="inlineStr">
        <is>
          <t>120047354818</t>
        </is>
      </c>
      <c r="B2197" t="inlineStr">
        <is>
          <t>TCC</t>
        </is>
      </c>
      <c r="C2197" t="inlineStr">
        <is>
          <t>BRNK</t>
        </is>
      </c>
      <c r="D2197" s="6" t="n">
        <v>46254</v>
      </c>
      <c r="E2197" t="inlineStr">
        <is>
          <t>CR</t>
        </is>
      </c>
      <c r="F2197" t="inlineStr">
        <is>
          <t>USD</t>
        </is>
      </c>
      <c r="G2197" s="7" t="n">
        <v>6479807.367</v>
      </c>
      <c r="H2197" t="inlineStr">
        <is>
          <t>GBP</t>
        </is>
      </c>
      <c r="I2197" s="7" t="n">
        <v>5080168.976</v>
      </c>
      <c r="J2197" s="8" t="n">
        <v>46254.38200231481</v>
      </c>
      <c r="K2197" t="inlineStr">
        <is>
          <t>CF260820 02191</t>
        </is>
      </c>
      <c r="L2197" t="inlineStr">
        <is>
          <t>GL.NOSTRO.USD.BRNK.008</t>
        </is>
      </c>
      <c r="M2197" t="inlineStr">
        <is>
          <t>Juniper Settlement Bank</t>
        </is>
      </c>
      <c r="N2197" t="inlineStr">
        <is>
          <t>BRNKCASH</t>
        </is>
      </c>
      <c r="O2197" t="inlineStr">
        <is>
          <t>NEW</t>
        </is>
      </c>
      <c r="Q2197" t="inlineStr">
        <is>
          <t>NETTER</t>
        </is>
      </c>
    </row>
    <row r="2198">
      <c r="A2198" t="inlineStr">
        <is>
          <t>898317028833</t>
        </is>
      </c>
      <c r="B2198" t="inlineStr">
        <is>
          <t>TCX</t>
        </is>
      </c>
      <c r="C2198" t="inlineStr">
        <is>
          <t>BRAA</t>
        </is>
      </c>
      <c r="D2198" s="6" t="n">
        <v>46254</v>
      </c>
      <c r="E2198" t="inlineStr">
        <is>
          <t>CR</t>
        </is>
      </c>
      <c r="F2198" t="inlineStr">
        <is>
          <t>GBP</t>
        </is>
      </c>
      <c r="G2198" s="7" t="n">
        <v>63488.479</v>
      </c>
      <c r="H2198" t="inlineStr">
        <is>
          <t>GBP</t>
        </is>
      </c>
      <c r="I2198" s="7" t="n">
        <v>63488.479</v>
      </c>
      <c r="J2198" s="8" t="n">
        <v>46254.46434027778</v>
      </c>
      <c r="K2198" t="inlineStr">
        <is>
          <t>CF260820 02192</t>
        </is>
      </c>
      <c r="L2198" t="inlineStr">
        <is>
          <t>GL.NOSTRO.GBP.BRAA.006</t>
        </is>
      </c>
      <c r="M2198" t="inlineStr">
        <is>
          <t>Granite Clearing</t>
        </is>
      </c>
      <c r="N2198" t="inlineStr">
        <is>
          <t>BRAATRSY</t>
        </is>
      </c>
      <c r="O2198" t="inlineStr">
        <is>
          <t>NEW</t>
        </is>
      </c>
      <c r="P2198" t="inlineStr">
        <is>
          <t>NT26082000818</t>
        </is>
      </c>
      <c r="Q2198" t="inlineStr">
        <is>
          <t>GROSS</t>
        </is>
      </c>
    </row>
    <row r="2199">
      <c r="A2199" t="inlineStr">
        <is>
          <t>359365220160</t>
        </is>
      </c>
      <c r="B2199" t="inlineStr">
        <is>
          <t>TCP</t>
        </is>
      </c>
      <c r="C2199" t="inlineStr">
        <is>
          <t>BRGX</t>
        </is>
      </c>
      <c r="D2199" s="6" t="n">
        <v>46254</v>
      </c>
      <c r="E2199" t="inlineStr">
        <is>
          <t>DR</t>
        </is>
      </c>
      <c r="F2199" t="inlineStr">
        <is>
          <t>EUR</t>
        </is>
      </c>
      <c r="G2199" s="7" t="n">
        <v>-43690421.851</v>
      </c>
      <c r="H2199" t="inlineStr">
        <is>
          <t>GBP</t>
        </is>
      </c>
      <c r="I2199" s="7" t="n">
        <v>-37486381.948</v>
      </c>
      <c r="J2199" s="8" t="n">
        <v>46254.83100694444</v>
      </c>
      <c r="K2199" t="inlineStr">
        <is>
          <t>CF260820 02193</t>
        </is>
      </c>
      <c r="L2199" t="inlineStr">
        <is>
          <t>GL.NOSTRO.EUR.BRGX.009</t>
        </is>
      </c>
      <c r="M2199" t="inlineStr">
        <is>
          <t>Sablewood Commercial Bank</t>
        </is>
      </c>
      <c r="N2199" t="inlineStr">
        <is>
          <t>BRGX</t>
        </is>
      </c>
      <c r="O2199" t="inlineStr">
        <is>
          <t>AMEND</t>
        </is>
      </c>
      <c r="Q2199" t="inlineStr">
        <is>
          <t>NETTER</t>
        </is>
      </c>
    </row>
    <row r="2200">
      <c r="A2200" t="inlineStr">
        <is>
          <t>265771593142</t>
        </is>
      </c>
      <c r="B2200" t="inlineStr">
        <is>
          <t>TCQ</t>
        </is>
      </c>
      <c r="C2200" t="inlineStr">
        <is>
          <t>BRYG</t>
        </is>
      </c>
      <c r="D2200" s="6" t="n">
        <v>46254</v>
      </c>
      <c r="E2200" t="inlineStr">
        <is>
          <t>DR</t>
        </is>
      </c>
      <c r="F2200" t="inlineStr">
        <is>
          <t>EUR</t>
        </is>
      </c>
      <c r="G2200" s="7" t="n">
        <v>-783494649.585</v>
      </c>
      <c r="H2200" t="inlineStr">
        <is>
          <t>GBP</t>
        </is>
      </c>
      <c r="I2200" s="7" t="n">
        <v>-672238409.344</v>
      </c>
      <c r="J2200" s="8" t="n">
        <v>46254.59385416667</v>
      </c>
      <c r="K2200" t="inlineStr">
        <is>
          <t>CF260820 02194</t>
        </is>
      </c>
      <c r="L2200" t="inlineStr">
        <is>
          <t>GL.NOSTRO.EUR.BRYG.004</t>
        </is>
      </c>
      <c r="M2200" t="inlineStr">
        <is>
          <t>Pinehurst Clearing</t>
        </is>
      </c>
      <c r="N2200" t="inlineStr">
        <is>
          <t>BRYGCASH</t>
        </is>
      </c>
      <c r="O2200" t="inlineStr">
        <is>
          <t>NEW</t>
        </is>
      </c>
      <c r="P2200" t="inlineStr">
        <is>
          <t>NT26082000811</t>
        </is>
      </c>
      <c r="Q2200" t="inlineStr">
        <is>
          <t>NETTER</t>
        </is>
      </c>
    </row>
    <row r="2201">
      <c r="A2201" t="inlineStr">
        <is>
          <t>910703979141</t>
        </is>
      </c>
      <c r="B2201" t="inlineStr">
        <is>
          <t>TCP</t>
        </is>
      </c>
      <c r="C2201" t="inlineStr">
        <is>
          <t>BRCC</t>
        </is>
      </c>
      <c r="D2201" s="6" t="n">
        <v>46254</v>
      </c>
      <c r="E2201" t="inlineStr">
        <is>
          <t>CR</t>
        </is>
      </c>
      <c r="F2201" t="inlineStr">
        <is>
          <t>CHF</t>
        </is>
      </c>
      <c r="G2201" s="7" t="n">
        <v>13534.539</v>
      </c>
      <c r="H2201" t="inlineStr">
        <is>
          <t>GBP</t>
        </is>
      </c>
      <c r="I2201" s="7" t="n">
        <v>12140.481</v>
      </c>
      <c r="J2201" s="8" t="n">
        <v>46254.70357638889</v>
      </c>
      <c r="K2201" t="inlineStr">
        <is>
          <t>CF260820 02195</t>
        </is>
      </c>
      <c r="L2201" t="inlineStr">
        <is>
          <t>GL.NOSTRO.CHF.BRCC.003</t>
        </is>
      </c>
      <c r="M2201" t="inlineStr">
        <is>
          <t>Vetchling Settlement Bank</t>
        </is>
      </c>
      <c r="N2201" t="inlineStr">
        <is>
          <t>BRCCMM</t>
        </is>
      </c>
      <c r="O2201" t="inlineStr">
        <is>
          <t>AMEND</t>
        </is>
      </c>
      <c r="P2201" t="inlineStr">
        <is>
          <t>NT26082000816</t>
        </is>
      </c>
      <c r="Q2201" t="inlineStr">
        <is>
          <t>NETTER</t>
        </is>
      </c>
    </row>
    <row r="2202">
      <c r="A2202" t="inlineStr">
        <is>
          <t>150316825069</t>
        </is>
      </c>
      <c r="B2202" t="inlineStr">
        <is>
          <t>TCC</t>
        </is>
      </c>
      <c r="C2202" t="inlineStr">
        <is>
          <t>BRGX</t>
        </is>
      </c>
      <c r="D2202" s="6" t="n">
        <v>46254</v>
      </c>
      <c r="E2202" t="inlineStr">
        <is>
          <t>CR</t>
        </is>
      </c>
      <c r="F2202" t="inlineStr">
        <is>
          <t>GBP</t>
        </is>
      </c>
      <c r="G2202" s="7" t="n">
        <v>308033.63</v>
      </c>
      <c r="H2202" t="inlineStr">
        <is>
          <t>GBP</t>
        </is>
      </c>
      <c r="I2202" s="7" t="n">
        <v>308033.63</v>
      </c>
      <c r="J2202" s="8" t="n">
        <v>46254.66219907408</v>
      </c>
      <c r="K2202" t="inlineStr">
        <is>
          <t>CF260820 02196</t>
        </is>
      </c>
      <c r="L2202" t="inlineStr">
        <is>
          <t>GL.NOSTRO.GBP.BRGX.006</t>
        </is>
      </c>
      <c r="M2202" t="inlineStr">
        <is>
          <t>Elmwood Settlement Bank</t>
        </is>
      </c>
      <c r="N2202" t="inlineStr">
        <is>
          <t>BRGX</t>
        </is>
      </c>
      <c r="O2202" t="inlineStr">
        <is>
          <t>NEW</t>
        </is>
      </c>
      <c r="P2202" t="inlineStr">
        <is>
          <t>NT26082000823</t>
        </is>
      </c>
      <c r="Q2202" t="inlineStr">
        <is>
          <t>NETTER</t>
        </is>
      </c>
    </row>
    <row r="2203">
      <c r="A2203" t="inlineStr">
        <is>
          <t>499062838623</t>
        </is>
      </c>
      <c r="B2203" t="inlineStr">
        <is>
          <t>TCG</t>
        </is>
      </c>
      <c r="C2203" t="inlineStr">
        <is>
          <t>BRBX</t>
        </is>
      </c>
      <c r="D2203" s="6" t="n">
        <v>46254</v>
      </c>
      <c r="E2203" t="inlineStr">
        <is>
          <t>CR</t>
        </is>
      </c>
      <c r="F2203" t="inlineStr">
        <is>
          <t>USD</t>
        </is>
      </c>
      <c r="G2203" s="7" t="n">
        <v>747184.7169999999</v>
      </c>
      <c r="H2203" t="inlineStr">
        <is>
          <t>GBP</t>
        </is>
      </c>
      <c r="I2203" s="7" t="n">
        <v>585792.818</v>
      </c>
      <c r="J2203" s="8" t="n">
        <v>46254.37189814815</v>
      </c>
      <c r="K2203" t="inlineStr">
        <is>
          <t>CF260820 02197</t>
        </is>
      </c>
      <c r="L2203" t="inlineStr">
        <is>
          <t>GL.NOSTRO.USD.BRBX.005</t>
        </is>
      </c>
      <c r="M2203" t="inlineStr">
        <is>
          <t>Yarrow Clearing</t>
        </is>
      </c>
      <c r="N2203" t="inlineStr">
        <is>
          <t>BRBXTRSY</t>
        </is>
      </c>
      <c r="O2203" t="inlineStr">
        <is>
          <t>NEW</t>
        </is>
      </c>
      <c r="P2203" t="inlineStr">
        <is>
          <t>NT26082000798</t>
        </is>
      </c>
      <c r="Q2203" t="inlineStr">
        <is>
          <t>NETTER</t>
        </is>
      </c>
    </row>
    <row r="2204">
      <c r="A2204" t="inlineStr">
        <is>
          <t>359365220160</t>
        </is>
      </c>
      <c r="B2204" t="inlineStr">
        <is>
          <t>TCX</t>
        </is>
      </c>
      <c r="C2204" t="inlineStr">
        <is>
          <t>BRGX</t>
        </is>
      </c>
      <c r="D2204" s="6" t="n">
        <v>46254</v>
      </c>
      <c r="E2204" t="inlineStr">
        <is>
          <t>CR</t>
        </is>
      </c>
      <c r="F2204" t="inlineStr">
        <is>
          <t>EUR</t>
        </is>
      </c>
      <c r="G2204" s="7" t="n">
        <v>29888186.596</v>
      </c>
      <c r="H2204" t="inlineStr">
        <is>
          <t>GBP</t>
        </is>
      </c>
      <c r="I2204" s="7" t="n">
        <v>25644064.099</v>
      </c>
      <c r="J2204" s="8" t="n">
        <v>46254.42814814814</v>
      </c>
      <c r="K2204" t="inlineStr">
        <is>
          <t>CF260820 02198</t>
        </is>
      </c>
      <c r="L2204" t="inlineStr">
        <is>
          <t>GL.NOSTRO.EUR.BRGX.001</t>
        </is>
      </c>
      <c r="M2204" t="inlineStr">
        <is>
          <t>Ironbark Commercial Bank</t>
        </is>
      </c>
      <c r="N2204" t="inlineStr">
        <is>
          <t>BRGXMM</t>
        </is>
      </c>
      <c r="O2204" t="inlineStr">
        <is>
          <t>NEW</t>
        </is>
      </c>
      <c r="P2204" t="inlineStr">
        <is>
          <t>NT26082000809</t>
        </is>
      </c>
      <c r="Q2204" t="inlineStr">
        <is>
          <t>INTERNAL</t>
        </is>
      </c>
    </row>
    <row r="2205">
      <c r="A2205" t="inlineStr">
        <is>
          <t>910703979141</t>
        </is>
      </c>
      <c r="B2205" t="inlineStr">
        <is>
          <t>TCP</t>
        </is>
      </c>
      <c r="C2205" t="inlineStr">
        <is>
          <t>BRCC</t>
        </is>
      </c>
      <c r="D2205" s="6" t="n">
        <v>46254</v>
      </c>
      <c r="E2205" t="inlineStr">
        <is>
          <t>DR</t>
        </is>
      </c>
      <c r="F2205" t="inlineStr">
        <is>
          <t>CHF</t>
        </is>
      </c>
      <c r="G2205" s="7" t="n">
        <v>-1.171</v>
      </c>
      <c r="H2205" t="inlineStr">
        <is>
          <t>GBP</t>
        </is>
      </c>
      <c r="I2205" s="7" t="n">
        <v>-1.05</v>
      </c>
      <c r="J2205" s="8" t="n">
        <v>46254.5902199074</v>
      </c>
      <c r="K2205" t="inlineStr">
        <is>
          <t>CF260820 02199</t>
        </is>
      </c>
      <c r="L2205" t="inlineStr">
        <is>
          <t>GL.NOSTRO.CHF.BRCC.009</t>
        </is>
      </c>
      <c r="M2205" t="inlineStr">
        <is>
          <t>Nightjar Bank</t>
        </is>
      </c>
      <c r="N2205" t="inlineStr">
        <is>
          <t>BRCC</t>
        </is>
      </c>
      <c r="O2205" t="inlineStr">
        <is>
          <t>NEW</t>
        </is>
      </c>
      <c r="Q2205" t="inlineStr">
        <is>
          <t>NETTER</t>
        </is>
      </c>
    </row>
    <row r="2206">
      <c r="A2206" t="inlineStr">
        <is>
          <t>265771593142</t>
        </is>
      </c>
      <c r="B2206" t="inlineStr">
        <is>
          <t>TCQ</t>
        </is>
      </c>
      <c r="C2206" t="inlineStr">
        <is>
          <t>BRYG</t>
        </is>
      </c>
      <c r="D2206" s="6" t="n">
        <v>46254</v>
      </c>
      <c r="E2206" t="inlineStr">
        <is>
          <t>CR</t>
        </is>
      </c>
      <c r="F2206" t="inlineStr">
        <is>
          <t>EUR</t>
        </is>
      </c>
      <c r="G2206" s="7" t="n">
        <v>98614161.751</v>
      </c>
      <c r="H2206" t="inlineStr">
        <is>
          <t>GBP</t>
        </is>
      </c>
      <c r="I2206" s="7" t="n">
        <v>84610950.78200001</v>
      </c>
      <c r="J2206" s="8" t="n">
        <v>46254.73101851852</v>
      </c>
      <c r="K2206" t="inlineStr">
        <is>
          <t>CF260820 02200</t>
        </is>
      </c>
      <c r="L2206" t="inlineStr">
        <is>
          <t>GL.NOSTRO.EUR.BRYG.009</t>
        </is>
      </c>
      <c r="M2206" t="inlineStr">
        <is>
          <t>Yarrow Bank</t>
        </is>
      </c>
      <c r="N2206" t="inlineStr">
        <is>
          <t>BRYGMM</t>
        </is>
      </c>
      <c r="O2206" t="inlineStr">
        <is>
          <t>NEW</t>
        </is>
      </c>
      <c r="Q2206" t="inlineStr">
        <is>
          <t>NETTER</t>
        </is>
      </c>
    </row>
    <row r="2207">
      <c r="A2207" t="inlineStr">
        <is>
          <t>726928343448</t>
        </is>
      </c>
      <c r="B2207" t="inlineStr">
        <is>
          <t>TCG</t>
        </is>
      </c>
      <c r="C2207" t="inlineStr">
        <is>
          <t>BRGX</t>
        </is>
      </c>
      <c r="D2207" s="6" t="n">
        <v>46254</v>
      </c>
      <c r="E2207" t="inlineStr">
        <is>
          <t>CR</t>
        </is>
      </c>
      <c r="F2207" t="inlineStr">
        <is>
          <t>EUR</t>
        </is>
      </c>
      <c r="G2207" s="7" t="n">
        <v>89324657.24699999</v>
      </c>
      <c r="H2207" t="inlineStr">
        <is>
          <t>GBP</t>
        </is>
      </c>
      <c r="I2207" s="7" t="n">
        <v>76640555.918</v>
      </c>
      <c r="J2207" s="8" t="n">
        <v>46254.62444444445</v>
      </c>
      <c r="K2207" t="inlineStr">
        <is>
          <t>CF260820 02201</t>
        </is>
      </c>
      <c r="L2207" t="inlineStr">
        <is>
          <t>GL.NOSTRO.EUR.BRGX.008</t>
        </is>
      </c>
      <c r="M2207" t="inlineStr">
        <is>
          <t>Mallow Trust</t>
        </is>
      </c>
      <c r="N2207" t="inlineStr">
        <is>
          <t>BRGXMM</t>
        </is>
      </c>
      <c r="O2207" t="inlineStr">
        <is>
          <t>AMEND</t>
        </is>
      </c>
      <c r="P2207" t="inlineStr">
        <is>
          <t>NT26082000821</t>
        </is>
      </c>
      <c r="Q2207" t="inlineStr">
        <is>
          <t>NETTER</t>
        </is>
      </c>
    </row>
    <row r="2208">
      <c r="A2208" t="inlineStr">
        <is>
          <t>150316825069</t>
        </is>
      </c>
      <c r="B2208" t="inlineStr">
        <is>
          <t>TCP</t>
        </is>
      </c>
      <c r="C2208" t="inlineStr">
        <is>
          <t>BRGX</t>
        </is>
      </c>
      <c r="D2208" s="6" t="n">
        <v>46254</v>
      </c>
      <c r="E2208" t="inlineStr">
        <is>
          <t>CR</t>
        </is>
      </c>
      <c r="F2208" t="inlineStr">
        <is>
          <t>GBP</t>
        </is>
      </c>
      <c r="G2208" s="7" t="n">
        <v>4746562.926</v>
      </c>
      <c r="H2208" t="inlineStr">
        <is>
          <t>GBP</t>
        </is>
      </c>
      <c r="I2208" s="7" t="n">
        <v>4746562.926</v>
      </c>
      <c r="J2208" s="8" t="n">
        <v>46254.85674768518</v>
      </c>
      <c r="K2208" t="inlineStr">
        <is>
          <t>CF260820 02202</t>
        </is>
      </c>
      <c r="L2208" t="inlineStr">
        <is>
          <t>GL.NOSTRO.GBP.BRGX.008</t>
        </is>
      </c>
      <c r="M2208" t="inlineStr">
        <is>
          <t>Wrenfield Commercial Bank</t>
        </is>
      </c>
      <c r="N2208" t="inlineStr">
        <is>
          <t>BRGXCASH</t>
        </is>
      </c>
      <c r="O2208" t="inlineStr">
        <is>
          <t>NEW</t>
        </is>
      </c>
      <c r="Q2208" t="inlineStr">
        <is>
          <t>NETTER</t>
        </is>
      </c>
    </row>
    <row r="2209">
      <c r="A2209" t="inlineStr">
        <is>
          <t>150316825069</t>
        </is>
      </c>
      <c r="B2209" t="inlineStr">
        <is>
          <t>TCQ</t>
        </is>
      </c>
      <c r="C2209" t="inlineStr">
        <is>
          <t>BRGX</t>
        </is>
      </c>
      <c r="D2209" s="6" t="n">
        <v>46254</v>
      </c>
      <c r="E2209" t="inlineStr">
        <is>
          <t>CR</t>
        </is>
      </c>
      <c r="F2209" t="inlineStr">
        <is>
          <t>GBP</t>
        </is>
      </c>
      <c r="G2209" s="7" t="n">
        <v>615766643.211</v>
      </c>
      <c r="H2209" t="inlineStr">
        <is>
          <t>GBP</t>
        </is>
      </c>
      <c r="I2209" s="7" t="n">
        <v>615766643.211</v>
      </c>
      <c r="J2209" s="8" t="n">
        <v>46254.33409722222</v>
      </c>
      <c r="K2209" t="inlineStr">
        <is>
          <t>CF260820 02203</t>
        </is>
      </c>
      <c r="L2209" t="inlineStr">
        <is>
          <t>GL.NOSTRO.GBP.BRGX.002</t>
        </is>
      </c>
      <c r="M2209" t="inlineStr">
        <is>
          <t>Mallow Clearing</t>
        </is>
      </c>
      <c r="N2209" t="inlineStr">
        <is>
          <t>BRGXCASH</t>
        </is>
      </c>
      <c r="O2209" t="inlineStr">
        <is>
          <t>NEW</t>
        </is>
      </c>
      <c r="P2209" t="inlineStr">
        <is>
          <t>NT26082000824</t>
        </is>
      </c>
      <c r="Q2209" t="inlineStr">
        <is>
          <t>INTERNAL</t>
        </is>
      </c>
    </row>
    <row r="2210">
      <c r="A2210" t="inlineStr">
        <is>
          <t>910703979141</t>
        </is>
      </c>
      <c r="B2210" t="inlineStr">
        <is>
          <t>TCQ</t>
        </is>
      </c>
      <c r="C2210" t="inlineStr">
        <is>
          <t>BRCC</t>
        </is>
      </c>
      <c r="D2210" s="6" t="n">
        <v>46254</v>
      </c>
      <c r="E2210" t="inlineStr">
        <is>
          <t>CR</t>
        </is>
      </c>
      <c r="F2210" t="inlineStr">
        <is>
          <t>CHF</t>
        </is>
      </c>
      <c r="G2210" s="7" t="n">
        <v>100365808.982</v>
      </c>
      <c r="H2210" t="inlineStr">
        <is>
          <t>GBP</t>
        </is>
      </c>
      <c r="I2210" s="7" t="n">
        <v>90028130.65700001</v>
      </c>
      <c r="J2210" s="8" t="n">
        <v>46254.68944444445</v>
      </c>
      <c r="K2210" t="inlineStr">
        <is>
          <t>CF260820 02204</t>
        </is>
      </c>
      <c r="L2210" t="inlineStr">
        <is>
          <t>GL.NOSTRO.CHF.BRCC.002</t>
        </is>
      </c>
      <c r="M2210" t="inlineStr">
        <is>
          <t>Vetchling Commercial Bank</t>
        </is>
      </c>
      <c r="N2210" t="inlineStr">
        <is>
          <t>BRCCTRSY</t>
        </is>
      </c>
      <c r="O2210" t="inlineStr">
        <is>
          <t>NEW</t>
        </is>
      </c>
      <c r="P2210" t="inlineStr">
        <is>
          <t>NT26082000818</t>
        </is>
      </c>
      <c r="Q2210" t="inlineStr">
        <is>
          <t>GROSS</t>
        </is>
      </c>
    </row>
    <row r="2211">
      <c r="A2211" t="inlineStr">
        <is>
          <t>150316825069</t>
        </is>
      </c>
      <c r="B2211" t="inlineStr">
        <is>
          <t>TCQ</t>
        </is>
      </c>
      <c r="C2211" t="inlineStr">
        <is>
          <t>BRGX</t>
        </is>
      </c>
      <c r="D2211" s="6" t="n">
        <v>46254</v>
      </c>
      <c r="E2211" t="inlineStr">
        <is>
          <t>DR</t>
        </is>
      </c>
      <c r="F2211" t="inlineStr">
        <is>
          <t>GBP</t>
        </is>
      </c>
      <c r="G2211" s="7" t="n">
        <v>-88339549.72499999</v>
      </c>
      <c r="H2211" t="inlineStr">
        <is>
          <t>GBP</t>
        </is>
      </c>
      <c r="I2211" s="7" t="n">
        <v>-88339549.72499999</v>
      </c>
      <c r="J2211" s="8" t="n">
        <v>46254.64471064815</v>
      </c>
      <c r="K2211" t="inlineStr">
        <is>
          <t>CF260820 02205</t>
        </is>
      </c>
      <c r="L2211" t="inlineStr">
        <is>
          <t>GL.NOSTRO.GBP.BRGX.005</t>
        </is>
      </c>
      <c r="M2211" t="inlineStr">
        <is>
          <t>Granite Bank</t>
        </is>
      </c>
      <c r="N2211" t="inlineStr">
        <is>
          <t>BRGX</t>
        </is>
      </c>
      <c r="O2211" t="inlineStr">
        <is>
          <t>NEW</t>
        </is>
      </c>
      <c r="Q2211" t="inlineStr">
        <is>
          <t>NETTER</t>
        </is>
      </c>
    </row>
    <row r="2212">
      <c r="A2212" t="inlineStr">
        <is>
          <t>910703979141</t>
        </is>
      </c>
      <c r="B2212" t="inlineStr">
        <is>
          <t>TCC</t>
        </is>
      </c>
      <c r="C2212" t="inlineStr">
        <is>
          <t>BRCC</t>
        </is>
      </c>
      <c r="D2212" s="6" t="n">
        <v>46254</v>
      </c>
      <c r="E2212" t="inlineStr">
        <is>
          <t>CR</t>
        </is>
      </c>
      <c r="F2212" t="inlineStr">
        <is>
          <t>CHF</t>
        </is>
      </c>
      <c r="G2212" s="7" t="n">
        <v>11020429.217</v>
      </c>
      <c r="H2212" t="inlineStr">
        <is>
          <t>GBP</t>
        </is>
      </c>
      <c r="I2212" s="7" t="n">
        <v>9885325.007999999</v>
      </c>
      <c r="J2212" s="8" t="n">
        <v>46254.58753472222</v>
      </c>
      <c r="K2212" t="inlineStr">
        <is>
          <t>CF260820 02206</t>
        </is>
      </c>
      <c r="L2212" t="inlineStr">
        <is>
          <t>GL.NOSTRO.CHF.BRCC.003</t>
        </is>
      </c>
      <c r="M2212" t="inlineStr">
        <is>
          <t>Elmwood Bank</t>
        </is>
      </c>
      <c r="N2212" t="inlineStr">
        <is>
          <t>BRCCTRSY</t>
        </is>
      </c>
      <c r="O2212" t="inlineStr">
        <is>
          <t>NEW</t>
        </is>
      </c>
      <c r="Q2212" t="inlineStr">
        <is>
          <t>GROSS</t>
        </is>
      </c>
    </row>
    <row r="2213">
      <c r="A2213" t="inlineStr">
        <is>
          <t>171857983160</t>
        </is>
      </c>
      <c r="B2213" t="inlineStr">
        <is>
          <t>TCC</t>
        </is>
      </c>
      <c r="C2213" t="inlineStr">
        <is>
          <t>BRBX</t>
        </is>
      </c>
      <c r="D2213" s="6" t="n">
        <v>46254</v>
      </c>
      <c r="E2213" t="inlineStr">
        <is>
          <t>DR</t>
        </is>
      </c>
      <c r="F2213" t="inlineStr">
        <is>
          <t>AUD</t>
        </is>
      </c>
      <c r="G2213" s="7" t="n">
        <v>-26980174.401</v>
      </c>
      <c r="H2213" t="inlineStr">
        <is>
          <t>GBP</t>
        </is>
      </c>
      <c r="I2213" s="7" t="n">
        <v>-13840829.468</v>
      </c>
      <c r="J2213" s="8" t="n">
        <v>46254.43314814815</v>
      </c>
      <c r="K2213" t="inlineStr">
        <is>
          <t>CF260820 02207</t>
        </is>
      </c>
      <c r="L2213" t="inlineStr">
        <is>
          <t>GL.NOSTRO.AUD.BRBX.008</t>
        </is>
      </c>
      <c r="M2213" t="inlineStr">
        <is>
          <t>Zephyr Bank</t>
        </is>
      </c>
      <c r="N2213" t="inlineStr">
        <is>
          <t>BRBX</t>
        </is>
      </c>
      <c r="O2213" t="inlineStr">
        <is>
          <t>NEW</t>
        </is>
      </c>
      <c r="P2213" t="inlineStr">
        <is>
          <t>NT26082000791</t>
        </is>
      </c>
      <c r="Q2213" t="inlineStr">
        <is>
          <t>NETTER</t>
        </is>
      </c>
    </row>
    <row r="2214">
      <c r="A2214" t="inlineStr">
        <is>
          <t>824840705580</t>
        </is>
      </c>
      <c r="B2214" t="inlineStr">
        <is>
          <t>TCG</t>
        </is>
      </c>
      <c r="C2214" t="inlineStr">
        <is>
          <t>BRGL</t>
        </is>
      </c>
      <c r="D2214" s="6" t="n">
        <v>46254</v>
      </c>
      <c r="E2214" t="inlineStr">
        <is>
          <t>DR</t>
        </is>
      </c>
      <c r="F2214" t="inlineStr">
        <is>
          <t>EUR</t>
        </is>
      </c>
      <c r="G2214" s="7" t="n">
        <v>-46051430.436</v>
      </c>
      <c r="H2214" t="inlineStr">
        <is>
          <t>GBP</t>
        </is>
      </c>
      <c r="I2214" s="7" t="n">
        <v>-39512127.314</v>
      </c>
      <c r="J2214" s="8" t="n">
        <v>46254.37517361111</v>
      </c>
      <c r="K2214" t="inlineStr">
        <is>
          <t>CF260820 02208</t>
        </is>
      </c>
      <c r="L2214" t="inlineStr">
        <is>
          <t>GL.NOSTRO.EUR.BRGL.008</t>
        </is>
      </c>
      <c r="M2214" t="inlineStr">
        <is>
          <t>Larkspur Clearing</t>
        </is>
      </c>
      <c r="N2214" t="inlineStr">
        <is>
          <t>BRGL</t>
        </is>
      </c>
      <c r="O2214" t="inlineStr">
        <is>
          <t>AMEND</t>
        </is>
      </c>
      <c r="P2214" t="inlineStr">
        <is>
          <t>NT26082000799</t>
        </is>
      </c>
      <c r="Q2214" t="inlineStr">
        <is>
          <t>GROSS</t>
        </is>
      </c>
    </row>
    <row r="2215">
      <c r="A2215" t="inlineStr">
        <is>
          <t>150316825069</t>
        </is>
      </c>
      <c r="B2215" t="inlineStr">
        <is>
          <t>TCG</t>
        </is>
      </c>
      <c r="C2215" t="inlineStr">
        <is>
          <t>BRGX</t>
        </is>
      </c>
      <c r="D2215" s="6" t="n">
        <v>46254</v>
      </c>
      <c r="E2215" t="inlineStr">
        <is>
          <t>DR</t>
        </is>
      </c>
      <c r="F2215" t="inlineStr">
        <is>
          <t>GBP</t>
        </is>
      </c>
      <c r="G2215" s="7" t="n">
        <v>-267802173.463</v>
      </c>
      <c r="H2215" t="inlineStr">
        <is>
          <t>GBP</t>
        </is>
      </c>
      <c r="I2215" s="7" t="n">
        <v>-267802173.463</v>
      </c>
      <c r="J2215" s="8" t="n">
        <v>46254.40496527778</v>
      </c>
      <c r="K2215" t="inlineStr">
        <is>
          <t>CF260820 02209</t>
        </is>
      </c>
      <c r="L2215" t="inlineStr">
        <is>
          <t>GL.NOSTRO.GBP.BRGX.008</t>
        </is>
      </c>
      <c r="M2215" t="inlineStr">
        <is>
          <t>Bramble Bank</t>
        </is>
      </c>
      <c r="N2215" t="inlineStr">
        <is>
          <t>BRGXMM</t>
        </is>
      </c>
      <c r="O2215" t="inlineStr">
        <is>
          <t>NEW</t>
        </is>
      </c>
      <c r="P2215" t="inlineStr">
        <is>
          <t>NT26082000807</t>
        </is>
      </c>
      <c r="Q2215" t="inlineStr">
        <is>
          <t>NETTER</t>
        </is>
      </c>
    </row>
    <row r="2216">
      <c r="A2216" t="inlineStr">
        <is>
          <t>953625291146</t>
        </is>
      </c>
      <c r="B2216" t="inlineStr">
        <is>
          <t>TCC</t>
        </is>
      </c>
      <c r="C2216" t="inlineStr">
        <is>
          <t>BRGL</t>
        </is>
      </c>
      <c r="D2216" s="6" t="n">
        <v>46254</v>
      </c>
      <c r="E2216" t="inlineStr">
        <is>
          <t>DR</t>
        </is>
      </c>
      <c r="F2216" t="inlineStr">
        <is>
          <t>USD</t>
        </is>
      </c>
      <c r="G2216" s="7" t="n">
        <v>-813713490.783</v>
      </c>
      <c r="H2216" t="inlineStr">
        <is>
          <t>GBP</t>
        </is>
      </c>
      <c r="I2216" s="7" t="n">
        <v>-637951376.774</v>
      </c>
      <c r="J2216" s="8" t="n">
        <v>46254.59240740741</v>
      </c>
      <c r="K2216" t="inlineStr">
        <is>
          <t>CF260820 02210</t>
        </is>
      </c>
      <c r="L2216" t="inlineStr">
        <is>
          <t>GL.NOSTRO.USD.BRGL.001</t>
        </is>
      </c>
      <c r="M2216" t="inlineStr">
        <is>
          <t>Elmwood Clearing</t>
        </is>
      </c>
      <c r="N2216" t="inlineStr">
        <is>
          <t>BRGLMM</t>
        </is>
      </c>
      <c r="O2216" t="inlineStr">
        <is>
          <t>NEW</t>
        </is>
      </c>
      <c r="Q2216" t="inlineStr">
        <is>
          <t>NETTER</t>
        </is>
      </c>
    </row>
    <row r="2217">
      <c r="A2217" t="inlineStr">
        <is>
          <t>171857983160</t>
        </is>
      </c>
      <c r="B2217" t="inlineStr">
        <is>
          <t>TCX</t>
        </is>
      </c>
      <c r="C2217" t="inlineStr">
        <is>
          <t>BRBX</t>
        </is>
      </c>
      <c r="D2217" s="6" t="n">
        <v>46254</v>
      </c>
      <c r="E2217" t="inlineStr">
        <is>
          <t>DR</t>
        </is>
      </c>
      <c r="F2217" t="inlineStr">
        <is>
          <t>AUD</t>
        </is>
      </c>
      <c r="G2217" s="7" t="n">
        <v>-824049646.02</v>
      </c>
      <c r="H2217" t="inlineStr">
        <is>
          <t>GBP</t>
        </is>
      </c>
      <c r="I2217" s="7" t="n">
        <v>-422737468.408</v>
      </c>
      <c r="J2217" s="8" t="n">
        <v>46254.33074074074</v>
      </c>
      <c r="K2217" t="inlineStr">
        <is>
          <t>CF260820 02211</t>
        </is>
      </c>
      <c r="L2217" t="inlineStr">
        <is>
          <t>GL.NOSTRO.AUD.BRBX.006</t>
        </is>
      </c>
      <c r="M2217" t="inlineStr">
        <is>
          <t>Sablewood Commercial Bank</t>
        </is>
      </c>
      <c r="N2217" t="inlineStr">
        <is>
          <t>BRBX</t>
        </is>
      </c>
      <c r="O2217" t="inlineStr">
        <is>
          <t>AMEND</t>
        </is>
      </c>
      <c r="Q2217" t="inlineStr">
        <is>
          <t>NETTER</t>
        </is>
      </c>
    </row>
    <row r="2218">
      <c r="A2218" t="inlineStr">
        <is>
          <t>726928343448</t>
        </is>
      </c>
      <c r="B2218" t="inlineStr">
        <is>
          <t>TCQ</t>
        </is>
      </c>
      <c r="C2218" t="inlineStr">
        <is>
          <t>BRGX</t>
        </is>
      </c>
      <c r="D2218" s="6" t="n">
        <v>46254</v>
      </c>
      <c r="E2218" t="inlineStr">
        <is>
          <t>DR</t>
        </is>
      </c>
      <c r="F2218" t="inlineStr">
        <is>
          <t>EUR</t>
        </is>
      </c>
      <c r="G2218" s="7" t="n">
        <v>-68515445.74600001</v>
      </c>
      <c r="H2218" t="inlineStr">
        <is>
          <t>GBP</t>
        </is>
      </c>
      <c r="I2218" s="7" t="n">
        <v>-58786252.45</v>
      </c>
      <c r="J2218" s="8" t="n">
        <v>46254.32076388889</v>
      </c>
      <c r="K2218" t="inlineStr">
        <is>
          <t>CF260820 02212</t>
        </is>
      </c>
      <c r="L2218" t="inlineStr">
        <is>
          <t>GL.NOSTRO.EUR.BRGX.007</t>
        </is>
      </c>
      <c r="M2218" t="inlineStr">
        <is>
          <t>Mallow Clearing</t>
        </is>
      </c>
      <c r="N2218" t="inlineStr">
        <is>
          <t>BRGXTRSY</t>
        </is>
      </c>
      <c r="O2218" t="inlineStr">
        <is>
          <t>AMEND</t>
        </is>
      </c>
      <c r="P2218" t="inlineStr">
        <is>
          <t>NT26082000800</t>
        </is>
      </c>
      <c r="Q2218" t="inlineStr">
        <is>
          <t>GROSS</t>
        </is>
      </c>
    </row>
    <row r="2219">
      <c r="A2219" t="inlineStr">
        <is>
          <t>150316825069</t>
        </is>
      </c>
      <c r="B2219" t="inlineStr">
        <is>
          <t>TCG</t>
        </is>
      </c>
      <c r="C2219" t="inlineStr">
        <is>
          <t>BRGX</t>
        </is>
      </c>
      <c r="D2219" s="6" t="n">
        <v>46254</v>
      </c>
      <c r="E2219" t="inlineStr">
        <is>
          <t>CR</t>
        </is>
      </c>
      <c r="F2219" t="inlineStr">
        <is>
          <t>GBP</t>
        </is>
      </c>
      <c r="G2219" s="7" t="n">
        <v>169640182.52</v>
      </c>
      <c r="H2219" t="inlineStr">
        <is>
          <t>GBP</t>
        </is>
      </c>
      <c r="I2219" s="7" t="n">
        <v>169640182.52</v>
      </c>
      <c r="J2219" s="8" t="n">
        <v>46254.34535879629</v>
      </c>
      <c r="K2219" t="inlineStr">
        <is>
          <t>CF260820 02213</t>
        </is>
      </c>
      <c r="L2219" t="inlineStr">
        <is>
          <t>GL.NOSTRO.GBP.BRGX.006</t>
        </is>
      </c>
      <c r="M2219" t="inlineStr">
        <is>
          <t>Yarrow Clearing</t>
        </is>
      </c>
      <c r="N2219" t="inlineStr">
        <is>
          <t>BRGXMM</t>
        </is>
      </c>
      <c r="O2219" t="inlineStr">
        <is>
          <t>NEW</t>
        </is>
      </c>
      <c r="Q2219" t="inlineStr">
        <is>
          <t>NETTER</t>
        </is>
      </c>
    </row>
    <row r="2220">
      <c r="A2220" t="inlineStr">
        <is>
          <t>910703979141</t>
        </is>
      </c>
      <c r="B2220" t="inlineStr">
        <is>
          <t>TCX</t>
        </is>
      </c>
      <c r="C2220" t="inlineStr">
        <is>
          <t>BRCC</t>
        </is>
      </c>
      <c r="D2220" s="6" t="n">
        <v>46254</v>
      </c>
      <c r="E2220" t="inlineStr">
        <is>
          <t>CR</t>
        </is>
      </c>
      <c r="F2220" t="inlineStr">
        <is>
          <t>CHF</t>
        </is>
      </c>
      <c r="G2220" s="7" t="n">
        <v>378828498.457</v>
      </c>
      <c r="H2220" t="inlineStr">
        <is>
          <t>GBP</t>
        </is>
      </c>
      <c r="I2220" s="7" t="n">
        <v>339809163.116</v>
      </c>
      <c r="J2220" s="8" t="n">
        <v>46254.75509259259</v>
      </c>
      <c r="K2220" t="inlineStr">
        <is>
          <t>CF260820 02214</t>
        </is>
      </c>
      <c r="L2220" t="inlineStr">
        <is>
          <t>GL.NOSTRO.CHF.BRCC.007</t>
        </is>
      </c>
      <c r="M2220" t="inlineStr">
        <is>
          <t>Alder Trust</t>
        </is>
      </c>
      <c r="N2220" t="inlineStr">
        <is>
          <t>BRCCMM</t>
        </is>
      </c>
      <c r="O2220" t="inlineStr">
        <is>
          <t>NEW</t>
        </is>
      </c>
      <c r="Q2220" t="inlineStr">
        <is>
          <t>NETTER</t>
        </is>
      </c>
    </row>
    <row r="2221">
      <c r="A2221" t="inlineStr">
        <is>
          <t>898317028833</t>
        </is>
      </c>
      <c r="B2221" t="inlineStr">
        <is>
          <t>TCX</t>
        </is>
      </c>
      <c r="C2221" t="inlineStr">
        <is>
          <t>BRAA</t>
        </is>
      </c>
      <c r="D2221" s="6" t="n">
        <v>46254</v>
      </c>
      <c r="E2221" t="inlineStr">
        <is>
          <t>CR</t>
        </is>
      </c>
      <c r="F2221" t="inlineStr">
        <is>
          <t>GBP</t>
        </is>
      </c>
      <c r="G2221" s="7" t="n">
        <v>16533004.245</v>
      </c>
      <c r="H2221" t="inlineStr">
        <is>
          <t>GBP</t>
        </is>
      </c>
      <c r="I2221" s="7" t="n">
        <v>16533004.245</v>
      </c>
      <c r="J2221" s="8" t="n">
        <v>46254.39193287037</v>
      </c>
      <c r="K2221" t="inlineStr">
        <is>
          <t>CF260820 02215</t>
        </is>
      </c>
      <c r="L2221" t="inlineStr">
        <is>
          <t>GL.NOSTRO.GBP.BRAA.004</t>
        </is>
      </c>
      <c r="M2221" t="inlineStr">
        <is>
          <t>Elmwood Bank</t>
        </is>
      </c>
      <c r="N2221" t="inlineStr">
        <is>
          <t>BRAATRSY</t>
        </is>
      </c>
      <c r="O2221" t="inlineStr">
        <is>
          <t>NEW</t>
        </is>
      </c>
      <c r="Q2221" t="inlineStr">
        <is>
          <t>GROSS</t>
        </is>
      </c>
    </row>
    <row r="2222">
      <c r="A2222" t="inlineStr">
        <is>
          <t>499062838623</t>
        </is>
      </c>
      <c r="B2222" t="inlineStr">
        <is>
          <t>TCP</t>
        </is>
      </c>
      <c r="C2222" t="inlineStr">
        <is>
          <t>BRBX</t>
        </is>
      </c>
      <c r="D2222" s="6" t="n">
        <v>46254</v>
      </c>
      <c r="E2222" t="inlineStr">
        <is>
          <t>CR</t>
        </is>
      </c>
      <c r="F2222" t="inlineStr">
        <is>
          <t>USD</t>
        </is>
      </c>
      <c r="G2222" s="7" t="n">
        <v>22747458.851</v>
      </c>
      <c r="H2222" t="inlineStr">
        <is>
          <t>GBP</t>
        </is>
      </c>
      <c r="I2222" s="7" t="n">
        <v>17834007.739</v>
      </c>
      <c r="J2222" s="8" t="n">
        <v>46254.54863425926</v>
      </c>
      <c r="K2222" t="inlineStr">
        <is>
          <t>CF260820 02216</t>
        </is>
      </c>
      <c r="L2222" t="inlineStr">
        <is>
          <t>GL.NOSTRO.USD.BRBX.002</t>
        </is>
      </c>
      <c r="M2222" t="inlineStr">
        <is>
          <t>Elmwood Settlement Bank</t>
        </is>
      </c>
      <c r="N2222" t="inlineStr">
        <is>
          <t>BRBXMM</t>
        </is>
      </c>
      <c r="O2222" t="inlineStr">
        <is>
          <t>NEW</t>
        </is>
      </c>
      <c r="Q2222" t="inlineStr">
        <is>
          <t>NETTER</t>
        </is>
      </c>
    </row>
    <row r="2223">
      <c r="A2223" t="inlineStr">
        <is>
          <t>150316825069</t>
        </is>
      </c>
      <c r="B2223" t="inlineStr">
        <is>
          <t>TCP</t>
        </is>
      </c>
      <c r="C2223" t="inlineStr">
        <is>
          <t>BRGX</t>
        </is>
      </c>
      <c r="D2223" s="6" t="n">
        <v>46254</v>
      </c>
      <c r="E2223" t="inlineStr">
        <is>
          <t>DR</t>
        </is>
      </c>
      <c r="F2223" t="inlineStr">
        <is>
          <t>GBP</t>
        </is>
      </c>
      <c r="G2223" s="7" t="n">
        <v>-77839137.552</v>
      </c>
      <c r="H2223" t="inlineStr">
        <is>
          <t>GBP</t>
        </is>
      </c>
      <c r="I2223" s="7" t="n">
        <v>-77839137.552</v>
      </c>
      <c r="J2223" s="8" t="n">
        <v>46254.63436342592</v>
      </c>
      <c r="K2223" t="inlineStr">
        <is>
          <t>CF260820 02217</t>
        </is>
      </c>
      <c r="L2223" t="inlineStr">
        <is>
          <t>GL.NOSTRO.GBP.BRGX.001</t>
        </is>
      </c>
      <c r="M2223" t="inlineStr">
        <is>
          <t>Dunlin Clearing</t>
        </is>
      </c>
      <c r="N2223" t="inlineStr">
        <is>
          <t>BRGXMM</t>
        </is>
      </c>
      <c r="O2223" t="inlineStr">
        <is>
          <t>NEW</t>
        </is>
      </c>
      <c r="Q2223" t="inlineStr">
        <is>
          <t>NETTER</t>
        </is>
      </c>
    </row>
    <row r="2224">
      <c r="A2224" t="inlineStr">
        <is>
          <t>113829985108</t>
        </is>
      </c>
      <c r="B2224" t="inlineStr">
        <is>
          <t>TCP</t>
        </is>
      </c>
      <c r="C2224" t="inlineStr">
        <is>
          <t>BRGL</t>
        </is>
      </c>
      <c r="D2224" s="6" t="n">
        <v>46254</v>
      </c>
      <c r="E2224" t="inlineStr">
        <is>
          <t>DR</t>
        </is>
      </c>
      <c r="F2224" t="inlineStr">
        <is>
          <t>EUR</t>
        </is>
      </c>
      <c r="G2224" s="7" t="n">
        <v>-23368618.457</v>
      </c>
      <c r="H2224" t="inlineStr">
        <is>
          <t>GBP</t>
        </is>
      </c>
      <c r="I2224" s="7" t="n">
        <v>-20050274.636</v>
      </c>
      <c r="J2224" s="8" t="n">
        <v>46254.7325</v>
      </c>
      <c r="K2224" t="inlineStr">
        <is>
          <t>CF260820 02218</t>
        </is>
      </c>
      <c r="L2224" t="inlineStr">
        <is>
          <t>GL.NOSTRO.EUR.BRGL.006</t>
        </is>
      </c>
      <c r="M2224" t="inlineStr">
        <is>
          <t>Pinehurst Settlement Bank</t>
        </is>
      </c>
      <c r="N2224" t="inlineStr">
        <is>
          <t>BRGLMM</t>
        </is>
      </c>
      <c r="O2224" t="inlineStr">
        <is>
          <t>NEW</t>
        </is>
      </c>
      <c r="P2224" t="inlineStr">
        <is>
          <t>NT26082000787</t>
        </is>
      </c>
      <c r="Q2224" t="inlineStr">
        <is>
          <t>NETTER</t>
        </is>
      </c>
    </row>
    <row r="2225">
      <c r="A2225" t="inlineStr">
        <is>
          <t>150316825069</t>
        </is>
      </c>
      <c r="B2225" t="inlineStr">
        <is>
          <t>TCC</t>
        </is>
      </c>
      <c r="C2225" t="inlineStr">
        <is>
          <t>BRGX</t>
        </is>
      </c>
      <c r="D2225" s="6" t="n">
        <v>46254</v>
      </c>
      <c r="E2225" t="inlineStr">
        <is>
          <t>DR</t>
        </is>
      </c>
      <c r="F2225" t="inlineStr">
        <is>
          <t>GBP</t>
        </is>
      </c>
      <c r="G2225" s="7" t="n">
        <v>-745673674.651</v>
      </c>
      <c r="H2225" t="inlineStr">
        <is>
          <t>GBP</t>
        </is>
      </c>
      <c r="I2225" s="7" t="n">
        <v>-745673674.651</v>
      </c>
      <c r="J2225" s="8" t="n">
        <v>46254.62356481481</v>
      </c>
      <c r="K2225" t="inlineStr">
        <is>
          <t>CF260820 02219</t>
        </is>
      </c>
      <c r="L2225" t="inlineStr">
        <is>
          <t>GL.NOSTRO.GBP.BRGX.004</t>
        </is>
      </c>
      <c r="M2225" t="inlineStr">
        <is>
          <t>Ironbark Trust</t>
        </is>
      </c>
      <c r="N2225" t="inlineStr">
        <is>
          <t>BRGXTRSY</t>
        </is>
      </c>
      <c r="O2225" t="inlineStr">
        <is>
          <t>NEW</t>
        </is>
      </c>
      <c r="Q2225" t="inlineStr">
        <is>
          <t>GROSS</t>
        </is>
      </c>
    </row>
    <row r="2226">
      <c r="A2226" t="inlineStr">
        <is>
          <t>499062838623</t>
        </is>
      </c>
      <c r="B2226" t="inlineStr">
        <is>
          <t>TCQ</t>
        </is>
      </c>
      <c r="C2226" t="inlineStr">
        <is>
          <t>BRBX</t>
        </is>
      </c>
      <c r="D2226" s="6" t="n">
        <v>46254</v>
      </c>
      <c r="E2226" t="inlineStr">
        <is>
          <t>CR</t>
        </is>
      </c>
      <c r="F2226" t="inlineStr">
        <is>
          <t>USD</t>
        </is>
      </c>
      <c r="G2226" s="7" t="n">
        <v>6555637.186</v>
      </c>
      <c r="H2226" t="inlineStr">
        <is>
          <t>GBP</t>
        </is>
      </c>
      <c r="I2226" s="7" t="n">
        <v>5139619.554</v>
      </c>
      <c r="J2226" s="8" t="n">
        <v>46254.44377314814</v>
      </c>
      <c r="K2226" t="inlineStr">
        <is>
          <t>CF260820 02220</t>
        </is>
      </c>
      <c r="L2226" t="inlineStr">
        <is>
          <t>GL.NOSTRO.USD.BRBX.004</t>
        </is>
      </c>
      <c r="M2226" t="inlineStr">
        <is>
          <t>Yarrow Commercial Bank</t>
        </is>
      </c>
      <c r="N2226" t="inlineStr">
        <is>
          <t>BRBXCASH</t>
        </is>
      </c>
      <c r="O2226" t="inlineStr">
        <is>
          <t>AMEND</t>
        </is>
      </c>
      <c r="Q2226" t="inlineStr">
        <is>
          <t>NETTER</t>
        </is>
      </c>
    </row>
    <row r="2227">
      <c r="A2227" t="inlineStr">
        <is>
          <t>359365220160</t>
        </is>
      </c>
      <c r="B2227" t="inlineStr">
        <is>
          <t>TCQ</t>
        </is>
      </c>
      <c r="C2227" t="inlineStr">
        <is>
          <t>BRGX</t>
        </is>
      </c>
      <c r="D2227" s="6" t="n">
        <v>46254</v>
      </c>
      <c r="E2227" t="inlineStr">
        <is>
          <t>DR</t>
        </is>
      </c>
      <c r="F2227" t="inlineStr">
        <is>
          <t>EUR</t>
        </is>
      </c>
      <c r="G2227" s="7" t="n">
        <v>-111.979</v>
      </c>
      <c r="H2227" t="inlineStr">
        <is>
          <t>GBP</t>
        </is>
      </c>
      <c r="I2227" s="7" t="n">
        <v>-96.078</v>
      </c>
      <c r="J2227" s="8" t="n">
        <v>46254.62167824074</v>
      </c>
      <c r="K2227" t="inlineStr">
        <is>
          <t>CF260820 02221</t>
        </is>
      </c>
      <c r="L2227" t="inlineStr">
        <is>
          <t>GL.NOSTRO.EUR.BRGX.002</t>
        </is>
      </c>
      <c r="M2227" t="inlineStr">
        <is>
          <t>Umberton Clearing</t>
        </is>
      </c>
      <c r="N2227" t="inlineStr">
        <is>
          <t>BRGXTRSY</t>
        </is>
      </c>
      <c r="O2227" t="inlineStr">
        <is>
          <t>NEW</t>
        </is>
      </c>
      <c r="P2227" t="inlineStr">
        <is>
          <t>NT26082000801</t>
        </is>
      </c>
      <c r="Q2227" t="inlineStr">
        <is>
          <t>NETTER</t>
        </is>
      </c>
    </row>
    <row r="2228">
      <c r="A2228" t="inlineStr">
        <is>
          <t>113829985108</t>
        </is>
      </c>
      <c r="B2228" t="inlineStr">
        <is>
          <t>TCG</t>
        </is>
      </c>
      <c r="C2228" t="inlineStr">
        <is>
          <t>BRGL</t>
        </is>
      </c>
      <c r="D2228" s="6" t="n">
        <v>46254</v>
      </c>
      <c r="E2228" t="inlineStr">
        <is>
          <t>CR</t>
        </is>
      </c>
      <c r="F2228" t="inlineStr">
        <is>
          <t>EUR</t>
        </is>
      </c>
      <c r="G2228" s="7" t="n">
        <v>3137992.09</v>
      </c>
      <c r="H2228" t="inlineStr">
        <is>
          <t>GBP</t>
        </is>
      </c>
      <c r="I2228" s="7" t="n">
        <v>2692397.213</v>
      </c>
      <c r="J2228" s="8" t="n">
        <v>46254.64138888889</v>
      </c>
      <c r="K2228" t="inlineStr">
        <is>
          <t>CF260820 02222</t>
        </is>
      </c>
      <c r="L2228" t="inlineStr">
        <is>
          <t>GL.NOSTRO.EUR.BRGL.008</t>
        </is>
      </c>
      <c r="M2228" t="inlineStr">
        <is>
          <t>Cedar Commercial Bank</t>
        </is>
      </c>
      <c r="N2228" t="inlineStr">
        <is>
          <t>BRGLTRSY</t>
        </is>
      </c>
      <c r="O2228" t="inlineStr">
        <is>
          <t>NEW</t>
        </is>
      </c>
      <c r="Q2228" t="inlineStr">
        <is>
          <t>NETTER</t>
        </is>
      </c>
    </row>
    <row r="2229">
      <c r="A2229" t="inlineStr">
        <is>
          <t>499062838623</t>
        </is>
      </c>
      <c r="B2229" t="inlineStr">
        <is>
          <t>TCQ</t>
        </is>
      </c>
      <c r="C2229" t="inlineStr">
        <is>
          <t>BRBX</t>
        </is>
      </c>
      <c r="D2229" s="6" t="n">
        <v>46254</v>
      </c>
      <c r="E2229" t="inlineStr">
        <is>
          <t>DR</t>
        </is>
      </c>
      <c r="F2229" t="inlineStr">
        <is>
          <t>USD</t>
        </is>
      </c>
      <c r="G2229" s="7" t="n">
        <v>-3011318.319</v>
      </c>
      <c r="H2229" t="inlineStr">
        <is>
          <t>GBP</t>
        </is>
      </c>
      <c r="I2229" s="7" t="n">
        <v>-2360873.562</v>
      </c>
      <c r="J2229" s="8" t="n">
        <v>46254.64163194445</v>
      </c>
      <c r="K2229" t="inlineStr">
        <is>
          <t>CF260820 02223</t>
        </is>
      </c>
      <c r="L2229" t="inlineStr">
        <is>
          <t>GL.NOSTRO.USD.BRBX.009</t>
        </is>
      </c>
      <c r="M2229" t="inlineStr">
        <is>
          <t>Mallow Trust</t>
        </is>
      </c>
      <c r="N2229" t="inlineStr">
        <is>
          <t>BRBXCASH</t>
        </is>
      </c>
      <c r="O2229" t="inlineStr">
        <is>
          <t>AMEND</t>
        </is>
      </c>
      <c r="P2229" t="inlineStr">
        <is>
          <t>NT26082000815</t>
        </is>
      </c>
      <c r="Q2229" t="inlineStr">
        <is>
          <t>INTERNAL</t>
        </is>
      </c>
    </row>
    <row r="2230">
      <c r="A2230" t="inlineStr">
        <is>
          <t>150316825069</t>
        </is>
      </c>
      <c r="B2230" t="inlineStr">
        <is>
          <t>TCQ</t>
        </is>
      </c>
      <c r="C2230" t="inlineStr">
        <is>
          <t>BRGX</t>
        </is>
      </c>
      <c r="D2230" s="6" t="n">
        <v>46254</v>
      </c>
      <c r="E2230" t="inlineStr">
        <is>
          <t>DR</t>
        </is>
      </c>
      <c r="F2230" t="inlineStr">
        <is>
          <t>GBP</t>
        </is>
      </c>
      <c r="G2230" s="7" t="n">
        <v>-50380689.817</v>
      </c>
      <c r="H2230" t="inlineStr">
        <is>
          <t>GBP</t>
        </is>
      </c>
      <c r="I2230" s="7" t="n">
        <v>-50380689.817</v>
      </c>
      <c r="J2230" s="8" t="n">
        <v>46254.60403935185</v>
      </c>
      <c r="K2230" t="inlineStr">
        <is>
          <t>CF260820 02224</t>
        </is>
      </c>
      <c r="L2230" t="inlineStr">
        <is>
          <t>GL.NOSTRO.GBP.BRGX.004</t>
        </is>
      </c>
      <c r="M2230" t="inlineStr">
        <is>
          <t>Mallow Clearing</t>
        </is>
      </c>
      <c r="N2230" t="inlineStr">
        <is>
          <t>BRGX</t>
        </is>
      </c>
      <c r="O2230" t="inlineStr">
        <is>
          <t>NEW</t>
        </is>
      </c>
      <c r="Q2230" t="inlineStr">
        <is>
          <t>NETTER</t>
        </is>
      </c>
    </row>
    <row r="2231">
      <c r="A2231" t="inlineStr">
        <is>
          <t>359365220160</t>
        </is>
      </c>
      <c r="B2231" t="inlineStr">
        <is>
          <t>TCQ</t>
        </is>
      </c>
      <c r="C2231" t="inlineStr">
        <is>
          <t>BRGX</t>
        </is>
      </c>
      <c r="D2231" s="6" t="n">
        <v>46254</v>
      </c>
      <c r="E2231" t="inlineStr">
        <is>
          <t>CR</t>
        </is>
      </c>
      <c r="F2231" t="inlineStr">
        <is>
          <t>EUR</t>
        </is>
      </c>
      <c r="G2231" s="7" t="n">
        <v>617310598.649</v>
      </c>
      <c r="H2231" t="inlineStr">
        <is>
          <t>GBP</t>
        </is>
      </c>
      <c r="I2231" s="7" t="n">
        <v>529652493.641</v>
      </c>
      <c r="J2231" s="8" t="n">
        <v>46254.42545138889</v>
      </c>
      <c r="K2231" t="inlineStr">
        <is>
          <t>CF260820 02225</t>
        </is>
      </c>
      <c r="L2231" t="inlineStr">
        <is>
          <t>GL.NOSTRO.EUR.BRGX.003</t>
        </is>
      </c>
      <c r="M2231" t="inlineStr">
        <is>
          <t>Nightjar Trust</t>
        </is>
      </c>
      <c r="N2231" t="inlineStr">
        <is>
          <t>BRGX</t>
        </is>
      </c>
      <c r="O2231" t="inlineStr">
        <is>
          <t>AMEND</t>
        </is>
      </c>
      <c r="Q2231" t="inlineStr">
        <is>
          <t>NETTER</t>
        </is>
      </c>
    </row>
    <row r="2232">
      <c r="A2232" t="inlineStr">
        <is>
          <t>468341071172</t>
        </is>
      </c>
      <c r="B2232" t="inlineStr">
        <is>
          <t>TCP</t>
        </is>
      </c>
      <c r="C2232" t="inlineStr">
        <is>
          <t>BRCC</t>
        </is>
      </c>
      <c r="D2232" s="6" t="n">
        <v>46254</v>
      </c>
      <c r="E2232" t="inlineStr">
        <is>
          <t>CR</t>
        </is>
      </c>
      <c r="F2232" t="inlineStr">
        <is>
          <t>EUR</t>
        </is>
      </c>
      <c r="G2232" s="7" t="n">
        <v>50856437.692</v>
      </c>
      <c r="H2232" t="inlineStr">
        <is>
          <t>GBP</t>
        </is>
      </c>
      <c r="I2232" s="7" t="n">
        <v>43634823.54</v>
      </c>
      <c r="J2232" s="8" t="n">
        <v>46254.4808912037</v>
      </c>
      <c r="K2232" t="inlineStr">
        <is>
          <t>CF260820 02226</t>
        </is>
      </c>
      <c r="L2232" t="inlineStr">
        <is>
          <t>GL.NOSTRO.EUR.BRCC.008</t>
        </is>
      </c>
      <c r="M2232" t="inlineStr">
        <is>
          <t>Granite Clearing</t>
        </is>
      </c>
      <c r="N2232" t="inlineStr">
        <is>
          <t>BRCCTRSY</t>
        </is>
      </c>
      <c r="O2232" t="inlineStr">
        <is>
          <t>AMEND</t>
        </is>
      </c>
      <c r="Q2232" t="inlineStr">
        <is>
          <t>GROSS</t>
        </is>
      </c>
    </row>
    <row r="2233">
      <c r="A2233" t="inlineStr">
        <is>
          <t>968942362772</t>
        </is>
      </c>
      <c r="B2233" t="inlineStr">
        <is>
          <t>TCP</t>
        </is>
      </c>
      <c r="C2233" t="inlineStr">
        <is>
          <t>BRYG</t>
        </is>
      </c>
      <c r="D2233" s="6" t="n">
        <v>46254</v>
      </c>
      <c r="E2233" t="inlineStr">
        <is>
          <t>CR</t>
        </is>
      </c>
      <c r="F2233" t="inlineStr">
        <is>
          <t>EUR</t>
        </is>
      </c>
      <c r="G2233" s="7" t="n">
        <v>53319599.749</v>
      </c>
      <c r="H2233" t="inlineStr">
        <is>
          <t>GBP</t>
        </is>
      </c>
      <c r="I2233" s="7" t="n">
        <v>45748216.585</v>
      </c>
      <c r="J2233" s="8" t="n">
        <v>46254.41265046296</v>
      </c>
      <c r="K2233" t="inlineStr">
        <is>
          <t>CF260820 02227</t>
        </is>
      </c>
      <c r="L2233" t="inlineStr">
        <is>
          <t>GL.NOSTRO.EUR.BRYG.007</t>
        </is>
      </c>
      <c r="M2233" t="inlineStr">
        <is>
          <t>Harrow Clearing</t>
        </is>
      </c>
      <c r="N2233" t="inlineStr">
        <is>
          <t>BRYG</t>
        </is>
      </c>
      <c r="O2233" t="inlineStr">
        <is>
          <t>NEW</t>
        </is>
      </c>
      <c r="P2233" t="inlineStr">
        <is>
          <t>NT26082000813</t>
        </is>
      </c>
      <c r="Q2233" t="inlineStr">
        <is>
          <t>GROSS</t>
        </is>
      </c>
    </row>
    <row r="2234">
      <c r="A2234" t="inlineStr">
        <is>
          <t>150316825069</t>
        </is>
      </c>
      <c r="B2234" t="inlineStr">
        <is>
          <t>TCX</t>
        </is>
      </c>
      <c r="C2234" t="inlineStr">
        <is>
          <t>BRGX</t>
        </is>
      </c>
      <c r="D2234" s="6" t="n">
        <v>46254</v>
      </c>
      <c r="E2234" t="inlineStr">
        <is>
          <t>CR</t>
        </is>
      </c>
      <c r="F2234" t="inlineStr">
        <is>
          <t>GBP</t>
        </is>
      </c>
      <c r="G2234" s="7" t="n">
        <v>20747164.179</v>
      </c>
      <c r="H2234" t="inlineStr">
        <is>
          <t>GBP</t>
        </is>
      </c>
      <c r="I2234" s="7" t="n">
        <v>20747164.179</v>
      </c>
      <c r="J2234" s="8" t="n">
        <v>46254.35650462963</v>
      </c>
      <c r="K2234" t="inlineStr">
        <is>
          <t>CF260820 02228</t>
        </is>
      </c>
      <c r="L2234" t="inlineStr">
        <is>
          <t>GL.NOSTRO.GBP.BRGX.003</t>
        </is>
      </c>
      <c r="M2234" t="inlineStr">
        <is>
          <t>Ironbark Commercial Bank</t>
        </is>
      </c>
      <c r="N2234" t="inlineStr">
        <is>
          <t>BRGXMM</t>
        </is>
      </c>
      <c r="O2234" t="inlineStr">
        <is>
          <t>NEW</t>
        </is>
      </c>
      <c r="P2234" t="inlineStr">
        <is>
          <t>NT26082000815</t>
        </is>
      </c>
      <c r="Q2234" t="inlineStr">
        <is>
          <t>GROSS</t>
        </is>
      </c>
    </row>
    <row r="2235">
      <c r="A2235" t="inlineStr">
        <is>
          <t>910703979141</t>
        </is>
      </c>
      <c r="B2235" t="inlineStr">
        <is>
          <t>TCC</t>
        </is>
      </c>
      <c r="C2235" t="inlineStr">
        <is>
          <t>BRCC</t>
        </is>
      </c>
      <c r="D2235" s="6" t="n">
        <v>46254</v>
      </c>
      <c r="E2235" t="inlineStr">
        <is>
          <t>CR</t>
        </is>
      </c>
      <c r="F2235" t="inlineStr">
        <is>
          <t>CHF</t>
        </is>
      </c>
      <c r="G2235" s="7" t="n">
        <v>36996123.337</v>
      </c>
      <c r="H2235" t="inlineStr">
        <is>
          <t>GBP</t>
        </is>
      </c>
      <c r="I2235" s="7" t="n">
        <v>33185522.633</v>
      </c>
      <c r="J2235" s="8" t="n">
        <v>46254.37013888889</v>
      </c>
      <c r="K2235" t="inlineStr">
        <is>
          <t>CF260820 02229</t>
        </is>
      </c>
      <c r="L2235" t="inlineStr">
        <is>
          <t>GL.NOSTRO.CHF.BRCC.003</t>
        </is>
      </c>
      <c r="M2235" t="inlineStr">
        <is>
          <t>Sablewood Clearing</t>
        </is>
      </c>
      <c r="N2235" t="inlineStr">
        <is>
          <t>BRCCCASH</t>
        </is>
      </c>
      <c r="O2235" t="inlineStr">
        <is>
          <t>NEW</t>
        </is>
      </c>
      <c r="Q2235" t="inlineStr">
        <is>
          <t>NETTER</t>
        </is>
      </c>
    </row>
    <row r="2236">
      <c r="A2236" t="inlineStr">
        <is>
          <t>150316825069</t>
        </is>
      </c>
      <c r="B2236" t="inlineStr">
        <is>
          <t>TCG</t>
        </is>
      </c>
      <c r="C2236" t="inlineStr">
        <is>
          <t>BRGX</t>
        </is>
      </c>
      <c r="D2236" s="6" t="n">
        <v>46254</v>
      </c>
      <c r="E2236" t="inlineStr">
        <is>
          <t>DR</t>
        </is>
      </c>
      <c r="F2236" t="inlineStr">
        <is>
          <t>GBP</t>
        </is>
      </c>
      <c r="G2236" s="7" t="n">
        <v>-69667163.156</v>
      </c>
      <c r="H2236" t="inlineStr">
        <is>
          <t>GBP</t>
        </is>
      </c>
      <c r="I2236" s="7" t="n">
        <v>-69667163.156</v>
      </c>
      <c r="J2236" s="8" t="n">
        <v>46254.77408564815</v>
      </c>
      <c r="K2236" t="inlineStr">
        <is>
          <t>CF260820 02230</t>
        </is>
      </c>
      <c r="L2236" t="inlineStr">
        <is>
          <t>GL.NOSTRO.GBP.BRGX.008</t>
        </is>
      </c>
      <c r="M2236" t="inlineStr">
        <is>
          <t>Sablewood Commercial Bank</t>
        </is>
      </c>
      <c r="N2236" t="inlineStr">
        <is>
          <t>BRGXTRSY</t>
        </is>
      </c>
      <c r="O2236" t="inlineStr">
        <is>
          <t>NEW</t>
        </is>
      </c>
      <c r="Q2236" t="inlineStr">
        <is>
          <t>GROSS</t>
        </is>
      </c>
    </row>
    <row r="2237">
      <c r="A2237" t="inlineStr">
        <is>
          <t>284925023085</t>
        </is>
      </c>
      <c r="B2237" t="inlineStr">
        <is>
          <t>TCC</t>
        </is>
      </c>
      <c r="C2237" t="inlineStr">
        <is>
          <t>BRMD</t>
        </is>
      </c>
      <c r="D2237" s="6" t="n">
        <v>46254</v>
      </c>
      <c r="E2237" t="inlineStr">
        <is>
          <t>CR</t>
        </is>
      </c>
      <c r="F2237" t="inlineStr">
        <is>
          <t>MXN</t>
        </is>
      </c>
      <c r="G2237" s="7" t="n">
        <v>278873.183</v>
      </c>
      <c r="H2237" t="inlineStr">
        <is>
          <t>GBP</t>
        </is>
      </c>
      <c r="I2237" s="7" t="n">
        <v>11935.772</v>
      </c>
      <c r="J2237" s="8" t="n">
        <v>46254.44770833333</v>
      </c>
      <c r="K2237" t="inlineStr">
        <is>
          <t>CF260820 02231</t>
        </is>
      </c>
      <c r="L2237" t="inlineStr">
        <is>
          <t>GL.NOSTRO.MXN.BRMD.003</t>
        </is>
      </c>
      <c r="M2237" t="inlineStr">
        <is>
          <t>Pinehurst Settlement Bank</t>
        </is>
      </c>
      <c r="N2237" t="inlineStr">
        <is>
          <t>BRMD</t>
        </is>
      </c>
      <c r="O2237" t="inlineStr">
        <is>
          <t>NEW</t>
        </is>
      </c>
      <c r="Q2237" t="inlineStr">
        <is>
          <t>NETTER</t>
        </is>
      </c>
    </row>
    <row r="2238">
      <c r="A2238" t="inlineStr">
        <is>
          <t>150316825069</t>
        </is>
      </c>
      <c r="B2238" t="inlineStr">
        <is>
          <t>TCX</t>
        </is>
      </c>
      <c r="C2238" t="inlineStr">
        <is>
          <t>BRGX</t>
        </is>
      </c>
      <c r="D2238" s="6" t="n">
        <v>46254</v>
      </c>
      <c r="E2238" t="inlineStr">
        <is>
          <t>CR</t>
        </is>
      </c>
      <c r="F2238" t="inlineStr">
        <is>
          <t>GBP</t>
        </is>
      </c>
      <c r="G2238" s="7" t="n">
        <v>23378471.099</v>
      </c>
      <c r="H2238" t="inlineStr">
        <is>
          <t>GBP</t>
        </is>
      </c>
      <c r="I2238" s="7" t="n">
        <v>23378471.099</v>
      </c>
      <c r="J2238" s="8" t="n">
        <v>46254.71700231481</v>
      </c>
      <c r="K2238" t="inlineStr">
        <is>
          <t>CF260820 02232</t>
        </is>
      </c>
      <c r="L2238" t="inlineStr">
        <is>
          <t>GL.NOSTRO.GBP.BRGX.006</t>
        </is>
      </c>
      <c r="M2238" t="inlineStr">
        <is>
          <t>Nightjar Bank</t>
        </is>
      </c>
      <c r="N2238" t="inlineStr">
        <is>
          <t>BRGXCASH</t>
        </is>
      </c>
      <c r="O2238" t="inlineStr">
        <is>
          <t>NEW</t>
        </is>
      </c>
      <c r="P2238" t="inlineStr">
        <is>
          <t>NT26082000790</t>
        </is>
      </c>
      <c r="Q2238" t="inlineStr">
        <is>
          <t>NETTER</t>
        </is>
      </c>
    </row>
    <row r="2239">
      <c r="A2239" t="inlineStr">
        <is>
          <t>794226063698</t>
        </is>
      </c>
      <c r="B2239" t="inlineStr">
        <is>
          <t>TCX</t>
        </is>
      </c>
      <c r="C2239" t="inlineStr">
        <is>
          <t>BRMD</t>
        </is>
      </c>
      <c r="D2239" s="6" t="n">
        <v>46254</v>
      </c>
      <c r="E2239" t="inlineStr">
        <is>
          <t>CR</t>
        </is>
      </c>
      <c r="F2239" t="inlineStr">
        <is>
          <t>AED</t>
        </is>
      </c>
      <c r="G2239" s="7" t="n">
        <v>1308147.647</v>
      </c>
      <c r="H2239" t="inlineStr">
        <is>
          <t>GBP</t>
        </is>
      </c>
      <c r="I2239" s="7" t="n">
        <v>278635.449</v>
      </c>
      <c r="J2239" s="8" t="n">
        <v>46254.63766203704</v>
      </c>
      <c r="K2239" t="inlineStr">
        <is>
          <t>CF260820 02233</t>
        </is>
      </c>
      <c r="L2239" t="inlineStr">
        <is>
          <t>GL.NOSTRO.AED.BRMD.005</t>
        </is>
      </c>
      <c r="M2239" t="inlineStr">
        <is>
          <t>Yarrow Bank</t>
        </is>
      </c>
      <c r="N2239" t="inlineStr">
        <is>
          <t>BRMDMM</t>
        </is>
      </c>
      <c r="O2239" t="inlineStr">
        <is>
          <t>NEW</t>
        </is>
      </c>
      <c r="Q2239" t="inlineStr">
        <is>
          <t>NETTER</t>
        </is>
      </c>
    </row>
    <row r="2240">
      <c r="A2240" t="inlineStr">
        <is>
          <t>726928343448</t>
        </is>
      </c>
      <c r="B2240" t="inlineStr">
        <is>
          <t>TCC</t>
        </is>
      </c>
      <c r="C2240" t="inlineStr">
        <is>
          <t>BRGX</t>
        </is>
      </c>
      <c r="D2240" s="6" t="n">
        <v>46254</v>
      </c>
      <c r="E2240" t="inlineStr">
        <is>
          <t>CR</t>
        </is>
      </c>
      <c r="F2240" t="inlineStr">
        <is>
          <t>EUR</t>
        </is>
      </c>
      <c r="G2240" s="7" t="n">
        <v>2367944.285</v>
      </c>
      <c r="H2240" t="inlineStr">
        <is>
          <t>GBP</t>
        </is>
      </c>
      <c r="I2240" s="7" t="n">
        <v>2031696.197</v>
      </c>
      <c r="J2240" s="8" t="n">
        <v>46254.56528935185</v>
      </c>
      <c r="K2240" t="inlineStr">
        <is>
          <t>CF260820 02234</t>
        </is>
      </c>
      <c r="L2240" t="inlineStr">
        <is>
          <t>GL.NOSTRO.EUR.BRGX.003</t>
        </is>
      </c>
      <c r="M2240" t="inlineStr">
        <is>
          <t>Elmwood Clearing</t>
        </is>
      </c>
      <c r="N2240" t="inlineStr">
        <is>
          <t>BRGXTRSY</t>
        </is>
      </c>
      <c r="O2240" t="inlineStr">
        <is>
          <t>NEW</t>
        </is>
      </c>
      <c r="Q2240" t="inlineStr">
        <is>
          <t>NETTER</t>
        </is>
      </c>
    </row>
    <row r="2241">
      <c r="A2241" t="inlineStr">
        <is>
          <t>499062838623</t>
        </is>
      </c>
      <c r="B2241" t="inlineStr">
        <is>
          <t>TCG</t>
        </is>
      </c>
      <c r="C2241" t="inlineStr">
        <is>
          <t>BRBX</t>
        </is>
      </c>
      <c r="D2241" s="6" t="n">
        <v>46254</v>
      </c>
      <c r="E2241" t="inlineStr">
        <is>
          <t>DR</t>
        </is>
      </c>
      <c r="F2241" t="inlineStr">
        <is>
          <t>USD</t>
        </is>
      </c>
      <c r="G2241" s="7" t="n">
        <v>-12472424.743</v>
      </c>
      <c r="H2241" t="inlineStr">
        <is>
          <t>GBP</t>
        </is>
      </c>
      <c r="I2241" s="7" t="n">
        <v>-9778380.999</v>
      </c>
      <c r="J2241" s="8" t="n">
        <v>46254.3828125</v>
      </c>
      <c r="K2241" t="inlineStr">
        <is>
          <t>CF260820 02235</t>
        </is>
      </c>
      <c r="L2241" t="inlineStr">
        <is>
          <t>GL.NOSTRO.USD.BRBX.005</t>
        </is>
      </c>
      <c r="M2241" t="inlineStr">
        <is>
          <t>Yarrow Bank</t>
        </is>
      </c>
      <c r="N2241" t="inlineStr">
        <is>
          <t>BRBXMM</t>
        </is>
      </c>
      <c r="O2241" t="inlineStr">
        <is>
          <t>CANCEL</t>
        </is>
      </c>
      <c r="Q2241" t="inlineStr">
        <is>
          <t>NETTER</t>
        </is>
      </c>
    </row>
    <row r="2242">
      <c r="A2242" t="inlineStr">
        <is>
          <t>150316825069</t>
        </is>
      </c>
      <c r="B2242" t="inlineStr">
        <is>
          <t>TCQ</t>
        </is>
      </c>
      <c r="C2242" t="inlineStr">
        <is>
          <t>BRGX</t>
        </is>
      </c>
      <c r="D2242" s="6" t="n">
        <v>46254</v>
      </c>
      <c r="E2242" t="inlineStr">
        <is>
          <t>CR</t>
        </is>
      </c>
      <c r="F2242" t="inlineStr">
        <is>
          <t>GBP</t>
        </is>
      </c>
      <c r="G2242" s="7" t="n">
        <v>14157589.936</v>
      </c>
      <c r="H2242" t="inlineStr">
        <is>
          <t>GBP</t>
        </is>
      </c>
      <c r="I2242" s="7" t="n">
        <v>14157589.936</v>
      </c>
      <c r="J2242" s="8" t="n">
        <v>46254.63998842592</v>
      </c>
      <c r="K2242" t="inlineStr">
        <is>
          <t>CF260820 02236</t>
        </is>
      </c>
      <c r="L2242" t="inlineStr">
        <is>
          <t>GL.NOSTRO.GBP.BRGX.006</t>
        </is>
      </c>
      <c r="M2242" t="inlineStr">
        <is>
          <t>Elmwood Trust</t>
        </is>
      </c>
      <c r="N2242" t="inlineStr">
        <is>
          <t>BRGXMM</t>
        </is>
      </c>
      <c r="O2242" t="inlineStr">
        <is>
          <t>NEW</t>
        </is>
      </c>
      <c r="P2242" t="inlineStr">
        <is>
          <t>NT26082000792</t>
        </is>
      </c>
      <c r="Q2242" t="inlineStr">
        <is>
          <t>NETTER</t>
        </is>
      </c>
    </row>
    <row r="2243">
      <c r="A2243" t="inlineStr">
        <is>
          <t>927538182434</t>
        </is>
      </c>
      <c r="B2243" t="inlineStr">
        <is>
          <t>TCC</t>
        </is>
      </c>
      <c r="C2243" t="inlineStr">
        <is>
          <t>BRNK</t>
        </is>
      </c>
      <c r="D2243" s="6" t="n">
        <v>46254</v>
      </c>
      <c r="E2243" t="inlineStr">
        <is>
          <t>DR</t>
        </is>
      </c>
      <c r="F2243" t="inlineStr">
        <is>
          <t>CNY</t>
        </is>
      </c>
      <c r="G2243" s="7" t="n">
        <v>-331115385.977</v>
      </c>
      <c r="H2243" t="inlineStr">
        <is>
          <t>GBP</t>
        </is>
      </c>
      <c r="I2243" s="7" t="n">
        <v>-36091577.071</v>
      </c>
      <c r="J2243" s="8" t="n">
        <v>46254.39496527778</v>
      </c>
      <c r="K2243" t="inlineStr">
        <is>
          <t>CF260820 02237</t>
        </is>
      </c>
      <c r="L2243" t="inlineStr">
        <is>
          <t>GL.NOSTRO.CNY.BRNK.009</t>
        </is>
      </c>
      <c r="M2243" t="inlineStr">
        <is>
          <t>Harrow Clearing</t>
        </is>
      </c>
      <c r="N2243" t="inlineStr">
        <is>
          <t>BRNKCASH</t>
        </is>
      </c>
      <c r="O2243" t="inlineStr">
        <is>
          <t>NEW</t>
        </is>
      </c>
      <c r="Q2243" t="inlineStr">
        <is>
          <t>NETTER</t>
        </is>
      </c>
    </row>
    <row r="2244">
      <c r="A2244" t="inlineStr">
        <is>
          <t>898317028833</t>
        </is>
      </c>
      <c r="B2244" t="inlineStr">
        <is>
          <t>TCX</t>
        </is>
      </c>
      <c r="C2244" t="inlineStr">
        <is>
          <t>BRAA</t>
        </is>
      </c>
      <c r="D2244" s="6" t="n">
        <v>46254</v>
      </c>
      <c r="E2244" t="inlineStr">
        <is>
          <t>DR</t>
        </is>
      </c>
      <c r="F2244" t="inlineStr">
        <is>
          <t>GBP</t>
        </is>
      </c>
      <c r="G2244" s="7" t="n">
        <v>-1613765.982</v>
      </c>
      <c r="H2244" t="inlineStr">
        <is>
          <t>GBP</t>
        </is>
      </c>
      <c r="I2244" s="7" t="n">
        <v>-1613765.982</v>
      </c>
      <c r="J2244" s="8" t="n">
        <v>46254.48960648148</v>
      </c>
      <c r="K2244" t="inlineStr">
        <is>
          <t>CF260820 02238</t>
        </is>
      </c>
      <c r="L2244" t="inlineStr">
        <is>
          <t>GL.NOSTRO.GBP.BRAA.009</t>
        </is>
      </c>
      <c r="M2244" t="inlineStr">
        <is>
          <t>Mallow Commercial Bank</t>
        </is>
      </c>
      <c r="N2244" t="inlineStr">
        <is>
          <t>BRAA</t>
        </is>
      </c>
      <c r="O2244" t="inlineStr">
        <is>
          <t>NEW</t>
        </is>
      </c>
      <c r="P2244" t="inlineStr">
        <is>
          <t>NT26082000814</t>
        </is>
      </c>
      <c r="Q2244" t="inlineStr">
        <is>
          <t>GROSS</t>
        </is>
      </c>
    </row>
    <row r="2245">
      <c r="A2245" t="inlineStr">
        <is>
          <t>794226063698</t>
        </is>
      </c>
      <c r="B2245" t="inlineStr">
        <is>
          <t>TCQ</t>
        </is>
      </c>
      <c r="C2245" t="inlineStr">
        <is>
          <t>BRMD</t>
        </is>
      </c>
      <c r="D2245" s="6" t="n">
        <v>46254</v>
      </c>
      <c r="E2245" t="inlineStr">
        <is>
          <t>DR</t>
        </is>
      </c>
      <c r="F2245" t="inlineStr">
        <is>
          <t>AED</t>
        </is>
      </c>
      <c r="G2245" s="7" t="n">
        <v>-2010969.18</v>
      </c>
      <c r="H2245" t="inlineStr">
        <is>
          <t>GBP</t>
        </is>
      </c>
      <c r="I2245" s="7" t="n">
        <v>-428336.435</v>
      </c>
      <c r="J2245" s="8" t="n">
        <v>46254.64993055556</v>
      </c>
      <c r="K2245" t="inlineStr">
        <is>
          <t>CF260820 02239</t>
        </is>
      </c>
      <c r="L2245" t="inlineStr">
        <is>
          <t>GL.NOSTRO.AED.BRMD.007</t>
        </is>
      </c>
      <c r="M2245" t="inlineStr">
        <is>
          <t>Yarrow Clearing</t>
        </is>
      </c>
      <c r="N2245" t="inlineStr">
        <is>
          <t>BRMD</t>
        </is>
      </c>
      <c r="O2245" t="inlineStr">
        <is>
          <t>NEW</t>
        </is>
      </c>
      <c r="P2245" t="inlineStr">
        <is>
          <t>NT26082000808</t>
        </is>
      </c>
      <c r="Q2245" t="inlineStr">
        <is>
          <t>NETTER</t>
        </is>
      </c>
    </row>
    <row r="2246">
      <c r="A2246" t="inlineStr">
        <is>
          <t>132544340094</t>
        </is>
      </c>
      <c r="B2246" t="inlineStr">
        <is>
          <t>TCQ</t>
        </is>
      </c>
      <c r="C2246" t="inlineStr">
        <is>
          <t>BRYG</t>
        </is>
      </c>
      <c r="D2246" s="6" t="n">
        <v>46254</v>
      </c>
      <c r="E2246" t="inlineStr">
        <is>
          <t>DR</t>
        </is>
      </c>
      <c r="F2246" t="inlineStr">
        <is>
          <t>CZK</t>
        </is>
      </c>
      <c r="G2246" s="7" t="n">
        <v>-6357399.906</v>
      </c>
      <c r="H2246" t="inlineStr">
        <is>
          <t>GBP</t>
        </is>
      </c>
      <c r="I2246" s="7" t="n">
        <v>-215515.857</v>
      </c>
      <c r="J2246" s="8" t="n">
        <v>46254.62101851852</v>
      </c>
      <c r="K2246" t="inlineStr">
        <is>
          <t>CF260820 02240</t>
        </is>
      </c>
      <c r="L2246" t="inlineStr">
        <is>
          <t>GL.NOSTRO.CZK.BRYG.004</t>
        </is>
      </c>
      <c r="M2246" t="inlineStr">
        <is>
          <t>Elmwood Bank</t>
        </is>
      </c>
      <c r="N2246" t="inlineStr">
        <is>
          <t>BRYGCASH</t>
        </is>
      </c>
      <c r="O2246" t="inlineStr">
        <is>
          <t>NEW</t>
        </is>
      </c>
      <c r="P2246" t="inlineStr">
        <is>
          <t>NT26082000801</t>
        </is>
      </c>
      <c r="Q2246" t="inlineStr">
        <is>
          <t>GROSS</t>
        </is>
      </c>
    </row>
    <row r="2247">
      <c r="A2247" t="inlineStr">
        <is>
          <t>968942362772</t>
        </is>
      </c>
      <c r="B2247" t="inlineStr">
        <is>
          <t>TCC</t>
        </is>
      </c>
      <c r="C2247" t="inlineStr">
        <is>
          <t>BRYG</t>
        </is>
      </c>
      <c r="D2247" s="6" t="n">
        <v>46254</v>
      </c>
      <c r="E2247" t="inlineStr">
        <is>
          <t>CR</t>
        </is>
      </c>
      <c r="F2247" t="inlineStr">
        <is>
          <t>EUR</t>
        </is>
      </c>
      <c r="G2247" s="7" t="n">
        <v>98556437.957</v>
      </c>
      <c r="H2247" t="inlineStr">
        <is>
          <t>GBP</t>
        </is>
      </c>
      <c r="I2247" s="7" t="n">
        <v>84561423.767</v>
      </c>
      <c r="J2247" s="8" t="n">
        <v>46254.27362268518</v>
      </c>
      <c r="K2247" t="inlineStr">
        <is>
          <t>CF260820 02241</t>
        </is>
      </c>
      <c r="L2247" t="inlineStr">
        <is>
          <t>GL.NOSTRO.EUR.BRYG.004</t>
        </is>
      </c>
      <c r="M2247" t="inlineStr">
        <is>
          <t>Oriel Trust</t>
        </is>
      </c>
      <c r="N2247" t="inlineStr">
        <is>
          <t>BRYGTRSY</t>
        </is>
      </c>
      <c r="O2247" t="inlineStr">
        <is>
          <t>NEW</t>
        </is>
      </c>
      <c r="Q2247" t="inlineStr">
        <is>
          <t>NETTER</t>
        </is>
      </c>
    </row>
    <row r="2248">
      <c r="A2248" t="inlineStr">
        <is>
          <t>953625291146</t>
        </is>
      </c>
      <c r="B2248" t="inlineStr">
        <is>
          <t>TCC</t>
        </is>
      </c>
      <c r="C2248" t="inlineStr">
        <is>
          <t>BRGL</t>
        </is>
      </c>
      <c r="D2248" s="6" t="n">
        <v>46254</v>
      </c>
      <c r="E2248" t="inlineStr">
        <is>
          <t>DR</t>
        </is>
      </c>
      <c r="F2248" t="inlineStr">
        <is>
          <t>USD</t>
        </is>
      </c>
      <c r="G2248" s="7" t="n">
        <v>-33673.516</v>
      </c>
      <c r="H2248" t="inlineStr">
        <is>
          <t>GBP</t>
        </is>
      </c>
      <c r="I2248" s="7" t="n">
        <v>-26400.037</v>
      </c>
      <c r="J2248" s="8" t="n">
        <v>46254.49625</v>
      </c>
      <c r="K2248" t="inlineStr">
        <is>
          <t>CF260820 02242</t>
        </is>
      </c>
      <c r="L2248" t="inlineStr">
        <is>
          <t>GL.NOSTRO.USD.BRGL.008</t>
        </is>
      </c>
      <c r="M2248" t="inlineStr">
        <is>
          <t>Pinehurst Clearing</t>
        </is>
      </c>
      <c r="N2248" t="inlineStr">
        <is>
          <t>BRGLMM</t>
        </is>
      </c>
      <c r="O2248" t="inlineStr">
        <is>
          <t>NEW</t>
        </is>
      </c>
      <c r="P2248" t="inlineStr">
        <is>
          <t>NT26082000824</t>
        </is>
      </c>
      <c r="Q2248" t="inlineStr">
        <is>
          <t>NETTER</t>
        </is>
      </c>
    </row>
    <row r="2249">
      <c r="A2249" t="inlineStr">
        <is>
          <t>910703979141</t>
        </is>
      </c>
      <c r="B2249" t="inlineStr">
        <is>
          <t>TCQ</t>
        </is>
      </c>
      <c r="C2249" t="inlineStr">
        <is>
          <t>BRCC</t>
        </is>
      </c>
      <c r="D2249" s="6" t="n">
        <v>46254</v>
      </c>
      <c r="E2249" t="inlineStr">
        <is>
          <t>CR</t>
        </is>
      </c>
      <c r="F2249" t="inlineStr">
        <is>
          <t>CHF</t>
        </is>
      </c>
      <c r="G2249" s="7" t="n">
        <v>152593990.575</v>
      </c>
      <c r="H2249" t="inlineStr">
        <is>
          <t>GBP</t>
        </is>
      </c>
      <c r="I2249" s="7" t="n">
        <v>136876809.546</v>
      </c>
      <c r="J2249" s="8" t="n">
        <v>46254.20653935185</v>
      </c>
      <c r="K2249" t="inlineStr">
        <is>
          <t>CF260820 02243</t>
        </is>
      </c>
      <c r="L2249" t="inlineStr">
        <is>
          <t>GL.NOSTRO.CHF.BRCC.007</t>
        </is>
      </c>
      <c r="M2249" t="inlineStr">
        <is>
          <t>Ironbark Commercial Bank</t>
        </is>
      </c>
      <c r="N2249" t="inlineStr">
        <is>
          <t>BRCCCASH</t>
        </is>
      </c>
      <c r="O2249" t="inlineStr">
        <is>
          <t>NEW</t>
        </is>
      </c>
      <c r="P2249" t="inlineStr">
        <is>
          <t>NT26082000804</t>
        </is>
      </c>
      <c r="Q2249" t="inlineStr">
        <is>
          <t>GROSS</t>
        </is>
      </c>
    </row>
    <row r="2250">
      <c r="A2250" t="inlineStr">
        <is>
          <t>468341071172</t>
        </is>
      </c>
      <c r="B2250" t="inlineStr">
        <is>
          <t>TCX</t>
        </is>
      </c>
      <c r="C2250" t="inlineStr">
        <is>
          <t>BRCC</t>
        </is>
      </c>
      <c r="D2250" s="6" t="n">
        <v>46254</v>
      </c>
      <c r="E2250" t="inlineStr">
        <is>
          <t>CR</t>
        </is>
      </c>
      <c r="F2250" t="inlineStr">
        <is>
          <t>EUR</t>
        </is>
      </c>
      <c r="G2250" s="7" t="n">
        <v>238346533.833</v>
      </c>
      <c r="H2250" t="inlineStr">
        <is>
          <t>GBP</t>
        </is>
      </c>
      <c r="I2250" s="7" t="n">
        <v>204501326.029</v>
      </c>
      <c r="J2250" s="8" t="n">
        <v>46254.62903935185</v>
      </c>
      <c r="K2250" t="inlineStr">
        <is>
          <t>CF260820 02244</t>
        </is>
      </c>
      <c r="L2250" t="inlineStr">
        <is>
          <t>GL.NOSTRO.EUR.BRCC.001</t>
        </is>
      </c>
      <c r="M2250" t="inlineStr">
        <is>
          <t>Elmwood Clearing</t>
        </is>
      </c>
      <c r="N2250" t="inlineStr">
        <is>
          <t>BRCC</t>
        </is>
      </c>
      <c r="O2250" t="inlineStr">
        <is>
          <t>NEW</t>
        </is>
      </c>
      <c r="P2250" t="inlineStr">
        <is>
          <t>NT26082000807</t>
        </is>
      </c>
      <c r="Q2250" t="inlineStr">
        <is>
          <t>GROSS</t>
        </is>
      </c>
    </row>
    <row r="2251">
      <c r="A2251" t="inlineStr">
        <is>
          <t>150316825069</t>
        </is>
      </c>
      <c r="B2251" t="inlineStr">
        <is>
          <t>TCG</t>
        </is>
      </c>
      <c r="C2251" t="inlineStr">
        <is>
          <t>BRGX</t>
        </is>
      </c>
      <c r="D2251" s="6" t="n">
        <v>46254</v>
      </c>
      <c r="E2251" t="inlineStr">
        <is>
          <t>CR</t>
        </is>
      </c>
      <c r="F2251" t="inlineStr">
        <is>
          <t>GBP</t>
        </is>
      </c>
      <c r="G2251" s="7" t="n">
        <v>1849945.733</v>
      </c>
      <c r="H2251" t="inlineStr">
        <is>
          <t>GBP</t>
        </is>
      </c>
      <c r="I2251" s="7" t="n">
        <v>1849945.733</v>
      </c>
      <c r="J2251" s="8" t="n">
        <v>46254.92653935185</v>
      </c>
      <c r="K2251" t="inlineStr">
        <is>
          <t>CF260820 02245</t>
        </is>
      </c>
      <c r="L2251" t="inlineStr">
        <is>
          <t>GL.NOSTRO.GBP.BRGX.006</t>
        </is>
      </c>
      <c r="M2251" t="inlineStr">
        <is>
          <t>Juniper Settlement Bank</t>
        </is>
      </c>
      <c r="N2251" t="inlineStr">
        <is>
          <t>BRGXTRSY</t>
        </is>
      </c>
      <c r="O2251" t="inlineStr">
        <is>
          <t>NEW</t>
        </is>
      </c>
      <c r="Q2251" t="inlineStr">
        <is>
          <t>NETTER</t>
        </is>
      </c>
    </row>
    <row r="2252">
      <c r="A2252" t="inlineStr">
        <is>
          <t>794226063698</t>
        </is>
      </c>
      <c r="B2252" t="inlineStr">
        <is>
          <t>TCP</t>
        </is>
      </c>
      <c r="C2252" t="inlineStr">
        <is>
          <t>BRMD</t>
        </is>
      </c>
      <c r="D2252" s="6" t="n">
        <v>46254</v>
      </c>
      <c r="E2252" t="inlineStr">
        <is>
          <t>CR</t>
        </is>
      </c>
      <c r="F2252" t="inlineStr">
        <is>
          <t>AED</t>
        </is>
      </c>
      <c r="G2252" s="7" t="n">
        <v>358103.942</v>
      </c>
      <c r="H2252" t="inlineStr">
        <is>
          <t>GBP</t>
        </is>
      </c>
      <c r="I2252" s="7" t="n">
        <v>76276.14</v>
      </c>
      <c r="J2252" s="8" t="n">
        <v>46254.27877314815</v>
      </c>
      <c r="K2252" t="inlineStr">
        <is>
          <t>CF260820 02246</t>
        </is>
      </c>
      <c r="L2252" t="inlineStr">
        <is>
          <t>GL.NOSTRO.AED.BRMD.002</t>
        </is>
      </c>
      <c r="M2252" t="inlineStr">
        <is>
          <t>Umberton Clearing</t>
        </is>
      </c>
      <c r="N2252" t="inlineStr">
        <is>
          <t>BRMD</t>
        </is>
      </c>
      <c r="O2252" t="inlineStr">
        <is>
          <t>AMEND</t>
        </is>
      </c>
      <c r="Q2252" t="inlineStr">
        <is>
          <t>NETTER</t>
        </is>
      </c>
    </row>
    <row r="2253">
      <c r="A2253" t="inlineStr">
        <is>
          <t>499062838623</t>
        </is>
      </c>
      <c r="B2253" t="inlineStr">
        <is>
          <t>TCQ</t>
        </is>
      </c>
      <c r="C2253" t="inlineStr">
        <is>
          <t>BRBX</t>
        </is>
      </c>
      <c r="D2253" s="6" t="n">
        <v>46254</v>
      </c>
      <c r="E2253" t="inlineStr">
        <is>
          <t>CR</t>
        </is>
      </c>
      <c r="F2253" t="inlineStr">
        <is>
          <t>USD</t>
        </is>
      </c>
      <c r="G2253" s="7" t="n">
        <v>4683445.414</v>
      </c>
      <c r="H2253" t="inlineStr">
        <is>
          <t>GBP</t>
        </is>
      </c>
      <c r="I2253" s="7" t="n">
        <v>3671821.205</v>
      </c>
      <c r="J2253" s="8" t="n">
        <v>46254.32570601852</v>
      </c>
      <c r="K2253" t="inlineStr">
        <is>
          <t>CF260820 02247</t>
        </is>
      </c>
      <c r="L2253" t="inlineStr">
        <is>
          <t>GL.NOSTRO.USD.BRBX.002</t>
        </is>
      </c>
      <c r="M2253" t="inlineStr">
        <is>
          <t>Alder Clearing</t>
        </is>
      </c>
      <c r="N2253" t="inlineStr">
        <is>
          <t>BRBXTRSY</t>
        </is>
      </c>
      <c r="O2253" t="inlineStr">
        <is>
          <t>NEW</t>
        </is>
      </c>
      <c r="Q2253" t="inlineStr">
        <is>
          <t>NETTER</t>
        </is>
      </c>
    </row>
    <row r="2254">
      <c r="A2254" t="inlineStr">
        <is>
          <t>150316825069</t>
        </is>
      </c>
      <c r="B2254" t="inlineStr">
        <is>
          <t>TCQ</t>
        </is>
      </c>
      <c r="C2254" t="inlineStr">
        <is>
          <t>BRGX</t>
        </is>
      </c>
      <c r="D2254" s="6" t="n">
        <v>46254</v>
      </c>
      <c r="E2254" t="inlineStr">
        <is>
          <t>DR</t>
        </is>
      </c>
      <c r="F2254" t="inlineStr">
        <is>
          <t>GBP</t>
        </is>
      </c>
      <c r="G2254" s="7" t="n">
        <v>-1731574.249</v>
      </c>
      <c r="H2254" t="inlineStr">
        <is>
          <t>GBP</t>
        </is>
      </c>
      <c r="I2254" s="7" t="n">
        <v>-1731574.249</v>
      </c>
      <c r="J2254" s="8" t="n">
        <v>46254.63701388889</v>
      </c>
      <c r="K2254" t="inlineStr">
        <is>
          <t>CF260820 02248</t>
        </is>
      </c>
      <c r="L2254" t="inlineStr">
        <is>
          <t>GL.NOSTRO.GBP.BRGX.009</t>
        </is>
      </c>
      <c r="M2254" t="inlineStr">
        <is>
          <t>Yarrow Commercial Bank</t>
        </is>
      </c>
      <c r="N2254" t="inlineStr">
        <is>
          <t>BRGXMM</t>
        </is>
      </c>
      <c r="O2254" t="inlineStr">
        <is>
          <t>CANCEL</t>
        </is>
      </c>
      <c r="P2254" t="inlineStr">
        <is>
          <t>NT26082000789</t>
        </is>
      </c>
      <c r="Q2254" t="inlineStr">
        <is>
          <t>INTERNAL</t>
        </is>
      </c>
    </row>
    <row r="2255">
      <c r="A2255" t="inlineStr">
        <is>
          <t>171857983160</t>
        </is>
      </c>
      <c r="B2255" t="inlineStr">
        <is>
          <t>TCC</t>
        </is>
      </c>
      <c r="C2255" t="inlineStr">
        <is>
          <t>BRBX</t>
        </is>
      </c>
      <c r="D2255" s="6" t="n">
        <v>46254</v>
      </c>
      <c r="E2255" t="inlineStr">
        <is>
          <t>DR</t>
        </is>
      </c>
      <c r="F2255" t="inlineStr">
        <is>
          <t>AUD</t>
        </is>
      </c>
      <c r="G2255" s="7" t="n">
        <v>-36399.07</v>
      </c>
      <c r="H2255" t="inlineStr">
        <is>
          <t>GBP</t>
        </is>
      </c>
      <c r="I2255" s="7" t="n">
        <v>-18672.723</v>
      </c>
      <c r="J2255" s="8" t="n">
        <v>46254.52296296296</v>
      </c>
      <c r="K2255" t="inlineStr">
        <is>
          <t>CF260820 02249</t>
        </is>
      </c>
      <c r="L2255" t="inlineStr">
        <is>
          <t>GL.NOSTRO.AUD.BRBX.005</t>
        </is>
      </c>
      <c r="M2255" t="inlineStr">
        <is>
          <t>Vetchling Bank</t>
        </is>
      </c>
      <c r="N2255" t="inlineStr">
        <is>
          <t>BRBXMM</t>
        </is>
      </c>
      <c r="O2255" t="inlineStr">
        <is>
          <t>NEW</t>
        </is>
      </c>
      <c r="Q2255" t="inlineStr">
        <is>
          <t>GROSS</t>
        </is>
      </c>
    </row>
    <row r="2256">
      <c r="A2256" t="inlineStr">
        <is>
          <t>794226063698</t>
        </is>
      </c>
      <c r="B2256" t="inlineStr">
        <is>
          <t>TCX</t>
        </is>
      </c>
      <c r="C2256" t="inlineStr">
        <is>
          <t>BRMD</t>
        </is>
      </c>
      <c r="D2256" s="6" t="n">
        <v>46254</v>
      </c>
      <c r="E2256" t="inlineStr">
        <is>
          <t>CR</t>
        </is>
      </c>
      <c r="F2256" t="inlineStr">
        <is>
          <t>AED</t>
        </is>
      </c>
      <c r="G2256" s="7" t="n">
        <v>56674668.72</v>
      </c>
      <c r="H2256" t="inlineStr">
        <is>
          <t>GBP</t>
        </is>
      </c>
      <c r="I2256" s="7" t="n">
        <v>12071704.437</v>
      </c>
      <c r="J2256" s="8" t="n">
        <v>46254.56127314815</v>
      </c>
      <c r="K2256" t="inlineStr">
        <is>
          <t>CF260820 02250</t>
        </is>
      </c>
      <c r="L2256" t="inlineStr">
        <is>
          <t>GL.NOSTRO.AED.BRMD.001</t>
        </is>
      </c>
      <c r="M2256" t="inlineStr">
        <is>
          <t>Zephyr Commercial Bank</t>
        </is>
      </c>
      <c r="N2256" t="inlineStr">
        <is>
          <t>BRMDMM</t>
        </is>
      </c>
      <c r="O2256" t="inlineStr">
        <is>
          <t>NEW</t>
        </is>
      </c>
      <c r="Q2256" t="inlineStr">
        <is>
          <t>NETTER</t>
        </is>
      </c>
    </row>
    <row r="2257">
      <c r="A2257" t="inlineStr">
        <is>
          <t>794226063698</t>
        </is>
      </c>
      <c r="B2257" t="inlineStr">
        <is>
          <t>TCQ</t>
        </is>
      </c>
      <c r="C2257" t="inlineStr">
        <is>
          <t>BRMD</t>
        </is>
      </c>
      <c r="D2257" s="6" t="n">
        <v>46254</v>
      </c>
      <c r="E2257" t="inlineStr">
        <is>
          <t>CR</t>
        </is>
      </c>
      <c r="F2257" t="inlineStr">
        <is>
          <t>AED</t>
        </is>
      </c>
      <c r="G2257" s="7" t="n">
        <v>4908878.913</v>
      </c>
      <c r="H2257" t="inlineStr">
        <is>
          <t>GBP</t>
        </is>
      </c>
      <c r="I2257" s="7" t="n">
        <v>1045591.208</v>
      </c>
      <c r="J2257" s="8" t="n">
        <v>46254.44278935185</v>
      </c>
      <c r="K2257" t="inlineStr">
        <is>
          <t>CF260820 02251</t>
        </is>
      </c>
      <c r="L2257" t="inlineStr">
        <is>
          <t>GL.NOSTRO.AED.BRMD.008</t>
        </is>
      </c>
      <c r="M2257" t="inlineStr">
        <is>
          <t>Cedar Commercial Bank</t>
        </is>
      </c>
      <c r="N2257" t="inlineStr">
        <is>
          <t>BRMDMM</t>
        </is>
      </c>
      <c r="O2257" t="inlineStr">
        <is>
          <t>CANCEL</t>
        </is>
      </c>
      <c r="P2257" t="inlineStr">
        <is>
          <t>NT26082000813</t>
        </is>
      </c>
      <c r="Q2257" t="inlineStr">
        <is>
          <t>INTERNAL</t>
        </is>
      </c>
    </row>
    <row r="2258">
      <c r="A2258" t="inlineStr">
        <is>
          <t>968942362772</t>
        </is>
      </c>
      <c r="B2258" t="inlineStr">
        <is>
          <t>TCG</t>
        </is>
      </c>
      <c r="C2258" t="inlineStr">
        <is>
          <t>BRYG</t>
        </is>
      </c>
      <c r="D2258" s="6" t="n">
        <v>46254</v>
      </c>
      <c r="E2258" t="inlineStr">
        <is>
          <t>DR</t>
        </is>
      </c>
      <c r="F2258" t="inlineStr">
        <is>
          <t>EUR</t>
        </is>
      </c>
      <c r="G2258" s="7" t="n">
        <v>-14959420.244</v>
      </c>
      <c r="H2258" t="inlineStr">
        <is>
          <t>GBP</t>
        </is>
      </c>
      <c r="I2258" s="7" t="n">
        <v>-12835182.569</v>
      </c>
      <c r="J2258" s="8" t="n">
        <v>46254.72988425926</v>
      </c>
      <c r="K2258" t="inlineStr">
        <is>
          <t>CF260820 02252</t>
        </is>
      </c>
      <c r="L2258" t="inlineStr">
        <is>
          <t>GL.NOSTRO.EUR.BRYG.002</t>
        </is>
      </c>
      <c r="M2258" t="inlineStr">
        <is>
          <t>Vetchling Commercial Bank</t>
        </is>
      </c>
      <c r="N2258" t="inlineStr">
        <is>
          <t>BRYGTRSY</t>
        </is>
      </c>
      <c r="O2258" t="inlineStr">
        <is>
          <t>NEW</t>
        </is>
      </c>
      <c r="Q2258" t="inlineStr">
        <is>
          <t>NETTER</t>
        </is>
      </c>
    </row>
    <row r="2259">
      <c r="A2259" t="inlineStr">
        <is>
          <t>910703979141</t>
        </is>
      </c>
      <c r="B2259" t="inlineStr">
        <is>
          <t>TCC</t>
        </is>
      </c>
      <c r="C2259" t="inlineStr">
        <is>
          <t>BRCC</t>
        </is>
      </c>
      <c r="D2259" s="6" t="n">
        <v>46254</v>
      </c>
      <c r="E2259" t="inlineStr">
        <is>
          <t>CR</t>
        </is>
      </c>
      <c r="F2259" t="inlineStr">
        <is>
          <t>CHF</t>
        </is>
      </c>
      <c r="G2259" s="7" t="n">
        <v>9845435.687999999</v>
      </c>
      <c r="H2259" t="inlineStr">
        <is>
          <t>GBP</t>
        </is>
      </c>
      <c r="I2259" s="7" t="n">
        <v>8831355.812000001</v>
      </c>
      <c r="J2259" s="8" t="n">
        <v>46254.69696759259</v>
      </c>
      <c r="K2259" t="inlineStr">
        <is>
          <t>CF260820 02253</t>
        </is>
      </c>
      <c r="L2259" t="inlineStr">
        <is>
          <t>GL.NOSTRO.CHF.BRCC.003</t>
        </is>
      </c>
      <c r="M2259" t="inlineStr">
        <is>
          <t>Sablewood Bank</t>
        </is>
      </c>
      <c r="N2259" t="inlineStr">
        <is>
          <t>BRCCTRSY</t>
        </is>
      </c>
      <c r="O2259" t="inlineStr">
        <is>
          <t>NEW</t>
        </is>
      </c>
      <c r="P2259" t="inlineStr">
        <is>
          <t>NT26082000792</t>
        </is>
      </c>
      <c r="Q2259" t="inlineStr">
        <is>
          <t>NETTER</t>
        </is>
      </c>
    </row>
    <row r="2260">
      <c r="A2260" t="inlineStr">
        <is>
          <t>499062838623</t>
        </is>
      </c>
      <c r="B2260" t="inlineStr">
        <is>
          <t>TCG</t>
        </is>
      </c>
      <c r="C2260" t="inlineStr">
        <is>
          <t>BRBX</t>
        </is>
      </c>
      <c r="D2260" s="6" t="n">
        <v>46254</v>
      </c>
      <c r="E2260" t="inlineStr">
        <is>
          <t>CR</t>
        </is>
      </c>
      <c r="F2260" t="inlineStr">
        <is>
          <t>USD</t>
        </is>
      </c>
      <c r="G2260" s="7" t="n">
        <v>12097775.293</v>
      </c>
      <c r="H2260" t="inlineStr">
        <is>
          <t>GBP</t>
        </is>
      </c>
      <c r="I2260" s="7" t="n">
        <v>9484655.83</v>
      </c>
      <c r="J2260" s="8" t="n">
        <v>46254.33615740741</v>
      </c>
      <c r="K2260" t="inlineStr">
        <is>
          <t>CF260820 02254</t>
        </is>
      </c>
      <c r="L2260" t="inlineStr">
        <is>
          <t>GL.NOSTRO.USD.BRBX.004</t>
        </is>
      </c>
      <c r="M2260" t="inlineStr">
        <is>
          <t>Wrenfield Commercial Bank</t>
        </is>
      </c>
      <c r="N2260" t="inlineStr">
        <is>
          <t>BRBXCASH</t>
        </is>
      </c>
      <c r="O2260" t="inlineStr">
        <is>
          <t>NEW</t>
        </is>
      </c>
      <c r="Q2260" t="inlineStr">
        <is>
          <t>INTERNAL</t>
        </is>
      </c>
    </row>
    <row r="2261">
      <c r="A2261" t="inlineStr">
        <is>
          <t>700726936098</t>
        </is>
      </c>
      <c r="B2261" t="inlineStr">
        <is>
          <t>TCC</t>
        </is>
      </c>
      <c r="C2261" t="inlineStr">
        <is>
          <t>BRMD</t>
        </is>
      </c>
      <c r="D2261" s="6" t="n">
        <v>46254</v>
      </c>
      <c r="E2261" t="inlineStr">
        <is>
          <t>CR</t>
        </is>
      </c>
      <c r="F2261" t="inlineStr">
        <is>
          <t>SAR</t>
        </is>
      </c>
      <c r="G2261" s="7" t="n">
        <v>3115605.939</v>
      </c>
      <c r="H2261" t="inlineStr">
        <is>
          <t>GBP</t>
        </is>
      </c>
      <c r="I2261" s="7" t="n">
        <v>651161.6409999999</v>
      </c>
      <c r="J2261" s="8" t="n">
        <v>46254.4987962963</v>
      </c>
      <c r="K2261" t="inlineStr">
        <is>
          <t>CF260820 02255</t>
        </is>
      </c>
      <c r="L2261" t="inlineStr">
        <is>
          <t>GL.NOSTRO.SAR.BRMD.008</t>
        </is>
      </c>
      <c r="M2261" t="inlineStr">
        <is>
          <t>Elmwood Clearing</t>
        </is>
      </c>
      <c r="N2261" t="inlineStr">
        <is>
          <t>BRMDTRSY</t>
        </is>
      </c>
      <c r="O2261" t="inlineStr">
        <is>
          <t>NEW</t>
        </is>
      </c>
      <c r="Q2261" t="inlineStr">
        <is>
          <t>NETTER</t>
        </is>
      </c>
    </row>
    <row r="2262">
      <c r="A2262" t="inlineStr">
        <is>
          <t>171857983160</t>
        </is>
      </c>
      <c r="B2262" t="inlineStr">
        <is>
          <t>TCC</t>
        </is>
      </c>
      <c r="C2262" t="inlineStr">
        <is>
          <t>BRBX</t>
        </is>
      </c>
      <c r="D2262" s="6" t="n">
        <v>46254</v>
      </c>
      <c r="E2262" t="inlineStr">
        <is>
          <t>CR</t>
        </is>
      </c>
      <c r="F2262" t="inlineStr">
        <is>
          <t>AUD</t>
        </is>
      </c>
      <c r="G2262" s="7" t="n">
        <v>299840347.163</v>
      </c>
      <c r="H2262" t="inlineStr">
        <is>
          <t>GBP</t>
        </is>
      </c>
      <c r="I2262" s="7" t="n">
        <v>153818098.095</v>
      </c>
      <c r="J2262" s="8" t="n">
        <v>46254.35039351852</v>
      </c>
      <c r="K2262" t="inlineStr">
        <is>
          <t>CF260820 02256</t>
        </is>
      </c>
      <c r="L2262" t="inlineStr">
        <is>
          <t>GL.NOSTRO.AUD.BRBX.007</t>
        </is>
      </c>
      <c r="M2262" t="inlineStr">
        <is>
          <t>Yarrow Commercial Bank</t>
        </is>
      </c>
      <c r="N2262" t="inlineStr">
        <is>
          <t>BRBX</t>
        </is>
      </c>
      <c r="O2262" t="inlineStr">
        <is>
          <t>AMEND</t>
        </is>
      </c>
      <c r="P2262" t="inlineStr">
        <is>
          <t>NT26082000816</t>
        </is>
      </c>
      <c r="Q2262" t="inlineStr">
        <is>
          <t>INTERNAL</t>
        </is>
      </c>
    </row>
    <row r="2263">
      <c r="A2263" t="inlineStr">
        <is>
          <t>468341071172</t>
        </is>
      </c>
      <c r="B2263" t="inlineStr">
        <is>
          <t>TCG</t>
        </is>
      </c>
      <c r="C2263" t="inlineStr">
        <is>
          <t>BRCC</t>
        </is>
      </c>
      <c r="D2263" s="6" t="n">
        <v>46254</v>
      </c>
      <c r="E2263" t="inlineStr">
        <is>
          <t>CR</t>
        </is>
      </c>
      <c r="F2263" t="inlineStr">
        <is>
          <t>EUR</t>
        </is>
      </c>
      <c r="G2263" s="7" t="n">
        <v>75153.86599999999</v>
      </c>
      <c r="H2263" t="inlineStr">
        <is>
          <t>GBP</t>
        </is>
      </c>
      <c r="I2263" s="7" t="n">
        <v>64482.017</v>
      </c>
      <c r="J2263" s="8" t="n">
        <v>46254.42106481481</v>
      </c>
      <c r="K2263" t="inlineStr">
        <is>
          <t>CF260820 02257</t>
        </is>
      </c>
      <c r="L2263" t="inlineStr">
        <is>
          <t>GL.NOSTRO.EUR.BRCC.001</t>
        </is>
      </c>
      <c r="M2263" t="inlineStr">
        <is>
          <t>Wrenfield Settlement Bank</t>
        </is>
      </c>
      <c r="N2263" t="inlineStr">
        <is>
          <t>BRCCMM</t>
        </is>
      </c>
      <c r="O2263" t="inlineStr">
        <is>
          <t>NEW</t>
        </is>
      </c>
      <c r="Q2263" t="inlineStr">
        <is>
          <t>GROSS</t>
        </is>
      </c>
    </row>
    <row r="2264">
      <c r="A2264" t="inlineStr">
        <is>
          <t>824840705580</t>
        </is>
      </c>
      <c r="B2264" t="inlineStr">
        <is>
          <t>TCP</t>
        </is>
      </c>
      <c r="C2264" t="inlineStr">
        <is>
          <t>BRGL</t>
        </is>
      </c>
      <c r="D2264" s="6" t="n">
        <v>46254</v>
      </c>
      <c r="E2264" t="inlineStr">
        <is>
          <t>DR</t>
        </is>
      </c>
      <c r="F2264" t="inlineStr">
        <is>
          <t>EUR</t>
        </is>
      </c>
      <c r="G2264" s="7" t="n">
        <v>-273540160.413</v>
      </c>
      <c r="H2264" t="inlineStr">
        <is>
          <t>GBP</t>
        </is>
      </c>
      <c r="I2264" s="7" t="n">
        <v>-234697457.634</v>
      </c>
      <c r="J2264" s="8" t="n">
        <v>46254.36274305556</v>
      </c>
      <c r="K2264" t="inlineStr">
        <is>
          <t>CF260820 02258</t>
        </is>
      </c>
      <c r="L2264" t="inlineStr">
        <is>
          <t>GL.NOSTRO.EUR.BRGL.009</t>
        </is>
      </c>
      <c r="M2264" t="inlineStr">
        <is>
          <t>Elmwood Bank</t>
        </is>
      </c>
      <c r="N2264" t="inlineStr">
        <is>
          <t>BRGLTRSY</t>
        </is>
      </c>
      <c r="O2264" t="inlineStr">
        <is>
          <t>NEW</t>
        </is>
      </c>
      <c r="P2264" t="inlineStr">
        <is>
          <t>NT26082000822</t>
        </is>
      </c>
      <c r="Q2264" t="inlineStr">
        <is>
          <t>INTERNAL</t>
        </is>
      </c>
    </row>
    <row r="2265">
      <c r="A2265" t="inlineStr">
        <is>
          <t>898317028833</t>
        </is>
      </c>
      <c r="B2265" t="inlineStr">
        <is>
          <t>TCG</t>
        </is>
      </c>
      <c r="C2265" t="inlineStr">
        <is>
          <t>BRAA</t>
        </is>
      </c>
      <c r="D2265" s="6" t="n">
        <v>46254</v>
      </c>
      <c r="E2265" t="inlineStr">
        <is>
          <t>DR</t>
        </is>
      </c>
      <c r="F2265" t="inlineStr">
        <is>
          <t>GBP</t>
        </is>
      </c>
      <c r="G2265" s="7" t="n">
        <v>-454853149.945</v>
      </c>
      <c r="H2265" t="inlineStr">
        <is>
          <t>GBP</t>
        </is>
      </c>
      <c r="I2265" s="7" t="n">
        <v>-454853149.945</v>
      </c>
      <c r="J2265" s="8" t="n">
        <v>46254.6069212963</v>
      </c>
      <c r="K2265" t="inlineStr">
        <is>
          <t>CF260820 02259</t>
        </is>
      </c>
      <c r="L2265" t="inlineStr">
        <is>
          <t>GL.NOSTRO.GBP.BRAA.008</t>
        </is>
      </c>
      <c r="M2265" t="inlineStr">
        <is>
          <t>Harrow Clearing</t>
        </is>
      </c>
      <c r="N2265" t="inlineStr">
        <is>
          <t>BRAAMM</t>
        </is>
      </c>
      <c r="O2265" t="inlineStr">
        <is>
          <t>NEW</t>
        </is>
      </c>
      <c r="Q2265" t="inlineStr">
        <is>
          <t>NETTER</t>
        </is>
      </c>
    </row>
    <row r="2266">
      <c r="A2266" t="inlineStr">
        <is>
          <t>150316825069</t>
        </is>
      </c>
      <c r="B2266" t="inlineStr">
        <is>
          <t>TCQ</t>
        </is>
      </c>
      <c r="C2266" t="inlineStr">
        <is>
          <t>BRGX</t>
        </is>
      </c>
      <c r="D2266" s="6" t="n">
        <v>46254</v>
      </c>
      <c r="E2266" t="inlineStr">
        <is>
          <t>DR</t>
        </is>
      </c>
      <c r="F2266" t="inlineStr">
        <is>
          <t>GBP</t>
        </is>
      </c>
      <c r="G2266" s="7" t="n">
        <v>-103329576.757</v>
      </c>
      <c r="H2266" t="inlineStr">
        <is>
          <t>GBP</t>
        </is>
      </c>
      <c r="I2266" s="7" t="n">
        <v>-103329576.757</v>
      </c>
      <c r="J2266" s="8" t="n">
        <v>46254.55105324074</v>
      </c>
      <c r="K2266" t="inlineStr">
        <is>
          <t>CF260820 02260</t>
        </is>
      </c>
      <c r="L2266" t="inlineStr">
        <is>
          <t>GL.NOSTRO.GBP.BRGX.004</t>
        </is>
      </c>
      <c r="M2266" t="inlineStr">
        <is>
          <t>Dunlin Clearing</t>
        </is>
      </c>
      <c r="N2266" t="inlineStr">
        <is>
          <t>BRGXCASH</t>
        </is>
      </c>
      <c r="O2266" t="inlineStr">
        <is>
          <t>NEW</t>
        </is>
      </c>
      <c r="P2266" t="inlineStr">
        <is>
          <t>NT26082000810</t>
        </is>
      </c>
      <c r="Q2266" t="inlineStr">
        <is>
          <t>NETTER</t>
        </is>
      </c>
    </row>
    <row r="2267">
      <c r="A2267" t="inlineStr">
        <is>
          <t>621381112674</t>
        </is>
      </c>
      <c r="B2267" t="inlineStr">
        <is>
          <t>TCQ</t>
        </is>
      </c>
      <c r="C2267" t="inlineStr">
        <is>
          <t>BRAA</t>
        </is>
      </c>
      <c r="D2267" s="6" t="n">
        <v>46254</v>
      </c>
      <c r="E2267" t="inlineStr">
        <is>
          <t>DR</t>
        </is>
      </c>
      <c r="F2267" t="inlineStr">
        <is>
          <t>PLN</t>
        </is>
      </c>
      <c r="G2267" s="7" t="n">
        <v>-198882039.041</v>
      </c>
      <c r="H2267" t="inlineStr">
        <is>
          <t>GBP</t>
        </is>
      </c>
      <c r="I2267" s="7" t="n">
        <v>-39378643.73</v>
      </c>
      <c r="J2267" s="8" t="n">
        <v>46254.615</v>
      </c>
      <c r="K2267" t="inlineStr">
        <is>
          <t>CF260820 02261</t>
        </is>
      </c>
      <c r="L2267" t="inlineStr">
        <is>
          <t>GL.NOSTRO.PLN.BRAA.009</t>
        </is>
      </c>
      <c r="M2267" t="inlineStr">
        <is>
          <t>Elmwood Trust</t>
        </is>
      </c>
      <c r="N2267" t="inlineStr">
        <is>
          <t>BRAA</t>
        </is>
      </c>
      <c r="O2267" t="inlineStr">
        <is>
          <t>NEW</t>
        </is>
      </c>
      <c r="Q2267" t="inlineStr">
        <is>
          <t>NETTER</t>
        </is>
      </c>
    </row>
    <row r="2268">
      <c r="A2268" t="inlineStr">
        <is>
          <t>359365220160</t>
        </is>
      </c>
      <c r="B2268" t="inlineStr">
        <is>
          <t>TCX</t>
        </is>
      </c>
      <c r="C2268" t="inlineStr">
        <is>
          <t>BRGX</t>
        </is>
      </c>
      <c r="D2268" s="6" t="n">
        <v>46254</v>
      </c>
      <c r="E2268" t="inlineStr">
        <is>
          <t>DR</t>
        </is>
      </c>
      <c r="F2268" t="inlineStr">
        <is>
          <t>EUR</t>
        </is>
      </c>
      <c r="G2268" s="7" t="n">
        <v>-723630446.596</v>
      </c>
      <c r="H2268" t="inlineStr">
        <is>
          <t>GBP</t>
        </is>
      </c>
      <c r="I2268" s="7" t="n">
        <v>-620874923.179</v>
      </c>
      <c r="J2268" s="8" t="n">
        <v>46254.62565972222</v>
      </c>
      <c r="K2268" t="inlineStr">
        <is>
          <t>CF260820 02262</t>
        </is>
      </c>
      <c r="L2268" t="inlineStr">
        <is>
          <t>GL.NOSTRO.EUR.BRGX.001</t>
        </is>
      </c>
      <c r="M2268" t="inlineStr">
        <is>
          <t>Harrow Clearing</t>
        </is>
      </c>
      <c r="N2268" t="inlineStr">
        <is>
          <t>BRGXTRSY</t>
        </is>
      </c>
      <c r="O2268" t="inlineStr">
        <is>
          <t>NEW</t>
        </is>
      </c>
      <c r="Q2268" t="inlineStr">
        <is>
          <t>GROSS</t>
        </is>
      </c>
    </row>
    <row r="2269">
      <c r="A2269" t="inlineStr">
        <is>
          <t>794226063698</t>
        </is>
      </c>
      <c r="B2269" t="inlineStr">
        <is>
          <t>TCG</t>
        </is>
      </c>
      <c r="C2269" t="inlineStr">
        <is>
          <t>BRMD</t>
        </is>
      </c>
      <c r="D2269" s="6" t="n">
        <v>46254</v>
      </c>
      <c r="E2269" t="inlineStr">
        <is>
          <t>CR</t>
        </is>
      </c>
      <c r="F2269" t="inlineStr">
        <is>
          <t>AED</t>
        </is>
      </c>
      <c r="G2269" s="7" t="n">
        <v>6541208.431</v>
      </c>
      <c r="H2269" t="inlineStr">
        <is>
          <t>GBP</t>
        </is>
      </c>
      <c r="I2269" s="7" t="n">
        <v>1393277.396</v>
      </c>
      <c r="J2269" s="8" t="n">
        <v>46254.64759259259</v>
      </c>
      <c r="K2269" t="inlineStr">
        <is>
          <t>CF260820 02263</t>
        </is>
      </c>
      <c r="L2269" t="inlineStr">
        <is>
          <t>GL.NOSTRO.AED.BRMD.002</t>
        </is>
      </c>
      <c r="M2269" t="inlineStr">
        <is>
          <t>Harrow Clearing</t>
        </is>
      </c>
      <c r="N2269" t="inlineStr">
        <is>
          <t>BRMDTRSY</t>
        </is>
      </c>
      <c r="O2269" t="inlineStr">
        <is>
          <t>NEW</t>
        </is>
      </c>
      <c r="Q2269" t="inlineStr">
        <is>
          <t>NETTER</t>
        </is>
      </c>
    </row>
    <row r="2270">
      <c r="A2270" t="inlineStr">
        <is>
          <t>794226063698</t>
        </is>
      </c>
      <c r="B2270" t="inlineStr">
        <is>
          <t>TCQ</t>
        </is>
      </c>
      <c r="C2270" t="inlineStr">
        <is>
          <t>BRMD</t>
        </is>
      </c>
      <c r="D2270" s="6" t="n">
        <v>46254</v>
      </c>
      <c r="E2270" t="inlineStr">
        <is>
          <t>CR</t>
        </is>
      </c>
      <c r="F2270" t="inlineStr">
        <is>
          <t>AED</t>
        </is>
      </c>
      <c r="G2270" s="7" t="n">
        <v>44469274.956</v>
      </c>
      <c r="H2270" t="inlineStr">
        <is>
          <t>GBP</t>
        </is>
      </c>
      <c r="I2270" s="7" t="n">
        <v>9471955.566</v>
      </c>
      <c r="J2270" s="8" t="n">
        <v>46254.37868055556</v>
      </c>
      <c r="K2270" t="inlineStr">
        <is>
          <t>CF260820 02264</t>
        </is>
      </c>
      <c r="L2270" t="inlineStr">
        <is>
          <t>GL.NOSTRO.AED.BRMD.007</t>
        </is>
      </c>
      <c r="M2270" t="inlineStr">
        <is>
          <t>Elmwood Clearing</t>
        </is>
      </c>
      <c r="N2270" t="inlineStr">
        <is>
          <t>BRMD</t>
        </is>
      </c>
      <c r="O2270" t="inlineStr">
        <is>
          <t>AMEND</t>
        </is>
      </c>
      <c r="Q2270" t="inlineStr">
        <is>
          <t>NETTER</t>
        </is>
      </c>
    </row>
    <row r="2271">
      <c r="A2271" t="inlineStr">
        <is>
          <t>150316825069</t>
        </is>
      </c>
      <c r="B2271" t="inlineStr">
        <is>
          <t>TCG</t>
        </is>
      </c>
      <c r="C2271" t="inlineStr">
        <is>
          <t>BRGX</t>
        </is>
      </c>
      <c r="D2271" s="6" t="n">
        <v>46254</v>
      </c>
      <c r="E2271" t="inlineStr">
        <is>
          <t>CR</t>
        </is>
      </c>
      <c r="F2271" t="inlineStr">
        <is>
          <t>GBP</t>
        </is>
      </c>
      <c r="G2271" s="7" t="n">
        <v>69588162.983</v>
      </c>
      <c r="H2271" t="inlineStr">
        <is>
          <t>GBP</t>
        </is>
      </c>
      <c r="I2271" s="7" t="n">
        <v>69588162.983</v>
      </c>
      <c r="J2271" s="8" t="n">
        <v>46254.71451388889</v>
      </c>
      <c r="K2271" t="inlineStr">
        <is>
          <t>CF260820 02265</t>
        </is>
      </c>
      <c r="L2271" t="inlineStr">
        <is>
          <t>GL.NOSTRO.GBP.BRGX.005</t>
        </is>
      </c>
      <c r="M2271" t="inlineStr">
        <is>
          <t>Mallow Trust</t>
        </is>
      </c>
      <c r="N2271" t="inlineStr">
        <is>
          <t>BRGXCASH</t>
        </is>
      </c>
      <c r="O2271" t="inlineStr">
        <is>
          <t>NEW</t>
        </is>
      </c>
      <c r="P2271" t="inlineStr">
        <is>
          <t>NT26082000795</t>
        </is>
      </c>
      <c r="Q2271" t="inlineStr">
        <is>
          <t>GROSS</t>
        </is>
      </c>
    </row>
    <row r="2272">
      <c r="A2272" t="inlineStr">
        <is>
          <t>953625291146</t>
        </is>
      </c>
      <c r="B2272" t="inlineStr">
        <is>
          <t>TCX</t>
        </is>
      </c>
      <c r="C2272" t="inlineStr">
        <is>
          <t>BRGL</t>
        </is>
      </c>
      <c r="D2272" s="6" t="n">
        <v>46254</v>
      </c>
      <c r="E2272" t="inlineStr">
        <is>
          <t>DR</t>
        </is>
      </c>
      <c r="F2272" t="inlineStr">
        <is>
          <t>USD</t>
        </is>
      </c>
      <c r="G2272" s="7" t="n">
        <v>-6932375.643</v>
      </c>
      <c r="H2272" t="inlineStr">
        <is>
          <t>GBP</t>
        </is>
      </c>
      <c r="I2272" s="7" t="n">
        <v>-5434982.504</v>
      </c>
      <c r="J2272" s="8" t="n">
        <v>46254.68478009259</v>
      </c>
      <c r="K2272" t="inlineStr">
        <is>
          <t>CF260820 02266</t>
        </is>
      </c>
      <c r="L2272" t="inlineStr">
        <is>
          <t>GL.NOSTRO.USD.BRGL.001</t>
        </is>
      </c>
      <c r="M2272" t="inlineStr">
        <is>
          <t>Nightjar Bank</t>
        </is>
      </c>
      <c r="N2272" t="inlineStr">
        <is>
          <t>BRGL</t>
        </is>
      </c>
      <c r="O2272" t="inlineStr">
        <is>
          <t>NEW</t>
        </is>
      </c>
      <c r="P2272" t="inlineStr">
        <is>
          <t>NT26082000798</t>
        </is>
      </c>
      <c r="Q2272" t="inlineStr">
        <is>
          <t>GROSS</t>
        </is>
      </c>
    </row>
    <row r="2273">
      <c r="A2273" t="inlineStr">
        <is>
          <t>284925023085</t>
        </is>
      </c>
      <c r="B2273" t="inlineStr">
        <is>
          <t>TCP</t>
        </is>
      </c>
      <c r="C2273" t="inlineStr">
        <is>
          <t>BRMD</t>
        </is>
      </c>
      <c r="D2273" s="6" t="n">
        <v>46254</v>
      </c>
      <c r="E2273" t="inlineStr">
        <is>
          <t>CR</t>
        </is>
      </c>
      <c r="F2273" t="inlineStr">
        <is>
          <t>MXN</t>
        </is>
      </c>
      <c r="G2273" s="7" t="n">
        <v>25010457.875</v>
      </c>
      <c r="H2273" t="inlineStr">
        <is>
          <t>GBP</t>
        </is>
      </c>
      <c r="I2273" s="7" t="n">
        <v>1070447.597</v>
      </c>
      <c r="J2273" s="8" t="n">
        <v>46254.44872685185</v>
      </c>
      <c r="K2273" t="inlineStr">
        <is>
          <t>CF260820 02267</t>
        </is>
      </c>
      <c r="L2273" t="inlineStr">
        <is>
          <t>GL.NOSTRO.MXN.BRMD.007</t>
        </is>
      </c>
      <c r="M2273" t="inlineStr">
        <is>
          <t>Dunlin Trust</t>
        </is>
      </c>
      <c r="N2273" t="inlineStr">
        <is>
          <t>BRMD</t>
        </is>
      </c>
      <c r="O2273" t="inlineStr">
        <is>
          <t>AMEND</t>
        </is>
      </c>
      <c r="P2273" t="inlineStr">
        <is>
          <t>NT26082000823</t>
        </is>
      </c>
      <c r="Q2273" t="inlineStr">
        <is>
          <t>GROSS</t>
        </is>
      </c>
    </row>
    <row r="2274">
      <c r="A2274" t="inlineStr">
        <is>
          <t>359365220160</t>
        </is>
      </c>
      <c r="B2274" t="inlineStr">
        <is>
          <t>TCC</t>
        </is>
      </c>
      <c r="C2274" t="inlineStr">
        <is>
          <t>BRGX</t>
        </is>
      </c>
      <c r="D2274" s="6" t="n">
        <v>46254</v>
      </c>
      <c r="E2274" t="inlineStr">
        <is>
          <t>DR</t>
        </is>
      </c>
      <c r="F2274" t="inlineStr">
        <is>
          <t>EUR</t>
        </is>
      </c>
      <c r="G2274" s="7" t="n">
        <v>-73813834.06999999</v>
      </c>
      <c r="H2274" t="inlineStr">
        <is>
          <t>GBP</t>
        </is>
      </c>
      <c r="I2274" s="7" t="n">
        <v>-63332269.632</v>
      </c>
      <c r="J2274" s="8" t="n">
        <v>46254.34927083334</v>
      </c>
      <c r="K2274" t="inlineStr">
        <is>
          <t>CF260820 02268</t>
        </is>
      </c>
      <c r="L2274" t="inlineStr">
        <is>
          <t>GL.NOSTRO.EUR.BRGX.002</t>
        </is>
      </c>
      <c r="M2274" t="inlineStr">
        <is>
          <t>Sablewood Bank</t>
        </is>
      </c>
      <c r="N2274" t="inlineStr">
        <is>
          <t>BRGXTRSY</t>
        </is>
      </c>
      <c r="O2274" t="inlineStr">
        <is>
          <t>NEW</t>
        </is>
      </c>
      <c r="P2274" t="inlineStr">
        <is>
          <t>NT26082000787</t>
        </is>
      </c>
      <c r="Q2274" t="inlineStr">
        <is>
          <t>NETTER</t>
        </is>
      </c>
    </row>
    <row r="2275">
      <c r="A2275" t="inlineStr">
        <is>
          <t>968942362772</t>
        </is>
      </c>
      <c r="B2275" t="inlineStr">
        <is>
          <t>TCQ</t>
        </is>
      </c>
      <c r="C2275" t="inlineStr">
        <is>
          <t>BRYG</t>
        </is>
      </c>
      <c r="D2275" s="6" t="n">
        <v>46254</v>
      </c>
      <c r="E2275" t="inlineStr">
        <is>
          <t>DR</t>
        </is>
      </c>
      <c r="F2275" t="inlineStr">
        <is>
          <t>EUR</t>
        </is>
      </c>
      <c r="G2275" s="7" t="n">
        <v>-570541.827</v>
      </c>
      <c r="H2275" t="inlineStr">
        <is>
          <t>GBP</t>
        </is>
      </c>
      <c r="I2275" s="7" t="n">
        <v>-489524.888</v>
      </c>
      <c r="J2275" s="8" t="n">
        <v>46254.93203703704</v>
      </c>
      <c r="K2275" t="inlineStr">
        <is>
          <t>CF260820 02269</t>
        </is>
      </c>
      <c r="L2275" t="inlineStr">
        <is>
          <t>GL.NOSTRO.EUR.BRYG.008</t>
        </is>
      </c>
      <c r="M2275" t="inlineStr">
        <is>
          <t>Redstart Commercial Bank</t>
        </is>
      </c>
      <c r="N2275" t="inlineStr">
        <is>
          <t>BRYGCASH</t>
        </is>
      </c>
      <c r="O2275" t="inlineStr">
        <is>
          <t>NEW</t>
        </is>
      </c>
      <c r="P2275" t="inlineStr">
        <is>
          <t>NT26082000817</t>
        </is>
      </c>
      <c r="Q2275" t="inlineStr">
        <is>
          <t>NETTER</t>
        </is>
      </c>
    </row>
    <row r="2276">
      <c r="A2276" t="inlineStr">
        <is>
          <t>794226063698</t>
        </is>
      </c>
      <c r="B2276" t="inlineStr">
        <is>
          <t>TCG</t>
        </is>
      </c>
      <c r="C2276" t="inlineStr">
        <is>
          <t>BRMD</t>
        </is>
      </c>
      <c r="D2276" s="6" t="n">
        <v>46254</v>
      </c>
      <c r="E2276" t="inlineStr">
        <is>
          <t>DR</t>
        </is>
      </c>
      <c r="F2276" t="inlineStr">
        <is>
          <t>AED</t>
        </is>
      </c>
      <c r="G2276" s="7" t="n">
        <v>-47772759.968</v>
      </c>
      <c r="H2276" t="inlineStr">
        <is>
          <t>GBP</t>
        </is>
      </c>
      <c r="I2276" s="7" t="n">
        <v>-10175597.873</v>
      </c>
      <c r="J2276" s="8" t="n">
        <v>46254.76222222222</v>
      </c>
      <c r="K2276" t="inlineStr">
        <is>
          <t>CF260820 02270</t>
        </is>
      </c>
      <c r="L2276" t="inlineStr">
        <is>
          <t>GL.NOSTRO.AED.BRMD.009</t>
        </is>
      </c>
      <c r="M2276" t="inlineStr">
        <is>
          <t>Dunlin Bank</t>
        </is>
      </c>
      <c r="N2276" t="inlineStr">
        <is>
          <t>BRMDCASH</t>
        </is>
      </c>
      <c r="O2276" t="inlineStr">
        <is>
          <t>AMEND</t>
        </is>
      </c>
      <c r="P2276" t="inlineStr">
        <is>
          <t>NT26082000804</t>
        </is>
      </c>
      <c r="Q2276" t="inlineStr">
        <is>
          <t>NETTER</t>
        </is>
      </c>
    </row>
    <row r="2277">
      <c r="A2277" t="inlineStr">
        <is>
          <t>132544340094</t>
        </is>
      </c>
      <c r="B2277" t="inlineStr">
        <is>
          <t>TCC</t>
        </is>
      </c>
      <c r="C2277" t="inlineStr">
        <is>
          <t>BRYG</t>
        </is>
      </c>
      <c r="D2277" s="6" t="n">
        <v>46254</v>
      </c>
      <c r="E2277" t="inlineStr">
        <is>
          <t>CR</t>
        </is>
      </c>
      <c r="F2277" t="inlineStr">
        <is>
          <t>CZK</t>
        </is>
      </c>
      <c r="G2277" s="7" t="n">
        <v>7868662.914</v>
      </c>
      <c r="H2277" t="inlineStr">
        <is>
          <t>GBP</t>
        </is>
      </c>
      <c r="I2277" s="7" t="n">
        <v>266747.673</v>
      </c>
      <c r="J2277" s="8" t="n">
        <v>46254.58512731481</v>
      </c>
      <c r="K2277" t="inlineStr">
        <is>
          <t>CF260820 02271</t>
        </is>
      </c>
      <c r="L2277" t="inlineStr">
        <is>
          <t>GL.NOSTRO.CZK.BRYG.003</t>
        </is>
      </c>
      <c r="M2277" t="inlineStr">
        <is>
          <t>Mallow Commercial Bank</t>
        </is>
      </c>
      <c r="N2277" t="inlineStr">
        <is>
          <t>BRYGTRSY</t>
        </is>
      </c>
      <c r="O2277" t="inlineStr">
        <is>
          <t>NEW</t>
        </is>
      </c>
      <c r="P2277" t="inlineStr">
        <is>
          <t>NT26082000810</t>
        </is>
      </c>
      <c r="Q2277" t="inlineStr">
        <is>
          <t>GROSS</t>
        </is>
      </c>
    </row>
    <row r="2278">
      <c r="A2278" t="inlineStr">
        <is>
          <t>265771593142</t>
        </is>
      </c>
      <c r="B2278" t="inlineStr">
        <is>
          <t>TCP</t>
        </is>
      </c>
      <c r="C2278" t="inlineStr">
        <is>
          <t>BRYG</t>
        </is>
      </c>
      <c r="D2278" s="6" t="n">
        <v>46254</v>
      </c>
      <c r="E2278" t="inlineStr">
        <is>
          <t>CR</t>
        </is>
      </c>
      <c r="F2278" t="inlineStr">
        <is>
          <t>EUR</t>
        </is>
      </c>
      <c r="G2278" s="7" t="n">
        <v>9371881026.549999</v>
      </c>
      <c r="H2278" t="inlineStr">
        <is>
          <t>GBP</t>
        </is>
      </c>
      <c r="I2278" s="7" t="n">
        <v>8041073920.78</v>
      </c>
      <c r="J2278" s="8" t="n">
        <v>46254.30570601852</v>
      </c>
      <c r="K2278" t="inlineStr">
        <is>
          <t>CF260820 02272</t>
        </is>
      </c>
      <c r="L2278" t="inlineStr">
        <is>
          <t>GL.NOSTRO.EUR.BRYG.002</t>
        </is>
      </c>
      <c r="M2278" t="inlineStr">
        <is>
          <t>Redstart Trust</t>
        </is>
      </c>
      <c r="N2278" t="inlineStr">
        <is>
          <t>BRYGTRSY</t>
        </is>
      </c>
      <c r="O2278" t="inlineStr">
        <is>
          <t>NEW</t>
        </is>
      </c>
      <c r="Q2278" t="inlineStr">
        <is>
          <t>GROSS</t>
        </is>
      </c>
    </row>
    <row r="2279">
      <c r="A2279" t="inlineStr">
        <is>
          <t>359365220160</t>
        </is>
      </c>
      <c r="B2279" t="inlineStr">
        <is>
          <t>TCP</t>
        </is>
      </c>
      <c r="C2279" t="inlineStr">
        <is>
          <t>BRGX</t>
        </is>
      </c>
      <c r="D2279" s="6" t="n">
        <v>46254</v>
      </c>
      <c r="E2279" t="inlineStr">
        <is>
          <t>DR</t>
        </is>
      </c>
      <c r="F2279" t="inlineStr">
        <is>
          <t>EUR</t>
        </is>
      </c>
      <c r="G2279" s="7" t="n">
        <v>-270769.788</v>
      </c>
      <c r="H2279" t="inlineStr">
        <is>
          <t>GBP</t>
        </is>
      </c>
      <c r="I2279" s="7" t="n">
        <v>-232320.478</v>
      </c>
      <c r="J2279" s="8" t="n">
        <v>46254.66600694445</v>
      </c>
      <c r="K2279" t="inlineStr">
        <is>
          <t>CF260820 02273</t>
        </is>
      </c>
      <c r="L2279" t="inlineStr">
        <is>
          <t>GL.NOSTRO.EUR.BRGX.001</t>
        </is>
      </c>
      <c r="M2279" t="inlineStr">
        <is>
          <t>Mallow Clearing</t>
        </is>
      </c>
      <c r="N2279" t="inlineStr">
        <is>
          <t>BRGXTRSY</t>
        </is>
      </c>
      <c r="O2279" t="inlineStr">
        <is>
          <t>NEW</t>
        </is>
      </c>
      <c r="P2279" t="inlineStr">
        <is>
          <t>NT26082000817</t>
        </is>
      </c>
      <c r="Q2279" t="inlineStr">
        <is>
          <t>GROSS</t>
        </is>
      </c>
    </row>
    <row r="2280">
      <c r="A2280" t="inlineStr">
        <is>
          <t>794226063698</t>
        </is>
      </c>
      <c r="B2280" t="inlineStr">
        <is>
          <t>TCC</t>
        </is>
      </c>
      <c r="C2280" t="inlineStr">
        <is>
          <t>BRMD</t>
        </is>
      </c>
      <c r="D2280" s="6" t="n">
        <v>46254</v>
      </c>
      <c r="E2280" t="inlineStr">
        <is>
          <t>DR</t>
        </is>
      </c>
      <c r="F2280" t="inlineStr">
        <is>
          <t>AED</t>
        </is>
      </c>
      <c r="G2280" s="7" t="n">
        <v>-11418723.395</v>
      </c>
      <c r="H2280" t="inlineStr">
        <is>
          <t>GBP</t>
        </is>
      </c>
      <c r="I2280" s="7" t="n">
        <v>-2432188.083</v>
      </c>
      <c r="J2280" s="8" t="n">
        <v>46254.61583333334</v>
      </c>
      <c r="K2280" t="inlineStr">
        <is>
          <t>CF260820 02274</t>
        </is>
      </c>
      <c r="L2280" t="inlineStr">
        <is>
          <t>GL.NOSTRO.AED.BRMD.007</t>
        </is>
      </c>
      <c r="M2280" t="inlineStr">
        <is>
          <t>Pinehurst Clearing</t>
        </is>
      </c>
      <c r="N2280" t="inlineStr">
        <is>
          <t>BRMDTRSY</t>
        </is>
      </c>
      <c r="O2280" t="inlineStr">
        <is>
          <t>NEW</t>
        </is>
      </c>
      <c r="P2280" t="inlineStr">
        <is>
          <t>NT26082000801</t>
        </is>
      </c>
      <c r="Q2280" t="inlineStr">
        <is>
          <t>NETTER</t>
        </is>
      </c>
    </row>
    <row r="2281">
      <c r="A2281" s="9" t="inlineStr">
        <is>
          <t>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32" customWidth="1" min="3" max="3"/>
    <col width="12" customWidth="1" min="4" max="4"/>
    <col width="16" customWidth="1" min="5" max="5"/>
    <col width="12" customWidth="1" min="6" max="6"/>
    <col width="10" customWidth="1" min="7" max="7"/>
    <col width="9" customWidth="1" min="8" max="8"/>
    <col width="46" customWidth="1" min="9" max="9"/>
    <col width="46" customWidth="1" min="10" max="10"/>
    <col width="44" customWidth="1" min="11" max="11"/>
    <col width="20" customWidth="1" min="12" max="12"/>
    <col width="22" customWidth="1" min="13" max="13"/>
  </cols>
  <sheetData>
    <row r="1">
      <c r="A1" s="2" t="inlineStr">
        <is>
          <t>Data Dictionary</t>
        </is>
      </c>
    </row>
    <row r="2">
      <c r="A2" t="inlineStr">
        <is>
          <t>Column-level attributes for the three synthetic views</t>
        </is>
      </c>
    </row>
    <row r="4">
      <c r="A4" s="10" t="inlineStr">
        <is>
          <t>View</t>
        </is>
      </c>
      <c r="B4" s="10" t="inlineStr">
        <is>
          <t>Ordinal</t>
        </is>
      </c>
      <c r="C4" s="10" t="inlineStr">
        <is>
          <t>Column Name</t>
        </is>
      </c>
      <c r="D4" s="10" t="inlineStr">
        <is>
          <t>Data Type</t>
        </is>
      </c>
      <c r="E4" s="10" t="inlineStr">
        <is>
          <t>Length / Precision</t>
        </is>
      </c>
      <c r="F4" s="10" t="inlineStr">
        <is>
          <t>Excel Format</t>
        </is>
      </c>
      <c r="G4" s="10" t="inlineStr">
        <is>
          <t>Nullable</t>
        </is>
      </c>
      <c r="H4" s="10" t="inlineStr">
        <is>
          <t>Derived</t>
        </is>
      </c>
      <c r="I4" s="10" t="inlineStr">
        <is>
          <t>Allowed Values / Domain</t>
        </is>
      </c>
      <c r="J4" s="10" t="inlineStr">
        <is>
          <t>Definition / Business Rule</t>
        </is>
      </c>
      <c r="K4" s="10" t="inlineStr">
        <is>
          <t>Formula / Calculation</t>
        </is>
      </c>
      <c r="L4" s="10" t="inlineStr">
        <is>
          <t>Synthetic Example</t>
        </is>
      </c>
      <c r="M4" s="10" t="inlineStr">
        <is>
          <t>Screenshot Interpretation</t>
        </is>
      </c>
    </row>
    <row r="5">
      <c r="A5" t="inlineStr">
        <is>
          <t>Nostro Transfer View</t>
        </is>
      </c>
      <c r="B5" t="n">
        <v>1</v>
      </c>
      <c r="C5" t="inlineStr">
        <is>
          <t>Source Account</t>
        </is>
      </c>
      <c r="D5" t="inlineStr">
        <is>
          <t>Text</t>
        </is>
      </c>
      <c r="F5" t="inlineStr">
        <is>
          <t>Text</t>
        </is>
      </c>
      <c r="G5" t="inlineStr">
        <is>
          <t>No</t>
        </is>
      </c>
      <c r="H5" t="inlineStr">
        <is>
          <t>No</t>
        </is>
      </c>
      <c r="I5" t="inlineStr"/>
      <c r="J5" t="inlineStr">
        <is>
          <t>Source Account on the Nostro Transfer View.</t>
        </is>
      </c>
      <c r="K5" t="inlineStr"/>
      <c r="M5" t="inlineStr">
        <is>
          <t>Generated</t>
        </is>
      </c>
    </row>
    <row r="6">
      <c r="A6" t="inlineStr">
        <is>
          <t>Nostro Transfer View</t>
        </is>
      </c>
      <c r="B6" t="n">
        <v>2</v>
      </c>
      <c r="C6" t="inlineStr">
        <is>
          <t>Source Account Venue Location</t>
        </is>
      </c>
      <c r="D6" t="inlineStr">
        <is>
          <t>Text</t>
        </is>
      </c>
      <c r="F6" t="inlineStr">
        <is>
          <t>Text</t>
        </is>
      </c>
      <c r="G6" t="inlineStr">
        <is>
          <t>No</t>
        </is>
      </c>
      <c r="H6" t="inlineStr">
        <is>
          <t>No</t>
        </is>
      </c>
      <c r="I6" t="inlineStr"/>
      <c r="J6" t="inlineStr">
        <is>
          <t>Source Account Venue Location on the Nostro Transfer View.</t>
        </is>
      </c>
      <c r="K6" t="inlineStr"/>
      <c r="M6" t="inlineStr">
        <is>
          <t>Generated</t>
        </is>
      </c>
    </row>
    <row r="7">
      <c r="A7" t="inlineStr">
        <is>
          <t>Nostro Transfer View</t>
        </is>
      </c>
      <c r="B7" t="n">
        <v>3</v>
      </c>
      <c r="C7" t="inlineStr">
        <is>
          <t>Target Account</t>
        </is>
      </c>
      <c r="D7" t="inlineStr">
        <is>
          <t>Text</t>
        </is>
      </c>
      <c r="F7" t="inlineStr">
        <is>
          <t>Text</t>
        </is>
      </c>
      <c r="G7" t="inlineStr">
        <is>
          <t>No</t>
        </is>
      </c>
      <c r="H7" t="inlineStr">
        <is>
          <t>No</t>
        </is>
      </c>
      <c r="I7" t="inlineStr"/>
      <c r="J7" t="inlineStr">
        <is>
          <t>Target Account on the Nostro Transfer View.</t>
        </is>
      </c>
      <c r="K7" t="inlineStr"/>
      <c r="M7" t="inlineStr">
        <is>
          <t>Generated</t>
        </is>
      </c>
    </row>
    <row r="8">
      <c r="A8" t="inlineStr">
        <is>
          <t>Nostro Transfer View</t>
        </is>
      </c>
      <c r="B8" t="n">
        <v>4</v>
      </c>
      <c r="C8" t="inlineStr">
        <is>
          <t>Target Account Venue Location</t>
        </is>
      </c>
      <c r="D8" t="inlineStr">
        <is>
          <t>Text</t>
        </is>
      </c>
      <c r="F8" t="inlineStr">
        <is>
          <t>Text</t>
        </is>
      </c>
      <c r="G8" t="inlineStr">
        <is>
          <t>No</t>
        </is>
      </c>
      <c r="H8" t="inlineStr">
        <is>
          <t>No</t>
        </is>
      </c>
      <c r="I8" t="inlineStr"/>
      <c r="J8" t="inlineStr">
        <is>
          <t>Target Account Venue Location on the Nostro Transfer View.</t>
        </is>
      </c>
      <c r="K8" t="inlineStr"/>
      <c r="M8" t="inlineStr">
        <is>
          <t>Generated</t>
        </is>
      </c>
    </row>
    <row r="9">
      <c r="A9" t="inlineStr">
        <is>
          <t>Nostro Transfer View</t>
        </is>
      </c>
      <c r="B9" t="n">
        <v>5</v>
      </c>
      <c r="C9" t="inlineStr">
        <is>
          <t>Currency</t>
        </is>
      </c>
      <c r="D9" t="inlineStr">
        <is>
          <t>Text</t>
        </is>
      </c>
      <c r="F9" t="inlineStr">
        <is>
          <t>Text</t>
        </is>
      </c>
      <c r="G9" t="inlineStr">
        <is>
          <t>No</t>
        </is>
      </c>
      <c r="H9" t="inlineStr">
        <is>
          <t>No</t>
        </is>
      </c>
      <c r="I9" t="inlineStr">
        <is>
          <t>ISO 4217 currency code</t>
        </is>
      </c>
      <c r="J9" t="inlineStr">
        <is>
          <t>Currency on the Nostro Transfer View.</t>
        </is>
      </c>
      <c r="K9" t="inlineStr"/>
      <c r="M9" t="inlineStr">
        <is>
          <t>Generated</t>
        </is>
      </c>
    </row>
    <row r="10">
      <c r="A10" t="inlineStr">
        <is>
          <t>Nostro Transfer View</t>
        </is>
      </c>
      <c r="B10" t="n">
        <v>6</v>
      </c>
      <c r="C10" t="inlineStr">
        <is>
          <t>Reference</t>
        </is>
      </c>
      <c r="D10" t="inlineStr">
        <is>
          <t>Text</t>
        </is>
      </c>
      <c r="F10" t="inlineStr">
        <is>
          <t>Text</t>
        </is>
      </c>
      <c r="G10" t="inlineStr">
        <is>
          <t>No</t>
        </is>
      </c>
      <c r="H10" t="inlineStr">
        <is>
          <t>No</t>
        </is>
      </c>
      <c r="I10" t="inlineStr"/>
      <c r="J10" t="inlineStr">
        <is>
          <t>Reference on the Nostro Transfer View.</t>
        </is>
      </c>
      <c r="K10" t="inlineStr"/>
      <c r="M10" t="inlineStr">
        <is>
          <t>Generated</t>
        </is>
      </c>
    </row>
    <row r="11">
      <c r="A11" t="inlineStr">
        <is>
          <t>Nostro Transfer View</t>
        </is>
      </c>
      <c r="B11" t="n">
        <v>7</v>
      </c>
      <c r="C11" t="inlineStr">
        <is>
          <t>Value Date</t>
        </is>
      </c>
      <c r="D11" t="inlineStr">
        <is>
          <t>Date</t>
        </is>
      </c>
      <c r="F11" t="inlineStr">
        <is>
          <t>Text</t>
        </is>
      </c>
      <c r="G11" t="inlineStr">
        <is>
          <t>No</t>
        </is>
      </c>
      <c r="H11" t="inlineStr">
        <is>
          <t>No</t>
        </is>
      </c>
      <c r="I11" t="inlineStr"/>
      <c r="J11" t="inlineStr">
        <is>
          <t>Value Date on the Nostro Transfer View.</t>
        </is>
      </c>
      <c r="K11" t="inlineStr"/>
      <c r="M11" t="inlineStr">
        <is>
          <t>Generated</t>
        </is>
      </c>
    </row>
    <row r="12">
      <c r="A12" t="inlineStr">
        <is>
          <t>Nostro Transfer View</t>
        </is>
      </c>
      <c r="B12" t="n">
        <v>8</v>
      </c>
      <c r="C12" t="inlineStr">
        <is>
          <t>Value Amount</t>
        </is>
      </c>
      <c r="D12" t="inlineStr">
        <is>
          <t>Decimal</t>
        </is>
      </c>
      <c r="F12" t="inlineStr">
        <is>
          <t>#,##0.000</t>
        </is>
      </c>
      <c r="G12" t="inlineStr">
        <is>
          <t>No</t>
        </is>
      </c>
      <c r="H12" t="inlineStr">
        <is>
          <t>No</t>
        </is>
      </c>
      <c r="I12" t="inlineStr"/>
      <c r="J12" t="inlineStr">
        <is>
          <t>Value Amount on the Nostro Transfer View.</t>
        </is>
      </c>
      <c r="K12" t="inlineStr"/>
      <c r="M12" t="inlineStr">
        <is>
          <t>Generated</t>
        </is>
      </c>
    </row>
    <row r="13">
      <c r="A13" t="inlineStr">
        <is>
          <t>Nostro Transfer View</t>
        </is>
      </c>
      <c r="B13" t="n">
        <v>9</v>
      </c>
      <c r="C13" t="inlineStr">
        <is>
          <t>CCY (Display)</t>
        </is>
      </c>
      <c r="D13" t="inlineStr">
        <is>
          <t>Text</t>
        </is>
      </c>
      <c r="F13" t="inlineStr">
        <is>
          <t>Text</t>
        </is>
      </c>
      <c r="G13" t="inlineStr">
        <is>
          <t>No</t>
        </is>
      </c>
      <c r="H13" t="inlineStr">
        <is>
          <t>No</t>
        </is>
      </c>
      <c r="I13" t="inlineStr">
        <is>
          <t>GBP</t>
        </is>
      </c>
      <c r="J13" t="inlineStr">
        <is>
          <t>CCY (Display) on the Nostro Transfer View.</t>
        </is>
      </c>
      <c r="K13" t="inlineStr"/>
      <c r="M13" t="inlineStr">
        <is>
          <t>Generated</t>
        </is>
      </c>
    </row>
    <row r="14">
      <c r="A14" t="inlineStr">
        <is>
          <t>Nostro Transfer View</t>
        </is>
      </c>
      <c r="B14" t="n">
        <v>10</v>
      </c>
      <c r="C14" t="inlineStr">
        <is>
          <t>Value Amount (Display)</t>
        </is>
      </c>
      <c r="D14" t="inlineStr">
        <is>
          <t>Decimal</t>
        </is>
      </c>
      <c r="F14" t="inlineStr">
        <is>
          <t>#,##0.000</t>
        </is>
      </c>
      <c r="G14" t="inlineStr">
        <is>
          <t>No</t>
        </is>
      </c>
      <c r="H14" t="inlineStr">
        <is>
          <t>Yes</t>
        </is>
      </c>
      <c r="I14" t="inlineStr"/>
      <c r="J14" t="inlineStr">
        <is>
          <t>Value Amount (Display) on the Nostro Transfer View.</t>
        </is>
      </c>
      <c r="K14">
        <f>Value Amount * FX rate to display currency</f>
        <v/>
      </c>
      <c r="M14" t="inlineStr">
        <is>
          <t>Generated</t>
        </is>
      </c>
    </row>
    <row r="15">
      <c r="A15" t="inlineStr">
        <is>
          <t>Nostro Transfer View</t>
        </is>
      </c>
      <c r="B15" t="n">
        <v>11</v>
      </c>
      <c r="C15" t="inlineStr">
        <is>
          <t>Sending Strategy</t>
        </is>
      </c>
      <c r="D15" t="inlineStr">
        <is>
          <t>Text</t>
        </is>
      </c>
      <c r="F15" t="inlineStr">
        <is>
          <t>Text</t>
        </is>
      </c>
      <c r="G15" t="inlineStr">
        <is>
          <t>No</t>
        </is>
      </c>
      <c r="H15" t="inlineStr">
        <is>
          <t>No</t>
        </is>
      </c>
      <c r="I15" t="inlineStr">
        <is>
          <t>INTERNAL, SWIFT, SYRM</t>
        </is>
      </c>
      <c r="J15" t="inlineStr">
        <is>
          <t>Sending Strategy on the Nostro Transfer View.</t>
        </is>
      </c>
      <c r="K15" t="inlineStr"/>
      <c r="M15" t="inlineStr">
        <is>
          <t>Generated</t>
        </is>
      </c>
    </row>
    <row r="16">
      <c r="A16" t="inlineStr">
        <is>
          <t>Nostro Transfer View</t>
        </is>
      </c>
      <c r="B16" t="n">
        <v>12</v>
      </c>
      <c r="C16" t="inlineStr">
        <is>
          <t>Comment</t>
        </is>
      </c>
      <c r="D16" t="inlineStr">
        <is>
          <t>Text</t>
        </is>
      </c>
      <c r="F16" t="inlineStr">
        <is>
          <t>Text</t>
        </is>
      </c>
      <c r="G16" t="inlineStr">
        <is>
          <t>Yes</t>
        </is>
      </c>
      <c r="H16" t="inlineStr">
        <is>
          <t>No</t>
        </is>
      </c>
      <c r="I16" t="inlineStr"/>
      <c r="J16" t="inlineStr">
        <is>
          <t>Comment on the Nostro Transfer View.</t>
        </is>
      </c>
      <c r="K16" t="inlineStr"/>
      <c r="M16" t="inlineStr">
        <is>
          <t>Generated</t>
        </is>
      </c>
    </row>
    <row r="17">
      <c r="A17" t="inlineStr">
        <is>
          <t>Nostro Transfer View</t>
        </is>
      </c>
      <c r="B17" t="n">
        <v>13</v>
      </c>
      <c r="C17" t="inlineStr">
        <is>
          <t>Created Time</t>
        </is>
      </c>
      <c r="D17" t="inlineStr">
        <is>
          <t>DateTime</t>
        </is>
      </c>
      <c r="F17" t="inlineStr">
        <is>
          <t>Text</t>
        </is>
      </c>
      <c r="G17" t="inlineStr">
        <is>
          <t>No</t>
        </is>
      </c>
      <c r="H17" t="inlineStr">
        <is>
          <t>No</t>
        </is>
      </c>
      <c r="I17" t="inlineStr"/>
      <c r="J17" t="inlineStr">
        <is>
          <t>Created Time on the Nostro Transfer View.</t>
        </is>
      </c>
      <c r="K17" t="inlineStr"/>
      <c r="M17" t="inlineStr">
        <is>
          <t>Generated</t>
        </is>
      </c>
    </row>
    <row r="18">
      <c r="A18" t="inlineStr">
        <is>
          <t>Nostro Transfer View</t>
        </is>
      </c>
      <c r="B18" t="n">
        <v>14</v>
      </c>
      <c r="C18" t="inlineStr">
        <is>
          <t>Created By</t>
        </is>
      </c>
      <c r="D18" t="inlineStr">
        <is>
          <t>Text</t>
        </is>
      </c>
      <c r="F18" t="inlineStr">
        <is>
          <t>Text</t>
        </is>
      </c>
      <c r="G18" t="inlineStr">
        <is>
          <t>No</t>
        </is>
      </c>
      <c r="H18" t="inlineStr">
        <is>
          <t>No</t>
        </is>
      </c>
      <c r="I18" t="inlineStr"/>
      <c r="J18" t="inlineStr">
        <is>
          <t>Created By on the Nostro Transfer View.</t>
        </is>
      </c>
      <c r="K18" t="inlineStr"/>
      <c r="M18" t="inlineStr">
        <is>
          <t>Generated</t>
        </is>
      </c>
    </row>
    <row r="19">
      <c r="A19" t="inlineStr">
        <is>
          <t>Nostro Transfer View</t>
        </is>
      </c>
      <c r="B19" t="n">
        <v>15</v>
      </c>
      <c r="C19" t="inlineStr">
        <is>
          <t>Approved Time</t>
        </is>
      </c>
      <c r="D19" t="inlineStr">
        <is>
          <t>DateTime</t>
        </is>
      </c>
      <c r="F19" t="inlineStr">
        <is>
          <t>Text</t>
        </is>
      </c>
      <c r="G19" t="inlineStr">
        <is>
          <t>Yes</t>
        </is>
      </c>
      <c r="H19" t="inlineStr">
        <is>
          <t>No</t>
        </is>
      </c>
      <c r="I19" t="inlineStr"/>
      <c r="J19" t="inlineStr">
        <is>
          <t>Approved Time on the Nostro Transfer View.</t>
        </is>
      </c>
      <c r="K19" t="inlineStr"/>
      <c r="M19" t="inlineStr">
        <is>
          <t>Generated</t>
        </is>
      </c>
    </row>
    <row r="20">
      <c r="A20" t="inlineStr">
        <is>
          <t>Nostro Transfer View</t>
        </is>
      </c>
      <c r="B20" t="n">
        <v>16</v>
      </c>
      <c r="C20" t="inlineStr">
        <is>
          <t>Approved By</t>
        </is>
      </c>
      <c r="D20" t="inlineStr">
        <is>
          <t>Text</t>
        </is>
      </c>
      <c r="F20" t="inlineStr">
        <is>
          <t>Text</t>
        </is>
      </c>
      <c r="G20" t="inlineStr">
        <is>
          <t>Yes</t>
        </is>
      </c>
      <c r="H20" t="inlineStr">
        <is>
          <t>No</t>
        </is>
      </c>
      <c r="I20" t="inlineStr"/>
      <c r="J20" t="inlineStr">
        <is>
          <t>Approved By on the Nostro Transfer View.</t>
        </is>
      </c>
      <c r="K20" t="inlineStr"/>
      <c r="M20" t="inlineStr">
        <is>
          <t>Generated</t>
        </is>
      </c>
    </row>
    <row r="21">
      <c r="A21" t="inlineStr">
        <is>
          <t>Nostro Transfer View</t>
        </is>
      </c>
      <c r="B21" t="n">
        <v>17</v>
      </c>
      <c r="C21" t="inlineStr">
        <is>
          <t>Transfer Status</t>
        </is>
      </c>
      <c r="D21" t="inlineStr">
        <is>
          <t>Text</t>
        </is>
      </c>
      <c r="F21" t="inlineStr">
        <is>
          <t>Text</t>
        </is>
      </c>
      <c r="G21" t="inlineStr">
        <is>
          <t>No</t>
        </is>
      </c>
      <c r="H21" t="inlineStr">
        <is>
          <t>No</t>
        </is>
      </c>
      <c r="I21" t="inlineStr">
        <is>
          <t>LEDGER_OR_CASHFLOW_RECEIVED, LEDGER_RECEIVED, CASHFLOW_RECEIVED, PENDING_APPROVAL, FAILED</t>
        </is>
      </c>
      <c r="J21" t="inlineStr">
        <is>
          <t>Transfer Status on the Nostro Transfer View.</t>
        </is>
      </c>
      <c r="K21" t="inlineStr"/>
      <c r="M21" t="inlineStr">
        <is>
          <t>Generated</t>
        </is>
      </c>
    </row>
    <row r="22">
      <c r="A22" t="inlineStr">
        <is>
          <t>Nostro Transfer View</t>
        </is>
      </c>
      <c r="B22" t="n">
        <v>18</v>
      </c>
      <c r="C22" t="inlineStr">
        <is>
          <t>Message Status</t>
        </is>
      </c>
      <c r="D22" t="inlineStr">
        <is>
          <t>Text</t>
        </is>
      </c>
      <c r="F22" t="inlineStr">
        <is>
          <t>Text</t>
        </is>
      </c>
      <c r="G22" t="inlineStr">
        <is>
          <t>No</t>
        </is>
      </c>
      <c r="H22" t="inlineStr">
        <is>
          <t>No</t>
        </is>
      </c>
      <c r="I22" t="inlineStr">
        <is>
          <t>SYRM_ACKNOWLEDGED, SYRM_PENDING, SYRM_REJECTED</t>
        </is>
      </c>
      <c r="J22" t="inlineStr">
        <is>
          <t>Message Status on the Nostro Transfer View.</t>
        </is>
      </c>
      <c r="K22" t="inlineStr"/>
      <c r="M22" t="inlineStr">
        <is>
          <t>Generated</t>
        </is>
      </c>
    </row>
    <row r="23">
      <c r="A23" t="inlineStr">
        <is>
          <t>Nostro Transfer View</t>
        </is>
      </c>
      <c r="B23" t="n">
        <v>19</v>
      </c>
      <c r="C23" t="inlineStr">
        <is>
          <t>Actions</t>
        </is>
      </c>
      <c r="D23" t="inlineStr">
        <is>
          <t>Text</t>
        </is>
      </c>
      <c r="F23" t="inlineStr">
        <is>
          <t>Text</t>
        </is>
      </c>
      <c r="G23" t="inlineStr">
        <is>
          <t>No</t>
        </is>
      </c>
      <c r="H23" t="inlineStr">
        <is>
          <t>No</t>
        </is>
      </c>
      <c r="I23" t="inlineStr"/>
      <c r="J23" t="inlineStr">
        <is>
          <t>Actions on the Nostro Transfer View.</t>
        </is>
      </c>
      <c r="K23" t="inlineStr"/>
      <c r="M23" t="inlineStr">
        <is>
          <t>Generated</t>
        </is>
      </c>
    </row>
    <row r="24">
      <c r="A24" t="inlineStr">
        <is>
          <t>Client View</t>
        </is>
      </c>
      <c r="B24" t="n">
        <v>1</v>
      </c>
      <c r="C24" t="inlineStr">
        <is>
          <t>Legal Entity</t>
        </is>
      </c>
      <c r="D24" t="inlineStr">
        <is>
          <t>Text</t>
        </is>
      </c>
      <c r="F24" t="inlineStr">
        <is>
          <t>Text</t>
        </is>
      </c>
      <c r="G24" t="inlineStr">
        <is>
          <t>No</t>
        </is>
      </c>
      <c r="H24" t="inlineStr">
        <is>
          <t>No</t>
        </is>
      </c>
      <c r="I24" t="inlineStr"/>
      <c r="J24" t="inlineStr">
        <is>
          <t>Legal Entity on the Client View.</t>
        </is>
      </c>
      <c r="K24" t="inlineStr"/>
      <c r="M24" t="inlineStr">
        <is>
          <t>Generated</t>
        </is>
      </c>
    </row>
    <row r="25">
      <c r="A25" t="inlineStr">
        <is>
          <t>Client View</t>
        </is>
      </c>
      <c r="B25" t="n">
        <v>2</v>
      </c>
      <c r="C25" t="inlineStr">
        <is>
          <t>Currency</t>
        </is>
      </c>
      <c r="D25" t="inlineStr">
        <is>
          <t>Text</t>
        </is>
      </c>
      <c r="F25" t="inlineStr">
        <is>
          <t>Text</t>
        </is>
      </c>
      <c r="G25" t="inlineStr">
        <is>
          <t>No</t>
        </is>
      </c>
      <c r="H25" t="inlineStr">
        <is>
          <t>No</t>
        </is>
      </c>
      <c r="I25" t="inlineStr">
        <is>
          <t>ISO 4217 currency code</t>
        </is>
      </c>
      <c r="J25" t="inlineStr">
        <is>
          <t>Currency on the Client View.</t>
        </is>
      </c>
      <c r="K25" t="inlineStr"/>
      <c r="M25" t="inlineStr">
        <is>
          <t>Generated</t>
        </is>
      </c>
    </row>
    <row r="26">
      <c r="A26" t="inlineStr">
        <is>
          <t>Client View</t>
        </is>
      </c>
      <c r="B26" t="n">
        <v>3</v>
      </c>
      <c r="C26" t="inlineStr">
        <is>
          <t>Account</t>
        </is>
      </c>
      <c r="D26" t="inlineStr">
        <is>
          <t>Text</t>
        </is>
      </c>
      <c r="F26" t="inlineStr">
        <is>
          <t>Text</t>
        </is>
      </c>
      <c r="G26" t="inlineStr">
        <is>
          <t>No</t>
        </is>
      </c>
      <c r="H26" t="inlineStr">
        <is>
          <t>No</t>
        </is>
      </c>
      <c r="I26" t="inlineStr"/>
      <c r="J26" t="inlineStr">
        <is>
          <t>Account on the Client View.</t>
        </is>
      </c>
      <c r="K26" t="inlineStr"/>
      <c r="M26" t="inlineStr">
        <is>
          <t>Generated</t>
        </is>
      </c>
    </row>
    <row r="27">
      <c r="A27" t="inlineStr">
        <is>
          <t>Client View</t>
        </is>
      </c>
      <c r="B27" t="n">
        <v>4</v>
      </c>
      <c r="C27" t="inlineStr">
        <is>
          <t>Sort Code</t>
        </is>
      </c>
      <c r="D27" t="inlineStr">
        <is>
          <t>Text</t>
        </is>
      </c>
      <c r="F27" t="inlineStr">
        <is>
          <t>Text</t>
        </is>
      </c>
      <c r="G27" t="inlineStr">
        <is>
          <t>No</t>
        </is>
      </c>
      <c r="H27" t="inlineStr">
        <is>
          <t>No</t>
        </is>
      </c>
      <c r="I27" t="inlineStr"/>
      <c r="J27" t="inlineStr">
        <is>
          <t>Sort Code on the Client View.</t>
        </is>
      </c>
      <c r="K27" t="inlineStr"/>
      <c r="M27" t="inlineStr">
        <is>
          <t>Generated</t>
        </is>
      </c>
    </row>
    <row r="28">
      <c r="A28" t="inlineStr">
        <is>
          <t>Client View</t>
        </is>
      </c>
      <c r="B28" t="n">
        <v>5</v>
      </c>
      <c r="C28" t="inlineStr">
        <is>
          <t>Account Name</t>
        </is>
      </c>
      <c r="D28" t="inlineStr">
        <is>
          <t>Text</t>
        </is>
      </c>
      <c r="F28" t="inlineStr">
        <is>
          <t>Text</t>
        </is>
      </c>
      <c r="G28" t="inlineStr">
        <is>
          <t>No</t>
        </is>
      </c>
      <c r="H28" t="inlineStr">
        <is>
          <t>No</t>
        </is>
      </c>
      <c r="I28" t="inlineStr"/>
      <c r="J28" t="inlineStr">
        <is>
          <t>Account Name on the Client View.</t>
        </is>
      </c>
      <c r="K28" t="inlineStr"/>
      <c r="M28" t="inlineStr">
        <is>
          <t>Generated</t>
        </is>
      </c>
    </row>
    <row r="29">
      <c r="A29" t="inlineStr">
        <is>
          <t>Client View</t>
        </is>
      </c>
      <c r="B29" t="n">
        <v>6</v>
      </c>
      <c r="C29" t="inlineStr">
        <is>
          <t>Value Date</t>
        </is>
      </c>
      <c r="D29" t="inlineStr">
        <is>
          <t>Date</t>
        </is>
      </c>
      <c r="F29" t="inlineStr">
        <is>
          <t>Text</t>
        </is>
      </c>
      <c r="G29" t="inlineStr">
        <is>
          <t>No</t>
        </is>
      </c>
      <c r="H29" t="inlineStr">
        <is>
          <t>No</t>
        </is>
      </c>
      <c r="I29" t="inlineStr"/>
      <c r="J29" t="inlineStr">
        <is>
          <t>Value Date on the Client View.</t>
        </is>
      </c>
      <c r="K29" t="inlineStr"/>
      <c r="M29" t="inlineStr">
        <is>
          <t>Generated</t>
        </is>
      </c>
    </row>
    <row r="30">
      <c r="A30" t="inlineStr">
        <is>
          <t>Client View</t>
        </is>
      </c>
      <c r="B30" t="n">
        <v>7</v>
      </c>
      <c r="C30" t="inlineStr">
        <is>
          <t>Start of Day Balance (Local)</t>
        </is>
      </c>
      <c r="D30" t="inlineStr">
        <is>
          <t>Decimal</t>
        </is>
      </c>
      <c r="F30" t="inlineStr">
        <is>
          <t>#,##0.000</t>
        </is>
      </c>
      <c r="G30" t="inlineStr">
        <is>
          <t>No</t>
        </is>
      </c>
      <c r="H30" t="inlineStr">
        <is>
          <t>No</t>
        </is>
      </c>
      <c r="I30" t="inlineStr"/>
      <c r="J30" t="inlineStr">
        <is>
          <t>Start of Day Balance (Local) on the Client View.</t>
        </is>
      </c>
      <c r="K30" t="inlineStr"/>
      <c r="M30" t="inlineStr">
        <is>
          <t>Generated</t>
        </is>
      </c>
    </row>
    <row r="31">
      <c r="A31" t="inlineStr">
        <is>
          <t>Client View</t>
        </is>
      </c>
      <c r="B31" t="n">
        <v>8</v>
      </c>
      <c r="C31" t="inlineStr">
        <is>
          <t>Credits (Local)</t>
        </is>
      </c>
      <c r="D31" t="inlineStr">
        <is>
          <t>Decimal</t>
        </is>
      </c>
      <c r="F31" t="inlineStr">
        <is>
          <t>#,##0.000</t>
        </is>
      </c>
      <c r="G31" t="inlineStr">
        <is>
          <t>No</t>
        </is>
      </c>
      <c r="H31" t="inlineStr">
        <is>
          <t>No</t>
        </is>
      </c>
      <c r="I31" t="inlineStr"/>
      <c r="J31" t="inlineStr">
        <is>
          <t>Credits (Local) on the Client View.</t>
        </is>
      </c>
      <c r="K31" t="inlineStr"/>
      <c r="M31" t="inlineStr">
        <is>
          <t>Generated</t>
        </is>
      </c>
    </row>
    <row r="32">
      <c r="A32" t="inlineStr">
        <is>
          <t>Client View</t>
        </is>
      </c>
      <c r="B32" t="n">
        <v>9</v>
      </c>
      <c r="C32" t="inlineStr">
        <is>
          <t>Debits (Local)</t>
        </is>
      </c>
      <c r="D32" t="inlineStr">
        <is>
          <t>Decimal</t>
        </is>
      </c>
      <c r="F32" t="inlineStr">
        <is>
          <t>#,##0.000</t>
        </is>
      </c>
      <c r="G32" t="inlineStr">
        <is>
          <t>No</t>
        </is>
      </c>
      <c r="H32" t="inlineStr">
        <is>
          <t>No</t>
        </is>
      </c>
      <c r="I32" t="inlineStr"/>
      <c r="J32" t="inlineStr">
        <is>
          <t>Debits (Local) on the Client View.</t>
        </is>
      </c>
      <c r="K32" t="inlineStr"/>
      <c r="M32" t="inlineStr">
        <is>
          <t>Generated</t>
        </is>
      </c>
    </row>
    <row r="33">
      <c r="A33" t="inlineStr">
        <is>
          <t>Client View</t>
        </is>
      </c>
      <c r="B33" t="n">
        <v>10</v>
      </c>
      <c r="C33" t="inlineStr">
        <is>
          <t>Calculated Balance (Local)</t>
        </is>
      </c>
      <c r="D33" t="inlineStr">
        <is>
          <t>Decimal</t>
        </is>
      </c>
      <c r="F33" t="inlineStr">
        <is>
          <t>#,##0.000</t>
        </is>
      </c>
      <c r="G33" t="inlineStr">
        <is>
          <t>No</t>
        </is>
      </c>
      <c r="H33" t="inlineStr">
        <is>
          <t>Yes</t>
        </is>
      </c>
      <c r="I33" t="inlineStr"/>
      <c r="J33" t="inlineStr">
        <is>
          <t>Calculated Balance (Local) on the Client View.</t>
        </is>
      </c>
      <c r="K33">
        <f>Start of Day Balance + Credits + Debits</f>
        <v/>
      </c>
      <c r="M33" t="inlineStr">
        <is>
          <t>Generated</t>
        </is>
      </c>
    </row>
    <row r="34">
      <c r="A34" t="inlineStr">
        <is>
          <t>Client View</t>
        </is>
      </c>
      <c r="B34" t="n">
        <v>11</v>
      </c>
      <c r="C34" t="inlineStr">
        <is>
          <t>Swing (Local)</t>
        </is>
      </c>
      <c r="D34" t="inlineStr">
        <is>
          <t>Decimal</t>
        </is>
      </c>
      <c r="F34" t="inlineStr">
        <is>
          <t>#,##0.000</t>
        </is>
      </c>
      <c r="G34" t="inlineStr">
        <is>
          <t>No</t>
        </is>
      </c>
      <c r="H34" t="inlineStr">
        <is>
          <t>Yes</t>
        </is>
      </c>
      <c r="I34" t="inlineStr"/>
      <c r="J34" t="inlineStr">
        <is>
          <t>Swing (Local) on the Client View.</t>
        </is>
      </c>
      <c r="K34">
        <f>Calculated Balance - Start of Day Balance</f>
        <v/>
      </c>
      <c r="M34" t="inlineStr">
        <is>
          <t>Generated</t>
        </is>
      </c>
    </row>
    <row r="35">
      <c r="A35" t="inlineStr">
        <is>
          <t>Client View</t>
        </is>
      </c>
      <c r="B35" t="n">
        <v>12</v>
      </c>
      <c r="C35" t="inlineStr">
        <is>
          <t>Last Transaction Received</t>
        </is>
      </c>
      <c r="D35" t="inlineStr">
        <is>
          <t>Text</t>
        </is>
      </c>
      <c r="F35" t="inlineStr">
        <is>
          <t>Text</t>
        </is>
      </c>
      <c r="G35" t="inlineStr">
        <is>
          <t>Yes</t>
        </is>
      </c>
      <c r="H35" t="inlineStr">
        <is>
          <t>No</t>
        </is>
      </c>
      <c r="I35" t="inlineStr"/>
      <c r="J35" t="inlineStr">
        <is>
          <t>Last Transaction Received on the Client View.</t>
        </is>
      </c>
      <c r="K35" t="inlineStr"/>
      <c r="M35" t="inlineStr">
        <is>
          <t>Generated</t>
        </is>
      </c>
    </row>
    <row r="36">
      <c r="A36" t="inlineStr">
        <is>
          <t>Client View</t>
        </is>
      </c>
      <c r="B36" t="n">
        <v>13</v>
      </c>
      <c r="C36" t="inlineStr">
        <is>
          <t>EOD Balance (Local)</t>
        </is>
      </c>
      <c r="D36" t="inlineStr">
        <is>
          <t>Decimal</t>
        </is>
      </c>
      <c r="F36" t="inlineStr">
        <is>
          <t>#,##0.000</t>
        </is>
      </c>
      <c r="G36" t="inlineStr">
        <is>
          <t>No</t>
        </is>
      </c>
      <c r="H36" t="inlineStr">
        <is>
          <t>No</t>
        </is>
      </c>
      <c r="I36" t="inlineStr"/>
      <c r="J36" t="inlineStr">
        <is>
          <t>EOD Balance (Local) on the Client View.</t>
        </is>
      </c>
      <c r="K36" t="inlineStr"/>
      <c r="M36" t="inlineStr">
        <is>
          <t>Generated</t>
        </is>
      </c>
    </row>
    <row r="37">
      <c r="A37" t="inlineStr">
        <is>
          <t>Client View</t>
        </is>
      </c>
      <c r="B37" t="n">
        <v>14</v>
      </c>
      <c r="C37" t="inlineStr">
        <is>
          <t>Difference (Local)</t>
        </is>
      </c>
      <c r="D37" t="inlineStr">
        <is>
          <t>Decimal</t>
        </is>
      </c>
      <c r="F37" t="inlineStr">
        <is>
          <t>#,##0.000</t>
        </is>
      </c>
      <c r="G37" t="inlineStr">
        <is>
          <t>No</t>
        </is>
      </c>
      <c r="H37" t="inlineStr">
        <is>
          <t>Yes</t>
        </is>
      </c>
      <c r="I37" t="inlineStr"/>
      <c r="J37" t="inlineStr">
        <is>
          <t>Difference (Local) on the Client View.</t>
        </is>
      </c>
      <c r="K37">
        <f>Calculated Balance - EOD Balance</f>
        <v/>
      </c>
      <c r="M37" t="inlineStr">
        <is>
          <t>Generated</t>
        </is>
      </c>
    </row>
    <row r="38">
      <c r="A38" t="inlineStr">
        <is>
          <t>Client View</t>
        </is>
      </c>
      <c r="B38" t="n">
        <v>15</v>
      </c>
      <c r="C38" t="inlineStr">
        <is>
          <t>Match</t>
        </is>
      </c>
      <c r="D38" t="inlineStr">
        <is>
          <t>Text</t>
        </is>
      </c>
      <c r="F38" t="inlineStr">
        <is>
          <t>Text</t>
        </is>
      </c>
      <c r="G38" t="inlineStr">
        <is>
          <t>No</t>
        </is>
      </c>
      <c r="H38" t="inlineStr">
        <is>
          <t>Yes</t>
        </is>
      </c>
      <c r="I38" t="inlineStr">
        <is>
          <t>tick or cross</t>
        </is>
      </c>
      <c r="J38" t="inlineStr">
        <is>
          <t>Match on the Client View.</t>
        </is>
      </c>
      <c r="K38">
        <f>IF(ABS(Difference)&lt;=Tolerance,"tick","cross")</f>
        <v/>
      </c>
      <c r="M38" t="inlineStr">
        <is>
          <t>Generated</t>
        </is>
      </c>
    </row>
    <row r="39">
      <c r="A39" t="inlineStr">
        <is>
          <t>Client View</t>
        </is>
      </c>
      <c r="B39" t="n">
        <v>16</v>
      </c>
      <c r="C39" t="inlineStr">
        <is>
          <t>Start of Day Balance (Display)</t>
        </is>
      </c>
      <c r="D39" t="inlineStr">
        <is>
          <t>Decimal</t>
        </is>
      </c>
      <c r="F39" t="inlineStr">
        <is>
          <t>#,##0.000</t>
        </is>
      </c>
      <c r="G39" t="inlineStr">
        <is>
          <t>No</t>
        </is>
      </c>
      <c r="H39" t="inlineStr">
        <is>
          <t>Yes</t>
        </is>
      </c>
      <c r="I39" t="inlineStr"/>
      <c r="J39" t="inlineStr">
        <is>
          <t>Start of Day Balance (Display) on the Client View.</t>
        </is>
      </c>
      <c r="K39">
        <f>Start of Day Balance (Local) * FX rate</f>
        <v/>
      </c>
      <c r="M39" t="inlineStr">
        <is>
          <t>Generated</t>
        </is>
      </c>
    </row>
    <row r="40">
      <c r="A40" t="inlineStr">
        <is>
          <t>Client View</t>
        </is>
      </c>
      <c r="B40" t="n">
        <v>17</v>
      </c>
      <c r="C40" t="inlineStr">
        <is>
          <t>Credits (Display)</t>
        </is>
      </c>
      <c r="D40" t="inlineStr">
        <is>
          <t>Decimal</t>
        </is>
      </c>
      <c r="F40" t="inlineStr">
        <is>
          <t>#,##0.000</t>
        </is>
      </c>
      <c r="G40" t="inlineStr">
        <is>
          <t>No</t>
        </is>
      </c>
      <c r="H40" t="inlineStr">
        <is>
          <t>Yes</t>
        </is>
      </c>
      <c r="I40" t="inlineStr"/>
      <c r="J40" t="inlineStr">
        <is>
          <t>Credits (Display) on the Client View.</t>
        </is>
      </c>
      <c r="K40">
        <f>Credits (Local) * FX rate</f>
        <v/>
      </c>
      <c r="M40" t="inlineStr">
        <is>
          <t>Generated</t>
        </is>
      </c>
    </row>
    <row r="41">
      <c r="A41" t="inlineStr">
        <is>
          <t>Client View</t>
        </is>
      </c>
      <c r="B41" t="n">
        <v>18</v>
      </c>
      <c r="C41" t="inlineStr">
        <is>
          <t>Debits (Display)</t>
        </is>
      </c>
      <c r="D41" t="inlineStr">
        <is>
          <t>Decimal</t>
        </is>
      </c>
      <c r="F41" t="inlineStr">
        <is>
          <t>#,##0.000</t>
        </is>
      </c>
      <c r="G41" t="inlineStr">
        <is>
          <t>No</t>
        </is>
      </c>
      <c r="H41" t="inlineStr">
        <is>
          <t>Yes</t>
        </is>
      </c>
      <c r="I41" t="inlineStr"/>
      <c r="J41" t="inlineStr">
        <is>
          <t>Debits (Display) on the Client View.</t>
        </is>
      </c>
      <c r="K41">
        <f>Debits (Local) * FX rate</f>
        <v/>
      </c>
      <c r="M41" t="inlineStr">
        <is>
          <t>Generated</t>
        </is>
      </c>
    </row>
    <row r="42">
      <c r="A42" t="inlineStr">
        <is>
          <t>Client View</t>
        </is>
      </c>
      <c r="B42" t="n">
        <v>19</v>
      </c>
      <c r="C42" t="inlineStr">
        <is>
          <t>Calculated Balance (Display)</t>
        </is>
      </c>
      <c r="D42" t="inlineStr">
        <is>
          <t>Decimal</t>
        </is>
      </c>
      <c r="F42" t="inlineStr">
        <is>
          <t>#,##0.000</t>
        </is>
      </c>
      <c r="G42" t="inlineStr">
        <is>
          <t>No</t>
        </is>
      </c>
      <c r="H42" t="inlineStr">
        <is>
          <t>Yes</t>
        </is>
      </c>
      <c r="I42" t="inlineStr"/>
      <c r="J42" t="inlineStr">
        <is>
          <t>Calculated Balance (Display) on the Client View.</t>
        </is>
      </c>
      <c r="K42">
        <f>Calculated Balance (Local) * FX rate</f>
        <v/>
      </c>
      <c r="M42" t="inlineStr">
        <is>
          <t>Generated</t>
        </is>
      </c>
    </row>
    <row r="43">
      <c r="A43" t="inlineStr">
        <is>
          <t>Client View</t>
        </is>
      </c>
      <c r="B43" t="n">
        <v>20</v>
      </c>
      <c r="C43" t="inlineStr">
        <is>
          <t>Swing (Display)</t>
        </is>
      </c>
      <c r="D43" t="inlineStr">
        <is>
          <t>Decimal</t>
        </is>
      </c>
      <c r="F43" t="inlineStr">
        <is>
          <t>#,##0.000</t>
        </is>
      </c>
      <c r="G43" t="inlineStr">
        <is>
          <t>No</t>
        </is>
      </c>
      <c r="H43" t="inlineStr">
        <is>
          <t>Yes</t>
        </is>
      </c>
      <c r="I43" t="inlineStr"/>
      <c r="J43" t="inlineStr">
        <is>
          <t>Swing (Display) on the Client View.</t>
        </is>
      </c>
      <c r="K43">
        <f>Swing (Local) * FX rate</f>
        <v/>
      </c>
      <c r="M43" t="inlineStr">
        <is>
          <t>Generated</t>
        </is>
      </c>
    </row>
    <row r="44">
      <c r="A44" t="inlineStr">
        <is>
          <t>Business Ledger Transaction View</t>
        </is>
      </c>
      <c r="B44" t="n">
        <v>1</v>
      </c>
      <c r="C44" t="inlineStr">
        <is>
          <t>Account</t>
        </is>
      </c>
      <c r="D44" t="inlineStr">
        <is>
          <t>Text</t>
        </is>
      </c>
      <c r="F44" t="inlineStr">
        <is>
          <t>Text</t>
        </is>
      </c>
      <c r="G44" t="inlineStr">
        <is>
          <t>No</t>
        </is>
      </c>
      <c r="H44" t="inlineStr">
        <is>
          <t>No</t>
        </is>
      </c>
      <c r="I44" t="inlineStr"/>
      <c r="J44" t="inlineStr">
        <is>
          <t>Account on the Business Ledger Transaction View.</t>
        </is>
      </c>
      <c r="K44" t="inlineStr"/>
      <c r="M44" t="inlineStr">
        <is>
          <t>Generated</t>
        </is>
      </c>
    </row>
    <row r="45">
      <c r="A45" t="inlineStr">
        <is>
          <t>Business Ledger Transaction View</t>
        </is>
      </c>
      <c r="B45" t="n">
        <v>2</v>
      </c>
      <c r="C45" t="inlineStr">
        <is>
          <t>Cashflow Type</t>
        </is>
      </c>
      <c r="D45" t="inlineStr">
        <is>
          <t>Text</t>
        </is>
      </c>
      <c r="F45" t="inlineStr">
        <is>
          <t>Text</t>
        </is>
      </c>
      <c r="G45" t="inlineStr">
        <is>
          <t>No</t>
        </is>
      </c>
      <c r="H45" t="inlineStr">
        <is>
          <t>No</t>
        </is>
      </c>
      <c r="I45" t="inlineStr"/>
      <c r="J45" t="inlineStr">
        <is>
          <t>Cashflow Type on the Business Ledger Transaction View.</t>
        </is>
      </c>
      <c r="K45" t="inlineStr"/>
      <c r="M45" t="inlineStr">
        <is>
          <t>Generated</t>
        </is>
      </c>
    </row>
    <row r="46">
      <c r="A46" t="inlineStr">
        <is>
          <t>Business Ledger Transaction View</t>
        </is>
      </c>
      <c r="B46" t="n">
        <v>3</v>
      </c>
      <c r="C46" t="inlineStr">
        <is>
          <t>Sub Branch</t>
        </is>
      </c>
      <c r="D46" t="inlineStr">
        <is>
          <t>Text</t>
        </is>
      </c>
      <c r="F46" t="inlineStr">
        <is>
          <t>Text</t>
        </is>
      </c>
      <c r="G46" t="inlineStr">
        <is>
          <t>No</t>
        </is>
      </c>
      <c r="H46" t="inlineStr">
        <is>
          <t>No</t>
        </is>
      </c>
      <c r="I46" t="inlineStr"/>
      <c r="J46" t="inlineStr">
        <is>
          <t>Sub Branch on the Business Ledger Transaction View.</t>
        </is>
      </c>
      <c r="K46" t="inlineStr"/>
      <c r="M46" t="inlineStr">
        <is>
          <t>Generated</t>
        </is>
      </c>
    </row>
    <row r="47">
      <c r="A47" t="inlineStr">
        <is>
          <t>Business Ledger Transaction View</t>
        </is>
      </c>
      <c r="B47" t="n">
        <v>4</v>
      </c>
      <c r="C47" t="inlineStr">
        <is>
          <t>Value Date</t>
        </is>
      </c>
      <c r="D47" t="inlineStr">
        <is>
          <t>Date</t>
        </is>
      </c>
      <c r="F47" t="inlineStr">
        <is>
          <t>Text</t>
        </is>
      </c>
      <c r="G47" t="inlineStr">
        <is>
          <t>No</t>
        </is>
      </c>
      <c r="H47" t="inlineStr">
        <is>
          <t>No</t>
        </is>
      </c>
      <c r="I47" t="inlineStr"/>
      <c r="J47" t="inlineStr">
        <is>
          <t>Value Date on the Business Ledger Transaction View.</t>
        </is>
      </c>
      <c r="K47" t="inlineStr"/>
      <c r="M47" t="inlineStr">
        <is>
          <t>Generated</t>
        </is>
      </c>
    </row>
    <row r="48">
      <c r="A48" t="inlineStr">
        <is>
          <t>Business Ledger Transaction View</t>
        </is>
      </c>
      <c r="B48" t="n">
        <v>5</v>
      </c>
      <c r="C48" t="inlineStr">
        <is>
          <t>Debit/Credit Mark</t>
        </is>
      </c>
      <c r="D48" t="inlineStr">
        <is>
          <t>Text</t>
        </is>
      </c>
      <c r="F48" t="inlineStr">
        <is>
          <t>Text</t>
        </is>
      </c>
      <c r="G48" t="inlineStr">
        <is>
          <t>No</t>
        </is>
      </c>
      <c r="H48" t="inlineStr">
        <is>
          <t>No</t>
        </is>
      </c>
      <c r="I48" t="inlineStr">
        <is>
          <t>DR, CR</t>
        </is>
      </c>
      <c r="J48" t="inlineStr">
        <is>
          <t>Debit/Credit Mark on the Business Ledger Transaction View.</t>
        </is>
      </c>
      <c r="K48" t="inlineStr"/>
      <c r="M48" t="inlineStr">
        <is>
          <t>Generated</t>
        </is>
      </c>
    </row>
    <row r="49">
      <c r="A49" t="inlineStr">
        <is>
          <t>Business Ledger Transaction View</t>
        </is>
      </c>
      <c r="B49" t="n">
        <v>6</v>
      </c>
      <c r="C49" t="inlineStr">
        <is>
          <t>CCY (Local)</t>
        </is>
      </c>
      <c r="D49" t="inlineStr">
        <is>
          <t>Text</t>
        </is>
      </c>
      <c r="F49" t="inlineStr">
        <is>
          <t>Text</t>
        </is>
      </c>
      <c r="G49" t="inlineStr">
        <is>
          <t>No</t>
        </is>
      </c>
      <c r="H49" t="inlineStr">
        <is>
          <t>No</t>
        </is>
      </c>
      <c r="I49" t="inlineStr">
        <is>
          <t>ISO 4217 currency code</t>
        </is>
      </c>
      <c r="J49" t="inlineStr">
        <is>
          <t>CCY (Local) on the Business Ledger Transaction View.</t>
        </is>
      </c>
      <c r="K49" t="inlineStr"/>
      <c r="M49" t="inlineStr">
        <is>
          <t>Generated</t>
        </is>
      </c>
    </row>
    <row r="50">
      <c r="A50" t="inlineStr">
        <is>
          <t>Business Ledger Transaction View</t>
        </is>
      </c>
      <c r="B50" t="n">
        <v>7</v>
      </c>
      <c r="C50" t="inlineStr">
        <is>
          <t>Amount (Local)</t>
        </is>
      </c>
      <c r="D50" t="inlineStr">
        <is>
          <t>Decimal</t>
        </is>
      </c>
      <c r="F50" t="inlineStr">
        <is>
          <t>#,##0.000</t>
        </is>
      </c>
      <c r="G50" t="inlineStr">
        <is>
          <t>No</t>
        </is>
      </c>
      <c r="H50" t="inlineStr">
        <is>
          <t>No</t>
        </is>
      </c>
      <c r="I50" t="inlineStr"/>
      <c r="J50" t="inlineStr">
        <is>
          <t>Amount (Local) on the Business Ledger Transaction View.</t>
        </is>
      </c>
      <c r="K50" t="inlineStr"/>
      <c r="M50" t="inlineStr">
        <is>
          <t>Generated</t>
        </is>
      </c>
    </row>
    <row r="51">
      <c r="A51" t="inlineStr">
        <is>
          <t>Business Ledger Transaction View</t>
        </is>
      </c>
      <c r="B51" t="n">
        <v>8</v>
      </c>
      <c r="C51" t="inlineStr">
        <is>
          <t>CCY (Display)</t>
        </is>
      </c>
      <c r="D51" t="inlineStr">
        <is>
          <t>Text</t>
        </is>
      </c>
      <c r="F51" t="inlineStr">
        <is>
          <t>Text</t>
        </is>
      </c>
      <c r="G51" t="inlineStr">
        <is>
          <t>No</t>
        </is>
      </c>
      <c r="H51" t="inlineStr">
        <is>
          <t>No</t>
        </is>
      </c>
      <c r="I51" t="inlineStr">
        <is>
          <t>GBP</t>
        </is>
      </c>
      <c r="J51" t="inlineStr">
        <is>
          <t>CCY (Display) on the Business Ledger Transaction View.</t>
        </is>
      </c>
      <c r="K51" t="inlineStr"/>
      <c r="M51" t="inlineStr">
        <is>
          <t>Generated</t>
        </is>
      </c>
    </row>
    <row r="52">
      <c r="A52" t="inlineStr">
        <is>
          <t>Business Ledger Transaction View</t>
        </is>
      </c>
      <c r="B52" t="n">
        <v>9</v>
      </c>
      <c r="C52" t="inlineStr">
        <is>
          <t>Amount (Display)</t>
        </is>
      </c>
      <c r="D52" t="inlineStr">
        <is>
          <t>Decimal</t>
        </is>
      </c>
      <c r="F52" t="inlineStr">
        <is>
          <t>#,##0.000</t>
        </is>
      </c>
      <c r="G52" t="inlineStr">
        <is>
          <t>No</t>
        </is>
      </c>
      <c r="H52" t="inlineStr">
        <is>
          <t>Yes</t>
        </is>
      </c>
      <c r="I52" t="inlineStr"/>
      <c r="J52" t="inlineStr">
        <is>
          <t>Amount (Display) on the Business Ledger Transaction View.</t>
        </is>
      </c>
      <c r="K52">
        <f>Amount (Local) * FX rate to display currency</f>
        <v/>
      </c>
      <c r="M52" t="inlineStr">
        <is>
          <t>Generated</t>
        </is>
      </c>
    </row>
    <row r="53">
      <c r="A53" t="inlineStr">
        <is>
          <t>Business Ledger Transaction View</t>
        </is>
      </c>
      <c r="B53" t="n">
        <v>10</v>
      </c>
      <c r="C53" t="inlineStr">
        <is>
          <t>Transaction Timestamp</t>
        </is>
      </c>
      <c r="D53" t="inlineStr">
        <is>
          <t>DateTime</t>
        </is>
      </c>
      <c r="F53" t="inlineStr">
        <is>
          <t>Text</t>
        </is>
      </c>
      <c r="G53" t="inlineStr">
        <is>
          <t>No</t>
        </is>
      </c>
      <c r="H53" t="inlineStr">
        <is>
          <t>No</t>
        </is>
      </c>
      <c r="I53" t="inlineStr"/>
      <c r="J53" t="inlineStr">
        <is>
          <t>Transaction Timestamp on the Business Ledger Transaction View.</t>
        </is>
      </c>
      <c r="K53" t="inlineStr"/>
      <c r="M53" t="inlineStr">
        <is>
          <t>Generated</t>
        </is>
      </c>
    </row>
    <row r="54">
      <c r="A54" t="inlineStr">
        <is>
          <t>Business Ledger Transaction View</t>
        </is>
      </c>
      <c r="B54" t="n">
        <v>11</v>
      </c>
      <c r="C54" t="inlineStr">
        <is>
          <t>Transaction Reference</t>
        </is>
      </c>
      <c r="D54" t="inlineStr">
        <is>
          <t>Text</t>
        </is>
      </c>
      <c r="F54" t="inlineStr">
        <is>
          <t>Text</t>
        </is>
      </c>
      <c r="G54" t="inlineStr">
        <is>
          <t>No</t>
        </is>
      </c>
      <c r="H54" t="inlineStr">
        <is>
          <t>No</t>
        </is>
      </c>
      <c r="I54" t="inlineStr"/>
      <c r="J54" t="inlineStr">
        <is>
          <t>Transaction Reference on the Business Ledger Transaction View.</t>
        </is>
      </c>
      <c r="K54" t="inlineStr"/>
      <c r="M54" t="inlineStr">
        <is>
          <t>Generated</t>
        </is>
      </c>
    </row>
    <row r="55">
      <c r="A55" t="inlineStr">
        <is>
          <t>Business Ledger Transaction View</t>
        </is>
      </c>
      <c r="B55" t="n">
        <v>12</v>
      </c>
      <c r="C55" t="inlineStr">
        <is>
          <t>Ledger Account</t>
        </is>
      </c>
      <c r="D55" t="inlineStr">
        <is>
          <t>Text</t>
        </is>
      </c>
      <c r="F55" t="inlineStr">
        <is>
          <t>Text</t>
        </is>
      </c>
      <c r="G55" t="inlineStr">
        <is>
          <t>No</t>
        </is>
      </c>
      <c r="H55" t="inlineStr">
        <is>
          <t>No</t>
        </is>
      </c>
      <c r="I55" t="inlineStr"/>
      <c r="J55" t="inlineStr">
        <is>
          <t>Ledger Account on the Business Ledger Transaction View.</t>
        </is>
      </c>
      <c r="K55" t="inlineStr"/>
      <c r="M55" t="inlineStr">
        <is>
          <t>Generated</t>
        </is>
      </c>
    </row>
    <row r="56">
      <c r="A56" t="inlineStr">
        <is>
          <t>Business Ledger Transaction View</t>
        </is>
      </c>
      <c r="B56" t="n">
        <v>13</v>
      </c>
      <c r="C56" t="inlineStr">
        <is>
          <t>Counterparty</t>
        </is>
      </c>
      <c r="D56" t="inlineStr">
        <is>
          <t>Text</t>
        </is>
      </c>
      <c r="F56" t="inlineStr">
        <is>
          <t>Text</t>
        </is>
      </c>
      <c r="G56" t="inlineStr">
        <is>
          <t>No</t>
        </is>
      </c>
      <c r="H56" t="inlineStr">
        <is>
          <t>No</t>
        </is>
      </c>
      <c r="I56" t="inlineStr"/>
      <c r="J56" t="inlineStr">
        <is>
          <t>Counterparty on the Business Ledger Transaction View.</t>
        </is>
      </c>
      <c r="K56" t="inlineStr"/>
      <c r="M56" t="inlineStr">
        <is>
          <t>Generated</t>
        </is>
      </c>
    </row>
    <row r="57">
      <c r="A57" t="inlineStr">
        <is>
          <t>Business Ledger Transaction View</t>
        </is>
      </c>
      <c r="B57" t="n">
        <v>14</v>
      </c>
      <c r="C57" t="inlineStr">
        <is>
          <t>Book Id</t>
        </is>
      </c>
      <c r="D57" t="inlineStr">
        <is>
          <t>Text</t>
        </is>
      </c>
      <c r="F57" t="inlineStr">
        <is>
          <t>Text</t>
        </is>
      </c>
      <c r="G57" t="inlineStr">
        <is>
          <t>No</t>
        </is>
      </c>
      <c r="H57" t="inlineStr">
        <is>
          <t>No</t>
        </is>
      </c>
      <c r="I57" t="inlineStr"/>
      <c r="J57" t="inlineStr">
        <is>
          <t>Book Id on the Business Ledger Transaction View.</t>
        </is>
      </c>
      <c r="K57" t="inlineStr"/>
      <c r="M57" t="inlineStr">
        <is>
          <t>Generated</t>
        </is>
      </c>
    </row>
    <row r="58">
      <c r="A58" t="inlineStr">
        <is>
          <t>Business Ledger Transaction View</t>
        </is>
      </c>
      <c r="B58" t="n">
        <v>15</v>
      </c>
      <c r="C58" t="inlineStr">
        <is>
          <t>Trade Status</t>
        </is>
      </c>
      <c r="D58" t="inlineStr">
        <is>
          <t>Text</t>
        </is>
      </c>
      <c r="F58" t="inlineStr">
        <is>
          <t>Text</t>
        </is>
      </c>
      <c r="G58" t="inlineStr">
        <is>
          <t>No</t>
        </is>
      </c>
      <c r="H58" t="inlineStr">
        <is>
          <t>No</t>
        </is>
      </c>
      <c r="I58" t="inlineStr">
        <is>
          <t>NEW, AMEND, CANCEL</t>
        </is>
      </c>
      <c r="J58" t="inlineStr">
        <is>
          <t>Trade Status on the Business Ledger Transaction View.</t>
        </is>
      </c>
      <c r="K58" t="inlineStr"/>
      <c r="M58" t="inlineStr">
        <is>
          <t>Generated</t>
        </is>
      </c>
    </row>
    <row r="59">
      <c r="A59" t="inlineStr">
        <is>
          <t>Business Ledger Transaction View</t>
        </is>
      </c>
      <c r="B59" t="n">
        <v>16</v>
      </c>
      <c r="C59" t="inlineStr">
        <is>
          <t>Upstream Transaction ID</t>
        </is>
      </c>
      <c r="D59" t="inlineStr">
        <is>
          <t>Text</t>
        </is>
      </c>
      <c r="F59" t="inlineStr">
        <is>
          <t>Text</t>
        </is>
      </c>
      <c r="G59" t="inlineStr">
        <is>
          <t>Yes</t>
        </is>
      </c>
      <c r="H59" t="inlineStr">
        <is>
          <t>No</t>
        </is>
      </c>
      <c r="I59" t="inlineStr">
        <is>
          <t>References Reference on the Nostro Transfer View</t>
        </is>
      </c>
      <c r="J59" t="inlineStr">
        <is>
          <t>Upstream Transaction ID on the Business Ledger Transaction View.</t>
        </is>
      </c>
      <c r="K59" t="inlineStr"/>
      <c r="M59" t="inlineStr">
        <is>
          <t>Generated</t>
        </is>
      </c>
    </row>
    <row r="60">
      <c r="A60" t="inlineStr">
        <is>
          <t>Business Ledger Transaction View</t>
        </is>
      </c>
      <c r="B60" t="n">
        <v>17</v>
      </c>
      <c r="C60" t="inlineStr">
        <is>
          <t>Net Type</t>
        </is>
      </c>
      <c r="D60" t="inlineStr">
        <is>
          <t>Text</t>
        </is>
      </c>
      <c r="F60" t="inlineStr">
        <is>
          <t>Text</t>
        </is>
      </c>
      <c r="G60" t="inlineStr">
        <is>
          <t>No</t>
        </is>
      </c>
      <c r="H60" t="inlineStr">
        <is>
          <t>No</t>
        </is>
      </c>
      <c r="I60" t="inlineStr">
        <is>
          <t>NETTER, GROSS, INTERNAL</t>
        </is>
      </c>
      <c r="J60" t="inlineStr">
        <is>
          <t>Net Type on the Business Ledger Transaction View.</t>
        </is>
      </c>
      <c r="K60" t="inlineStr"/>
      <c r="M60" t="inlineStr">
        <is>
          <t>Generated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32" customWidth="1" min="4" max="4"/>
    <col width="60" customWidth="1" min="5" max="5"/>
  </cols>
  <sheetData>
    <row r="1">
      <c r="A1" s="2" t="inlineStr">
        <is>
          <t>View Controls and Filters</t>
        </is>
      </c>
    </row>
    <row r="2">
      <c r="A2" t="inlineStr">
        <is>
          <t>Selectors in effect for the generated period</t>
        </is>
      </c>
    </row>
    <row r="4">
      <c r="A4" s="10" t="inlineStr">
        <is>
          <t>View</t>
        </is>
      </c>
      <c r="B4" s="10" t="inlineStr">
        <is>
          <t>Control / Filter</t>
        </is>
      </c>
      <c r="C4" s="10" t="inlineStr">
        <is>
          <t>Data Type</t>
        </is>
      </c>
      <c r="D4" s="10" t="inlineStr">
        <is>
          <t>Synthetic Value</t>
        </is>
      </c>
      <c r="E4" s="10" t="inlineStr">
        <is>
          <t>Definition</t>
        </is>
      </c>
    </row>
    <row r="5">
      <c r="A5" t="inlineStr">
        <is>
          <t>Nostro Transfer View</t>
        </is>
      </c>
      <c r="B5" t="inlineStr">
        <is>
          <t>Group</t>
        </is>
      </c>
      <c r="C5" t="inlineStr">
        <is>
          <t>Text</t>
        </is>
      </c>
      <c r="D5" t="inlineStr">
        <is>
          <t>SYNTHETIC FUNDING ALL ENTITY</t>
        </is>
      </c>
      <c r="E5" t="inlineStr">
        <is>
          <t>Funding group selector.</t>
        </is>
      </c>
    </row>
    <row r="6">
      <c r="A6" t="inlineStr">
        <is>
          <t>Nostro Transfer View</t>
        </is>
      </c>
      <c r="B6" t="inlineStr">
        <is>
          <t>Value Date From</t>
        </is>
      </c>
      <c r="C6" t="inlineStr">
        <is>
          <t>Date</t>
        </is>
      </c>
      <c r="D6" t="inlineStr">
        <is>
          <t>2026-08-17</t>
        </is>
      </c>
      <c r="E6" t="inlineStr">
        <is>
          <t>Start of the value-date range.</t>
        </is>
      </c>
    </row>
    <row r="7">
      <c r="A7" t="inlineStr">
        <is>
          <t>Nostro Transfer View</t>
        </is>
      </c>
      <c r="B7" t="inlineStr">
        <is>
          <t>Value Date To</t>
        </is>
      </c>
      <c r="C7" t="inlineStr">
        <is>
          <t>Date</t>
        </is>
      </c>
      <c r="D7" t="inlineStr">
        <is>
          <t>2026-08-20</t>
        </is>
      </c>
      <c r="E7" t="inlineStr">
        <is>
          <t>End of the value-date range.</t>
        </is>
      </c>
    </row>
    <row r="8">
      <c r="A8" t="inlineStr">
        <is>
          <t>Nostro Transfer View</t>
        </is>
      </c>
      <c r="B8" t="inlineStr">
        <is>
          <t>Display Currency</t>
        </is>
      </c>
      <c r="C8" t="inlineStr">
        <is>
          <t>ISO 4217</t>
        </is>
      </c>
      <c r="D8" t="inlineStr">
        <is>
          <t>GBP</t>
        </is>
      </c>
      <c r="E8" t="inlineStr">
        <is>
          <t>Currency used for the display amount.</t>
        </is>
      </c>
    </row>
    <row r="9">
      <c r="A9" t="inlineStr">
        <is>
          <t>Nostro Transfer View</t>
        </is>
      </c>
      <c r="B9" t="inlineStr">
        <is>
          <t>Time Zone</t>
        </is>
      </c>
      <c r="C9" t="inlineStr">
        <is>
          <t>Enum</t>
        </is>
      </c>
      <c r="D9" t="inlineStr">
        <is>
          <t>London</t>
        </is>
      </c>
      <c r="E9" t="inlineStr">
        <is>
          <t>Display time zone.</t>
        </is>
      </c>
    </row>
    <row r="10">
      <c r="A10" t="inlineStr">
        <is>
          <t>Client View</t>
        </is>
      </c>
      <c r="B10" t="inlineStr">
        <is>
          <t>Client Group</t>
        </is>
      </c>
      <c r="C10" t="inlineStr">
        <is>
          <t>Text</t>
        </is>
      </c>
      <c r="D10" t="inlineStr">
        <is>
          <t>SYNTHETIC CLIENT GROUP</t>
        </is>
      </c>
      <c r="E10" t="inlineStr">
        <is>
          <t>Client group selector.</t>
        </is>
      </c>
    </row>
    <row r="11">
      <c r="A11" t="inlineStr">
        <is>
          <t>Client View</t>
        </is>
      </c>
      <c r="B11" t="inlineStr">
        <is>
          <t>Value Date From</t>
        </is>
      </c>
      <c r="C11" t="inlineStr">
        <is>
          <t>Date</t>
        </is>
      </c>
      <c r="D11" t="inlineStr">
        <is>
          <t>2026-08-17</t>
        </is>
      </c>
      <c r="E11" t="inlineStr">
        <is>
          <t>Start of the snapshot range.</t>
        </is>
      </c>
    </row>
    <row r="12">
      <c r="A12" t="inlineStr">
        <is>
          <t>Client View</t>
        </is>
      </c>
      <c r="B12" t="inlineStr">
        <is>
          <t>Value Date To</t>
        </is>
      </c>
      <c r="C12" t="inlineStr">
        <is>
          <t>Date</t>
        </is>
      </c>
      <c r="D12" t="inlineStr">
        <is>
          <t>2026-08-20</t>
        </is>
      </c>
      <c r="E12" t="inlineStr">
        <is>
          <t>End of the snapshot range.</t>
        </is>
      </c>
    </row>
    <row r="13">
      <c r="A13" t="inlineStr">
        <is>
          <t>Client View</t>
        </is>
      </c>
      <c r="B13" t="inlineStr">
        <is>
          <t>Match Tolerance</t>
        </is>
      </c>
      <c r="C13" t="inlineStr">
        <is>
          <t>Decimal</t>
        </is>
      </c>
      <c r="D13" t="inlineStr">
        <is>
          <t>0.01</t>
        </is>
      </c>
      <c r="E13" t="inlineStr">
        <is>
          <t>Absolute difference below which a balance counts as matched.</t>
        </is>
      </c>
    </row>
    <row r="14">
      <c r="A14" t="inlineStr">
        <is>
          <t>Client View</t>
        </is>
      </c>
      <c r="B14" t="inlineStr">
        <is>
          <t>Display Currency</t>
        </is>
      </c>
      <c r="C14" t="inlineStr">
        <is>
          <t>ISO 4217</t>
        </is>
      </c>
      <c r="D14" t="inlineStr">
        <is>
          <t>GBP</t>
        </is>
      </c>
      <c r="E14" t="inlineStr">
        <is>
          <t>Currency used for display balances.</t>
        </is>
      </c>
    </row>
    <row r="15">
      <c r="A15" t="inlineStr">
        <is>
          <t>Business Ledger Transaction View</t>
        </is>
      </c>
      <c r="B15" t="inlineStr">
        <is>
          <t>Business Group</t>
        </is>
      </c>
      <c r="C15" t="inlineStr">
        <is>
          <t>Text</t>
        </is>
      </c>
      <c r="D15" t="inlineStr">
        <is>
          <t>SYNTHETIC CASH MANAGEMENT</t>
        </is>
      </c>
      <c r="E15" t="inlineStr">
        <is>
          <t>Business group selector.</t>
        </is>
      </c>
    </row>
    <row r="16">
      <c r="A16" t="inlineStr">
        <is>
          <t>Business Ledger Transaction View</t>
        </is>
      </c>
      <c r="B16" t="inlineStr">
        <is>
          <t>Value Date From</t>
        </is>
      </c>
      <c r="C16" t="inlineStr">
        <is>
          <t>Date</t>
        </is>
      </c>
      <c r="D16" t="inlineStr">
        <is>
          <t>2026-08-17</t>
        </is>
      </c>
      <c r="E16" t="inlineStr">
        <is>
          <t>Start of value-date range.</t>
        </is>
      </c>
    </row>
    <row r="17">
      <c r="A17" t="inlineStr">
        <is>
          <t>Business Ledger Transaction View</t>
        </is>
      </c>
      <c r="B17" t="inlineStr">
        <is>
          <t>Value Date To</t>
        </is>
      </c>
      <c r="C17" t="inlineStr">
        <is>
          <t>Date</t>
        </is>
      </c>
      <c r="D17" t="inlineStr">
        <is>
          <t>2026-08-20</t>
        </is>
      </c>
      <c r="E17" t="inlineStr">
        <is>
          <t>End of value-date range.</t>
        </is>
      </c>
    </row>
    <row r="18">
      <c r="A18" t="inlineStr">
        <is>
          <t>Business Ledger Transaction View</t>
        </is>
      </c>
      <c r="B18" t="inlineStr">
        <is>
          <t>Include Cancelled</t>
        </is>
      </c>
      <c r="C18" t="inlineStr">
        <is>
          <t>Enum</t>
        </is>
      </c>
      <c r="D18" t="inlineStr">
        <is>
          <t>Include</t>
        </is>
      </c>
      <c r="E18" t="inlineStr">
        <is>
          <t>Cancelled trades are included in this generated set.</t>
        </is>
      </c>
    </row>
    <row r="19">
      <c r="A19" t="inlineStr">
        <is>
          <t>Business Ledger Transaction View</t>
        </is>
      </c>
      <c r="B19" t="inlineStr">
        <is>
          <t>Display CCY</t>
        </is>
      </c>
      <c r="C19" t="inlineStr">
        <is>
          <t>ISO 4217</t>
        </is>
      </c>
      <c r="D19" t="inlineStr">
        <is>
          <t>GBP</t>
        </is>
      </c>
      <c r="E19" t="inlineStr">
        <is>
          <t>Currency used for the display amount.</t>
        </is>
      </c>
    </row>
    <row r="20">
      <c r="A20" t="inlineStr">
        <is>
          <t>Nostro Transfer View</t>
        </is>
      </c>
      <c r="B20" t="inlineStr">
        <is>
          <t>Team</t>
        </is>
      </c>
      <c r="C20" t="inlineStr">
        <is>
          <t>Text</t>
        </is>
      </c>
      <c r="D20" t="inlineStr">
        <is>
          <t>AMER_Funding</t>
        </is>
      </c>
      <c r="E20" t="inlineStr">
        <is>
          <t>Synthetic operating team.</t>
        </is>
      </c>
    </row>
    <row r="21">
      <c r="A21" t="inlineStr">
        <is>
          <t>Nostro Transfer View</t>
        </is>
      </c>
      <c r="B21" t="inlineStr">
        <is>
          <t>View Scope</t>
        </is>
      </c>
      <c r="C21" t="inlineStr">
        <is>
          <t>Enum</t>
        </is>
      </c>
      <c r="D21" t="inlineStr">
        <is>
          <t>All</t>
        </is>
      </c>
      <c r="E21" t="inlineStr">
        <is>
          <t>Scope selector shown beside the view name.</t>
        </is>
      </c>
    </row>
    <row r="22">
      <c r="A22" t="inlineStr">
        <is>
          <t>Nostro Transfer View</t>
        </is>
      </c>
      <c r="B22" t="inlineStr">
        <is>
          <t>Loaded Items</t>
        </is>
      </c>
      <c r="C22" t="inlineStr">
        <is>
          <t>Integer</t>
        </is>
      </c>
      <c r="D22" t="inlineStr">
        <is>
          <t>825</t>
        </is>
      </c>
      <c r="E22" t="inlineStr">
        <is>
          <t>Number of synthetic rows loaded.</t>
        </is>
      </c>
    </row>
    <row r="23">
      <c r="A23" t="inlineStr">
        <is>
          <t>Client View</t>
        </is>
      </c>
      <c r="B23" t="inlineStr">
        <is>
          <t>Team</t>
        </is>
      </c>
      <c r="C23" t="inlineStr">
        <is>
          <t>Text</t>
        </is>
      </c>
      <c r="D23" t="inlineStr">
        <is>
          <t>AMER_Funding</t>
        </is>
      </c>
      <c r="E23" t="inlineStr">
        <is>
          <t>Synthetic operating team.</t>
        </is>
      </c>
    </row>
    <row r="24">
      <c r="A24" t="inlineStr">
        <is>
          <t>Client View</t>
        </is>
      </c>
      <c r="B24" t="inlineStr">
        <is>
          <t>Time Zone</t>
        </is>
      </c>
      <c r="C24" t="inlineStr">
        <is>
          <t>Enum</t>
        </is>
      </c>
      <c r="D24" t="inlineStr">
        <is>
          <t>London</t>
        </is>
      </c>
      <c r="E24" t="inlineStr">
        <is>
          <t>Display time zone for timestamps.</t>
        </is>
      </c>
    </row>
    <row r="25">
      <c r="A25" t="inlineStr">
        <is>
          <t>Client View</t>
        </is>
      </c>
      <c r="B25" t="inlineStr">
        <is>
          <t>Swing (Local) Filter</t>
        </is>
      </c>
      <c r="C25" t="inlineStr">
        <is>
          <t>Text</t>
        </is>
      </c>
      <c r="D25" t="inlineStr">
        <is>
          <t>=</t>
        </is>
      </c>
      <c r="E25" t="inlineStr">
        <is>
          <t>Illustrative filter operator.</t>
        </is>
      </c>
    </row>
    <row r="26">
      <c r="A26" t="inlineStr">
        <is>
          <t>Client View</t>
        </is>
      </c>
      <c r="B26" t="inlineStr">
        <is>
          <t>Round</t>
        </is>
      </c>
      <c r="C26" t="inlineStr">
        <is>
          <t>Boolean</t>
        </is>
      </c>
      <c r="D26" t="inlineStr">
        <is>
          <t>False</t>
        </is>
      </c>
      <c r="E26" t="inlineStr">
        <is>
          <t>Illustrative rounding option.</t>
        </is>
      </c>
    </row>
    <row r="27">
      <c r="A27" t="inlineStr">
        <is>
          <t>Client View</t>
        </is>
      </c>
      <c r="B27" t="inlineStr">
        <is>
          <t>Live Refresh</t>
        </is>
      </c>
      <c r="C27" t="inlineStr">
        <is>
          <t>Boolean</t>
        </is>
      </c>
      <c r="D27" t="inlineStr">
        <is>
          <t>False</t>
        </is>
      </c>
      <c r="E27" t="inlineStr">
        <is>
          <t>Illustrative live-refresh option.</t>
        </is>
      </c>
    </row>
    <row r="28">
      <c r="A28" t="inlineStr">
        <is>
          <t>Business Ledger Transaction View</t>
        </is>
      </c>
      <c r="B28" t="inlineStr">
        <is>
          <t>Transaction Timestamp From</t>
        </is>
      </c>
      <c r="C28" t="inlineStr">
        <is>
          <t>DateTime</t>
        </is>
      </c>
      <c r="D28" t="inlineStr">
        <is>
          <t>2026-08-17 00:00:00</t>
        </is>
      </c>
      <c r="E28" t="inlineStr">
        <is>
          <t>Start of transaction timestamp range.</t>
        </is>
      </c>
    </row>
    <row r="29">
      <c r="A29" t="inlineStr">
        <is>
          <t>Business Ledger Transaction View</t>
        </is>
      </c>
      <c r="B29" t="inlineStr">
        <is>
          <t>Transaction Timestamp To</t>
        </is>
      </c>
      <c r="C29" t="inlineStr">
        <is>
          <t>DateTime</t>
        </is>
      </c>
      <c r="D29" t="inlineStr">
        <is>
          <t>2026-08-20 23:59:00</t>
        </is>
      </c>
      <c r="E29" t="inlineStr">
        <is>
          <t>End of transaction timestamp range.</t>
        </is>
      </c>
    </row>
    <row r="30">
      <c r="A30" t="inlineStr">
        <is>
          <t>Business Ledger Transaction View</t>
        </is>
      </c>
      <c r="B30" t="inlineStr">
        <is>
          <t>Dr/Cr Mark</t>
        </is>
      </c>
      <c r="C30" t="inlineStr">
        <is>
          <t>Enum</t>
        </is>
      </c>
      <c r="D30" t="inlineStr">
        <is>
          <t>Both</t>
        </is>
      </c>
      <c r="E30" t="inlineStr">
        <is>
          <t>Include debit and credit rows.</t>
        </is>
      </c>
    </row>
    <row r="31">
      <c r="A31" t="inlineStr">
        <is>
          <t>Business Ledger Transaction View</t>
        </is>
      </c>
      <c r="B31" t="inlineStr">
        <is>
          <t>Sub Branches</t>
        </is>
      </c>
      <c r="C31" t="inlineStr">
        <is>
          <t>Enum</t>
        </is>
      </c>
      <c r="D31" t="inlineStr">
        <is>
          <t>All</t>
        </is>
      </c>
      <c r="E31" t="inlineStr">
        <is>
          <t>No sub-branch filter applied.</t>
        </is>
      </c>
    </row>
    <row r="32">
      <c r="A32" t="inlineStr">
        <is>
          <t>Business Ledger Transaction View</t>
        </is>
      </c>
      <c r="B32" t="inlineStr">
        <is>
          <t>Currencies</t>
        </is>
      </c>
      <c r="C32" t="inlineStr">
        <is>
          <t>Enum</t>
        </is>
      </c>
      <c r="D32" t="inlineStr">
        <is>
          <t>All</t>
        </is>
      </c>
      <c r="E32" t="inlineStr">
        <is>
          <t>No local-currency filter applied.</t>
        </is>
      </c>
    </row>
    <row r="33">
      <c r="A33" t="inlineStr">
        <is>
          <t>Business Ledger Transaction View</t>
        </is>
      </c>
      <c r="B33" t="inlineStr">
        <is>
          <t>Amount (Local)</t>
        </is>
      </c>
      <c r="C33" t="inlineStr">
        <is>
          <t>Filter</t>
        </is>
      </c>
      <c r="D33">
        <f> [blank]</f>
        <v/>
      </c>
      <c r="E33" t="inlineStr">
        <is>
          <t>Illustrative amount filter.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6" customWidth="1" min="1" max="1"/>
    <col width="88" customWidth="1" min="2" max="2"/>
  </cols>
  <sheetData>
    <row r="1">
      <c r="A1" s="2" t="inlineStr">
        <is>
          <t>Reference Data - synthetic support values</t>
        </is>
      </c>
    </row>
    <row r="3">
      <c r="A3" s="9" t="inlineStr">
        <is>
          <t>Currency</t>
        </is>
      </c>
      <c r="B3" s="9" t="inlineStr">
        <is>
          <t>GBP per 1 local unit</t>
        </is>
      </c>
    </row>
    <row r="4">
      <c r="A4" t="inlineStr">
        <is>
          <t>AED</t>
        </is>
      </c>
      <c r="B4" t="n">
        <v>0.213</v>
      </c>
    </row>
    <row r="5">
      <c r="A5" t="inlineStr">
        <is>
          <t>AUD</t>
        </is>
      </c>
      <c r="B5" t="n">
        <v>0.513</v>
      </c>
    </row>
    <row r="6">
      <c r="A6" t="inlineStr">
        <is>
          <t>BRL</t>
        </is>
      </c>
      <c r="B6" t="n">
        <v>0.142</v>
      </c>
    </row>
    <row r="7">
      <c r="A7" t="inlineStr">
        <is>
          <t>CAD</t>
        </is>
      </c>
      <c r="B7" t="n">
        <v>0.574</v>
      </c>
    </row>
    <row r="8">
      <c r="A8" t="inlineStr">
        <is>
          <t>CHF</t>
        </is>
      </c>
      <c r="B8" t="n">
        <v>0.897</v>
      </c>
    </row>
    <row r="9">
      <c r="A9" t="inlineStr">
        <is>
          <t>CNY</t>
        </is>
      </c>
      <c r="B9" t="n">
        <v>0.109</v>
      </c>
    </row>
    <row r="10">
      <c r="A10" t="inlineStr">
        <is>
          <t>CZK</t>
        </is>
      </c>
      <c r="B10" t="n">
        <v>0.0339</v>
      </c>
    </row>
    <row r="11">
      <c r="A11" t="inlineStr">
        <is>
          <t>DKK</t>
        </is>
      </c>
      <c r="B11" t="n">
        <v>0.115</v>
      </c>
    </row>
    <row r="12">
      <c r="A12" t="inlineStr">
        <is>
          <t>EUR</t>
        </is>
      </c>
      <c r="B12" t="n">
        <v>0.858</v>
      </c>
    </row>
    <row r="13">
      <c r="A13" t="inlineStr">
        <is>
          <t>GBP</t>
        </is>
      </c>
      <c r="B13" t="n">
        <v>1</v>
      </c>
    </row>
    <row r="14">
      <c r="A14" t="inlineStr">
        <is>
          <t>HKD</t>
        </is>
      </c>
      <c r="B14" t="n">
        <v>0.1005</v>
      </c>
    </row>
    <row r="15">
      <c r="A15" t="inlineStr">
        <is>
          <t>HUF</t>
        </is>
      </c>
      <c r="B15" t="n">
        <v>0.00215</v>
      </c>
    </row>
    <row r="16">
      <c r="A16" t="inlineStr">
        <is>
          <t>ILS</t>
        </is>
      </c>
      <c r="B16" t="n">
        <v>0.211</v>
      </c>
    </row>
    <row r="17">
      <c r="A17" t="inlineStr">
        <is>
          <t>INR</t>
        </is>
      </c>
      <c r="B17" t="n">
        <v>0.0094</v>
      </c>
    </row>
    <row r="18">
      <c r="A18" t="inlineStr">
        <is>
          <t>JPY</t>
        </is>
      </c>
      <c r="B18" t="n">
        <v>0.00525</v>
      </c>
    </row>
    <row r="19">
      <c r="A19" t="inlineStr">
        <is>
          <t>KRW</t>
        </is>
      </c>
      <c r="B19" t="n">
        <v>0.00058</v>
      </c>
    </row>
    <row r="20">
      <c r="A20" t="inlineStr">
        <is>
          <t>MXN</t>
        </is>
      </c>
      <c r="B20" t="n">
        <v>0.0428</v>
      </c>
    </row>
    <row r="21">
      <c r="A21" t="inlineStr">
        <is>
          <t>NOK</t>
        </is>
      </c>
      <c r="B21" t="n">
        <v>0.0735</v>
      </c>
    </row>
    <row r="22">
      <c r="A22" t="inlineStr">
        <is>
          <t>NZD</t>
        </is>
      </c>
      <c r="B22" t="n">
        <v>0.472</v>
      </c>
    </row>
    <row r="23">
      <c r="A23" t="inlineStr">
        <is>
          <t>PLN</t>
        </is>
      </c>
      <c r="B23" t="n">
        <v>0.198</v>
      </c>
    </row>
    <row r="24">
      <c r="A24" t="inlineStr">
        <is>
          <t>RON</t>
        </is>
      </c>
      <c r="B24" t="n">
        <v>0.172</v>
      </c>
    </row>
    <row r="25">
      <c r="A25" t="inlineStr">
        <is>
          <t>SAR</t>
        </is>
      </c>
      <c r="B25" t="n">
        <v>0.209</v>
      </c>
    </row>
    <row r="26">
      <c r="A26" t="inlineStr">
        <is>
          <t>SEK</t>
        </is>
      </c>
      <c r="B26" t="n">
        <v>0.073</v>
      </c>
    </row>
    <row r="27">
      <c r="A27" t="inlineStr">
        <is>
          <t>SGD</t>
        </is>
      </c>
      <c r="B27" t="n">
        <v>0.583</v>
      </c>
    </row>
    <row r="28">
      <c r="A28" t="inlineStr">
        <is>
          <t>THB</t>
        </is>
      </c>
      <c r="B28" t="n">
        <v>0.0221</v>
      </c>
    </row>
    <row r="29">
      <c r="A29" t="inlineStr">
        <is>
          <t>TRY</t>
        </is>
      </c>
      <c r="B29" t="n">
        <v>0.0231</v>
      </c>
    </row>
    <row r="30">
      <c r="A30" t="inlineStr">
        <is>
          <t>TWD</t>
        </is>
      </c>
      <c r="B30" t="n">
        <v>0.0243</v>
      </c>
    </row>
    <row r="31">
      <c r="A31" t="inlineStr">
        <is>
          <t>USD</t>
        </is>
      </c>
      <c r="B31" t="n">
        <v>0.784</v>
      </c>
    </row>
    <row r="32">
      <c r="A32" t="inlineStr">
        <is>
          <t>ZAR</t>
        </is>
      </c>
      <c r="B32" t="n">
        <v>0.043</v>
      </c>
    </row>
    <row r="34">
      <c r="A34" t="inlineStr">
        <is>
          <t>Important</t>
        </is>
      </c>
      <c r="B34" t="inlineStr">
        <is>
          <t>All FX rates are synthetic, flat across the period, and included only to support display-currency translation.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2026-08-20T09:16:04Z</dcterms:created>
  <dcterms:modified xsi:type="dcterms:W3CDTF">2026-08-20T09:16:04Z</dcterms:modified>
</cp:coreProperties>
</file>