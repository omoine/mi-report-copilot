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About this view"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9">
    <font>
      <name val="Calibri"/>
      <family val="2"/>
      <color theme="1"/>
      <sz val="11"/>
      <scheme val="minor"/>
    </font>
    <font>
      <b val="1"/>
      <color rgb="000B0B0B"/>
      <sz val="13"/>
    </font>
    <font>
      <i val="1"/>
      <color rgb="0052514E"/>
      <sz val="9"/>
    </font>
    <font>
      <color rgb="00898781"/>
      <sz val="8"/>
    </font>
    <font>
      <b val="1"/>
      <color rgb="000B0B0B"/>
      <sz val="10"/>
    </font>
    <font>
      <b val="1"/>
      <color rgb="008A15E0"/>
      <sz val="11"/>
    </font>
    <font>
      <b val="1"/>
      <sz val="9"/>
    </font>
    <font>
      <sz val="9"/>
    </font>
    <font>
      <i val="1"/>
      <sz val="9"/>
    </font>
  </fonts>
  <fills count="3">
    <fill>
      <patternFill/>
    </fill>
    <fill>
      <patternFill patternType="gray125"/>
    </fill>
    <fill>
      <patternFill patternType="solid">
        <fgColor rgb="00F2EAFB"/>
      </patternFill>
    </fill>
  </fills>
  <borders count="3">
    <border>
      <left/>
      <right/>
      <top/>
      <bottom/>
      <diagonal/>
    </border>
    <border>
      <bottom style="medium">
        <color rgb="008A15E0"/>
      </bottom>
    </border>
    <border>
      <bottom style="thin">
        <color rgb="00E1E0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0" fillId="0" borderId="2" pivotButton="0" quotePrefix="0" xfId="0"/>
    <xf numFmtId="164" fontId="0" fillId="0" borderId="2" pivotButton="0" quotePrefix="0" xfId="0"/>
    <xf numFmtId="0" fontId="5" fillId="0" borderId="0" pivotButton="0" quotePrefix="0" xfId="0"/>
    <xf numFmtId="0" fontId="6" fillId="0"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style val="2"/>
  <chart>
    <title>
      <tx>
        <rich>
          <a:bodyPr/>
          <a:p>
            <a:pPr>
              <a:defRPr/>
            </a:pPr>
            <a:r>
              <a:t>Top 20 business ledger txn records by Amount (Display)</a:t>
            </a:r>
          </a:p>
        </rich>
      </tx>
    </title>
    <plotArea>
      <barChart>
        <barDir val="col"/>
        <grouping val="clustered"/>
        <ser>
          <idx val="0"/>
          <order val="0"/>
          <tx>
            <strRef>
              <f>'Data'!E5</f>
            </strRef>
          </tx>
          <spPr>
            <a:ln>
              <a:prstDash val="solid"/>
            </a:ln>
          </spPr>
          <cat>
            <numRef>
              <f>'Data'!$A$6:$A$25</f>
            </numRef>
          </cat>
          <val>
            <numRef>
              <f>'Data'!$E$6:$E$25</f>
            </numRef>
          </val>
        </ser>
        <gapWidth val="6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4</row>
      <rowOff>0</rowOff>
    </from>
    <ext cx="720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E25"/>
  <sheetViews>
    <sheetView workbookViewId="0">
      <pane ySplit="5" topLeftCell="A6" activePane="bottomLeft" state="frozen"/>
      <selection pane="bottomLeft" activeCell="A1" sqref="A1"/>
    </sheetView>
  </sheetViews>
  <sheetFormatPr baseColWidth="8" defaultRowHeight="15"/>
  <cols>
    <col width="24" customWidth="1" min="1" max="1"/>
    <col width="15" customWidth="1" min="2" max="2"/>
    <col width="27" customWidth="1" min="3" max="3"/>
    <col width="14" customWidth="1" min="4" max="4"/>
    <col width="19" customWidth="1" min="5" max="5"/>
  </cols>
  <sheetData>
    <row r="1">
      <c r="A1" s="1" t="inlineStr">
        <is>
          <t>Top 20 business ledger txn records by Amount (Display)</t>
        </is>
      </c>
    </row>
    <row r="2">
      <c r="A2" s="2" t="inlineStr">
        <is>
          <t>Requested: "List the twenty largest ledger transactions this month with counterparty, account, currency and amount."</t>
        </is>
      </c>
    </row>
    <row r="3">
      <c r="A3" s="3" t="inlineStr">
        <is>
          <t>Synthetic / non-production data. Figures computed from source, not generated.</t>
        </is>
      </c>
    </row>
    <row r="5">
      <c r="A5" s="4" t="inlineStr">
        <is>
          <t>Transaction Reference</t>
        </is>
      </c>
      <c r="B5" s="4" t="inlineStr">
        <is>
          <t>Account</t>
        </is>
      </c>
      <c r="C5" s="4" t="inlineStr">
        <is>
          <t>Counterparty</t>
        </is>
      </c>
      <c r="D5" s="4" t="inlineStr">
        <is>
          <t>CCY (Local)</t>
        </is>
      </c>
      <c r="E5" s="4" t="inlineStr">
        <is>
          <t>Amount (Display)</t>
        </is>
      </c>
    </row>
    <row r="6">
      <c r="A6" s="5" t="inlineStr">
        <is>
          <t>CF260804 05517</t>
        </is>
      </c>
      <c r="B6" s="5" t="inlineStr">
        <is>
          <t>708433561323</t>
        </is>
      </c>
      <c r="C6" s="5" t="inlineStr">
        <is>
          <t>Nightjar Trust</t>
        </is>
      </c>
      <c r="D6" s="5" t="inlineStr">
        <is>
          <t>EUR</t>
        </is>
      </c>
      <c r="E6" s="6" t="n">
        <v>78493469220.944</v>
      </c>
    </row>
    <row r="7">
      <c r="A7" s="5" t="inlineStr">
        <is>
          <t>CF260720 00113</t>
        </is>
      </c>
      <c r="B7" s="5" t="inlineStr">
        <is>
          <t>205518767075</t>
        </is>
      </c>
      <c r="C7" s="5" t="inlineStr">
        <is>
          <t>Zephyr Settlement Bank</t>
        </is>
      </c>
      <c r="D7" s="5" t="inlineStr">
        <is>
          <t>CHF</t>
        </is>
      </c>
      <c r="E7" s="6" t="n">
        <v>49914303537.49</v>
      </c>
    </row>
    <row r="8">
      <c r="A8" s="5" t="inlineStr">
        <is>
          <t>CF260723 01257</t>
        </is>
      </c>
      <c r="B8" s="5" t="inlineStr">
        <is>
          <t>459652462624</t>
        </is>
      </c>
      <c r="C8" s="5" t="inlineStr">
        <is>
          <t>Kestrel Trust</t>
        </is>
      </c>
      <c r="D8" s="5" t="inlineStr">
        <is>
          <t>EUR</t>
        </is>
      </c>
      <c r="E8" s="6" t="n">
        <v>42718568393.921</v>
      </c>
    </row>
    <row r="9">
      <c r="A9" s="5" t="inlineStr">
        <is>
          <t>CF260728 02568</t>
        </is>
      </c>
      <c r="B9" s="5" t="inlineStr">
        <is>
          <t>748429794537</t>
        </is>
      </c>
      <c r="C9" s="5" t="inlineStr">
        <is>
          <t>Yarrow Settlement Bank</t>
        </is>
      </c>
      <c r="D9" s="5" t="inlineStr">
        <is>
          <t>CHF</t>
        </is>
      </c>
      <c r="E9" s="6" t="n">
        <v>41703073997.829</v>
      </c>
    </row>
    <row r="10">
      <c r="A10" s="5" t="inlineStr">
        <is>
          <t>CF260731 04472</t>
        </is>
      </c>
      <c r="B10" s="5" t="inlineStr">
        <is>
          <t>780534966328</t>
        </is>
      </c>
      <c r="C10" s="5" t="inlineStr">
        <is>
          <t>Ironbark Settlement Bank</t>
        </is>
      </c>
      <c r="D10" s="5" t="inlineStr">
        <is>
          <t>USD</t>
        </is>
      </c>
      <c r="E10" s="6" t="n">
        <v>33948715152.097</v>
      </c>
    </row>
    <row r="11">
      <c r="A11" s="5" t="inlineStr">
        <is>
          <t>CF260729 03471</t>
        </is>
      </c>
      <c r="B11" s="5" t="inlineStr">
        <is>
          <t>629056450089</t>
        </is>
      </c>
      <c r="C11" s="5" t="inlineStr">
        <is>
          <t>Mallow Bank</t>
        </is>
      </c>
      <c r="D11" s="5" t="inlineStr">
        <is>
          <t>USD</t>
        </is>
      </c>
      <c r="E11" s="6" t="n">
        <v>23330931337.339</v>
      </c>
    </row>
    <row r="12">
      <c r="A12" s="5" t="inlineStr">
        <is>
          <t>CF260727 02167</t>
        </is>
      </c>
      <c r="B12" s="5" t="inlineStr">
        <is>
          <t>673347369101</t>
        </is>
      </c>
      <c r="C12" s="5" t="inlineStr">
        <is>
          <t>Wrenfield Trust</t>
        </is>
      </c>
      <c r="D12" s="5" t="inlineStr">
        <is>
          <t>EUR</t>
        </is>
      </c>
      <c r="E12" s="6" t="n">
        <v>23251254047.865</v>
      </c>
    </row>
    <row r="13">
      <c r="A13" s="5" t="inlineStr">
        <is>
          <t>CF260728 02353</t>
        </is>
      </c>
      <c r="B13" s="5" t="inlineStr">
        <is>
          <t>969010649616</t>
        </is>
      </c>
      <c r="C13" s="5" t="inlineStr">
        <is>
          <t>Vetchling Trust</t>
        </is>
      </c>
      <c r="D13" s="5" t="inlineStr">
        <is>
          <t>CAD</t>
        </is>
      </c>
      <c r="E13" s="6" t="n">
        <v>19160287264.181</v>
      </c>
    </row>
    <row r="14">
      <c r="A14" s="5" t="inlineStr">
        <is>
          <t>CF260730 03679</t>
        </is>
      </c>
      <c r="B14" s="5" t="inlineStr">
        <is>
          <t>331574865232</t>
        </is>
      </c>
      <c r="C14" s="5" t="inlineStr">
        <is>
          <t>Bramble Commercial Bank</t>
        </is>
      </c>
      <c r="D14" s="5" t="inlineStr">
        <is>
          <t>USD</t>
        </is>
      </c>
      <c r="E14" s="6" t="n">
        <v>17038713791.96</v>
      </c>
    </row>
    <row r="15">
      <c r="A15" s="5" t="inlineStr">
        <is>
          <t>CF260810 07344</t>
        </is>
      </c>
      <c r="B15" s="5" t="inlineStr">
        <is>
          <t>816130532607</t>
        </is>
      </c>
      <c r="C15" s="5" t="inlineStr">
        <is>
          <t>Yarrow Bank</t>
        </is>
      </c>
      <c r="D15" s="5" t="inlineStr">
        <is>
          <t>SAR</t>
        </is>
      </c>
      <c r="E15" s="6" t="n">
        <v>16567546698.738</v>
      </c>
    </row>
    <row r="16">
      <c r="A16" s="5" t="inlineStr">
        <is>
          <t>CF260810 07276</t>
        </is>
      </c>
      <c r="B16" s="5" t="inlineStr">
        <is>
          <t>967624358937</t>
        </is>
      </c>
      <c r="C16" s="5" t="inlineStr">
        <is>
          <t>Kestrel Settlement Bank</t>
        </is>
      </c>
      <c r="D16" s="5" t="inlineStr">
        <is>
          <t>EUR</t>
        </is>
      </c>
      <c r="E16" s="6" t="n">
        <v>14287379843.087</v>
      </c>
    </row>
    <row r="17">
      <c r="A17" s="5" t="inlineStr">
        <is>
          <t>CF260813 08452</t>
        </is>
      </c>
      <c r="B17" s="5" t="inlineStr">
        <is>
          <t>903491859007</t>
        </is>
      </c>
      <c r="C17" s="5" t="inlineStr">
        <is>
          <t>Thornbury Trust</t>
        </is>
      </c>
      <c r="D17" s="5" t="inlineStr">
        <is>
          <t>EUR</t>
        </is>
      </c>
      <c r="E17" s="6" t="n">
        <v>12390264109.318</v>
      </c>
    </row>
    <row r="18">
      <c r="A18" s="5" t="inlineStr">
        <is>
          <t>CF260813 08630</t>
        </is>
      </c>
      <c r="B18" s="5" t="inlineStr">
        <is>
          <t>375624995577</t>
        </is>
      </c>
      <c r="C18" s="5" t="inlineStr">
        <is>
          <t>Larkspur Commercial Bank</t>
        </is>
      </c>
      <c r="D18" s="5" t="inlineStr">
        <is>
          <t>USD</t>
        </is>
      </c>
      <c r="E18" s="6" t="n">
        <v>11701755774.453</v>
      </c>
    </row>
    <row r="19">
      <c r="A19" s="5" t="inlineStr">
        <is>
          <t>CF260804 05613</t>
        </is>
      </c>
      <c r="B19" s="5" t="inlineStr">
        <is>
          <t>412668335906</t>
        </is>
      </c>
      <c r="C19" s="5" t="inlineStr">
        <is>
          <t>Larkspur Clearing</t>
        </is>
      </c>
      <c r="D19" s="5" t="inlineStr">
        <is>
          <t>CHF</t>
        </is>
      </c>
      <c r="E19" s="6" t="n">
        <v>8842525377.143</v>
      </c>
    </row>
    <row r="20">
      <c r="A20" s="5" t="inlineStr">
        <is>
          <t>CF260818 09516</t>
        </is>
      </c>
      <c r="B20" s="5" t="inlineStr">
        <is>
          <t>151555391924</t>
        </is>
      </c>
      <c r="C20" s="5" t="inlineStr">
        <is>
          <t>Alder Settlement Bank</t>
        </is>
      </c>
      <c r="D20" s="5" t="inlineStr">
        <is>
          <t>CAD</t>
        </is>
      </c>
      <c r="E20" s="6" t="n">
        <v>8537632435.411</v>
      </c>
    </row>
    <row r="21">
      <c r="A21" s="5" t="inlineStr">
        <is>
          <t>CF260721 00595</t>
        </is>
      </c>
      <c r="B21" s="5" t="inlineStr">
        <is>
          <t>674362799749</t>
        </is>
      </c>
      <c r="C21" s="5" t="inlineStr">
        <is>
          <t>Granite Bank</t>
        </is>
      </c>
      <c r="D21" s="5" t="inlineStr">
        <is>
          <t>EUR</t>
        </is>
      </c>
      <c r="E21" s="6" t="n">
        <v>8418114708.725</v>
      </c>
    </row>
    <row r="22">
      <c r="A22" s="5" t="inlineStr">
        <is>
          <t>CF260810 07562</t>
        </is>
      </c>
      <c r="B22" s="5" t="inlineStr">
        <is>
          <t>165000330885</t>
        </is>
      </c>
      <c r="C22" s="5" t="inlineStr">
        <is>
          <t>Alder Bank</t>
        </is>
      </c>
      <c r="D22" s="5" t="inlineStr">
        <is>
          <t>HKD</t>
        </is>
      </c>
      <c r="E22" s="6" t="n">
        <v>7416463392.338</v>
      </c>
    </row>
    <row r="23">
      <c r="A23" s="5" t="inlineStr">
        <is>
          <t>CF260810 07470</t>
        </is>
      </c>
      <c r="B23" s="5" t="inlineStr">
        <is>
          <t>920562913157</t>
        </is>
      </c>
      <c r="C23" s="5" t="inlineStr">
        <is>
          <t>Mallow Trust</t>
        </is>
      </c>
      <c r="D23" s="5" t="inlineStr">
        <is>
          <t>CNY</t>
        </is>
      </c>
      <c r="E23" s="6" t="n">
        <v>6946981046.177</v>
      </c>
    </row>
    <row r="24">
      <c r="A24" s="5" t="inlineStr">
        <is>
          <t>CF260812 08141</t>
        </is>
      </c>
      <c r="B24" s="5" t="inlineStr">
        <is>
          <t>232234898923</t>
        </is>
      </c>
      <c r="C24" s="5" t="inlineStr">
        <is>
          <t>Kestrel Trust</t>
        </is>
      </c>
      <c r="D24" s="5" t="inlineStr">
        <is>
          <t>CAD</t>
        </is>
      </c>
      <c r="E24" s="6" t="n">
        <v>6939661615.702</v>
      </c>
    </row>
    <row r="25">
      <c r="A25" s="5" t="inlineStr">
        <is>
          <t>CF260722 01103</t>
        </is>
      </c>
      <c r="B25" s="5" t="inlineStr">
        <is>
          <t>948477770990</t>
        </is>
      </c>
      <c r="C25" s="5" t="inlineStr">
        <is>
          <t>Redstart Trust</t>
        </is>
      </c>
      <c r="D25" s="5" t="inlineStr">
        <is>
          <t>EUR</t>
        </is>
      </c>
      <c r="E25" s="6" t="n">
        <v>6476525637.229</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6" customWidth="1" min="1" max="1"/>
    <col width="96" customWidth="1" min="2" max="2"/>
  </cols>
  <sheetData>
    <row r="1">
      <c r="A1" s="7" t="inlineStr">
        <is>
          <t>What was asked</t>
        </is>
      </c>
    </row>
    <row r="2">
      <c r="A2" s="8" t="inlineStr">
        <is>
          <t>Question</t>
        </is>
      </c>
      <c r="B2" s="9" t="inlineStr">
        <is>
          <t>List the twenty largest ledger transactions this month with counterparty, account, currency and amount.</t>
        </is>
      </c>
    </row>
    <row r="3">
      <c r="A3" s="8" t="inlineStr">
        <is>
          <t>Interpreted as</t>
        </is>
      </c>
      <c r="B3" s="9" t="inlineStr">
        <is>
          <t>List the twenty largest business ledger transactions for this month, including details such as counterparty, account, currency, and amount.</t>
        </is>
      </c>
    </row>
    <row r="4">
      <c r="A4" s="8" t="inlineStr">
        <is>
          <t>Commentary</t>
        </is>
      </c>
      <c r="B4" s="9" t="inlineStr">
        <is>
          <t>The report lists the twenty largest ledger transactions for the current month, detailing the counterparty, account, currency, and transaction amount. The most significant transaction is with Nightjar Trust, amounting to EUR 78,493,469,220.94, which is notably larger than the others. Transactions in EUR appear frequently, with five entries, indicating a concentration in this currency. The operations team should particularly note the substantial transaction with Nightjar Trust, as well as the high volume of transactions involving the EUR currency.</t>
        </is>
      </c>
    </row>
    <row r="6">
      <c r="A6" s="7" t="inlineStr">
        <is>
          <t>Limitations</t>
        </is>
      </c>
    </row>
    <row r="7">
      <c r="B7" s="9" t="inlineStr">
        <is>
          <t>- The view is scoped to transactions from October 2023 onwards.</t>
        </is>
      </c>
    </row>
    <row r="8">
      <c r="B8" s="9" t="inlineStr">
        <is>
          <t>- Amounts are displayed in GBP using static synthetic FX rates.</t>
        </is>
      </c>
    </row>
    <row r="10">
      <c r="A10" s="7" t="inlineStr">
        <is>
          <t>Dependencies</t>
        </is>
      </c>
    </row>
    <row r="11">
      <c r="B11" s="9" t="inlineStr">
        <is>
          <t>- Display currency is set to GBP.</t>
        </is>
      </c>
    </row>
    <row r="12">
      <c r="B12" s="9" t="inlineStr">
        <is>
          <t>- Data classification: Synthetic / non-production.</t>
        </is>
      </c>
    </row>
    <row r="14">
      <c r="A14" s="7" t="inlineStr">
        <is>
          <t>How the figures were produced</t>
        </is>
      </c>
    </row>
    <row r="15">
      <c r="A15" s="8" t="inlineStr">
        <is>
          <t>Source</t>
        </is>
      </c>
      <c r="B15" s="9" t="inlineStr">
        <is>
          <t>Business Ledger Txn View (synthetic_liquidity_month.xlsx)</t>
        </is>
      </c>
    </row>
    <row r="16">
      <c r="A16" s="8" t="inlineStr">
        <is>
          <t>Mode</t>
        </is>
      </c>
      <c r="B16" s="9" t="inlineStr">
        <is>
          <t>list</t>
        </is>
      </c>
    </row>
    <row r="17">
      <c r="A17" s="8" t="inlineStr">
        <is>
          <t>Measures</t>
        </is>
      </c>
      <c r="B17" s="9" t="inlineStr">
        <is>
          <t>-</t>
        </is>
      </c>
    </row>
    <row r="18">
      <c r="A18" s="8" t="inlineStr">
        <is>
          <t>Grouped by</t>
        </is>
      </c>
      <c r="B18" s="9" t="inlineStr">
        <is>
          <t>not grouped</t>
        </is>
      </c>
    </row>
    <row r="19">
      <c r="A19" s="8" t="inlineStr">
        <is>
          <t>Filters</t>
        </is>
      </c>
      <c r="B19" s="9" t="inlineStr">
        <is>
          <t>Value Date gte 2023-10-01</t>
        </is>
      </c>
    </row>
    <row r="20">
      <c r="A20" s="8" t="inlineStr">
        <is>
          <t>Rows</t>
        </is>
      </c>
      <c r="B20" s="9" t="inlineStr">
        <is>
          <t>9780 of 9780 after filters; 20 returned</t>
        </is>
      </c>
    </row>
    <row r="21">
      <c r="A21" s="8" t="inlineStr">
        <is>
          <t>Executed</t>
        </is>
      </c>
      <c r="B21" s="9" t="inlineStr">
        <is>
          <t>2026-08-20T11:29:57</t>
        </is>
      </c>
    </row>
    <row r="22">
      <c r="A22" s="8" t="inlineStr">
        <is>
          <t>Exported</t>
        </is>
      </c>
      <c r="B22" s="9" t="inlineStr">
        <is>
          <t>20 August 2026 at 11:29:58</t>
        </is>
      </c>
    </row>
    <row r="24">
      <c r="A24" s="7" t="inlineStr">
        <is>
          <t>Important</t>
        </is>
      </c>
    </row>
    <row r="25">
      <c r="B25" s="10" t="inlineStr">
        <is>
          <t>Every figure here was computed directly from the source data by a deterministic query. No figure was generated, estimated or adjusted by a language model; the AI selected the query and wrote the commentary only. This is synthetic, non-production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2026-08-20T09:29:58Z</dcterms:created>
  <dcterms:modified xsi:type="dcterms:W3CDTF">2026-08-20T09:29:58Z</dcterms:modified>
</cp:coreProperties>
</file>