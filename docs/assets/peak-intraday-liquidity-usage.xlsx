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164" fontId="0" fillId="0" borderId="2" pivotButton="0" quotePrefix="0" xfId="0"/>
    <xf numFmtId="0" fontId="0" fillId="0" borderId="2" pivotButton="0" quotePrefix="0" xfId="0"/>
    <xf numFmtId="165"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Peak intraday position by CCY (Local)</a:t>
            </a:r>
          </a:p>
        </rich>
      </tx>
    </title>
    <plotArea>
      <barChart>
        <barDir val="col"/>
        <grouping val="clustered"/>
        <ser>
          <idx val="0"/>
          <order val="0"/>
          <tx>
            <strRef>
              <f>'Data'!C5</f>
            </strRef>
          </tx>
          <spPr>
            <a:ln>
              <a:prstDash val="solid"/>
            </a:ln>
          </spPr>
          <cat>
            <numRef>
              <f>'Data'!$A$6:$A$20</f>
            </numRef>
          </cat>
          <val>
            <numRef>
              <f>'Data'!$C$6:$C$20</f>
            </numRef>
          </val>
        </ser>
        <ser>
          <idx val="1"/>
          <order val="1"/>
          <tx>
            <strRef>
              <f>'Data'!D5</f>
            </strRef>
          </tx>
          <spPr>
            <a:ln>
              <a:prstDash val="solid"/>
            </a:ln>
          </spPr>
          <cat>
            <numRef>
              <f>'Data'!$A$6:$A$20</f>
            </numRef>
          </cat>
          <val>
            <numRef>
              <f>'Data'!$D$6:$D$20</f>
            </numRef>
          </val>
        </ser>
        <ser>
          <idx val="2"/>
          <order val="2"/>
          <tx>
            <strRef>
              <f>'Data'!E5</f>
            </strRef>
          </tx>
          <spPr>
            <a:ln>
              <a:prstDash val="solid"/>
            </a:ln>
          </spPr>
          <cat>
            <numRef>
              <f>'Data'!$A$6:$A$20</f>
            </numRef>
          </cat>
          <val>
            <numRef>
              <f>'Data'!$E$6:$E$20</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20"/>
  <sheetViews>
    <sheetView workbookViewId="0">
      <pane ySplit="5" topLeftCell="A6" activePane="bottomLeft" state="frozen"/>
      <selection pane="bottomLeft" activeCell="A1" sqref="A1"/>
    </sheetView>
  </sheetViews>
  <sheetFormatPr baseColWidth="8" defaultRowHeight="15"/>
  <cols>
    <col width="13" customWidth="1" min="1" max="1"/>
    <col width="14" customWidth="1" min="2" max="2"/>
    <col width="18" customWidth="1" min="3" max="3"/>
    <col width="12" customWidth="1" min="4" max="4"/>
    <col width="19" customWidth="1" min="5" max="5"/>
    <col width="12" customWidth="1" min="6" max="6"/>
    <col width="19" customWidth="1" min="7" max="7"/>
    <col width="12" customWidth="1" min="8" max="8"/>
  </cols>
  <sheetData>
    <row r="1">
      <c r="A1" s="1" t="inlineStr">
        <is>
          <t>Peak intraday position by CCY (Local)</t>
        </is>
      </c>
    </row>
    <row r="2">
      <c r="A2" s="2" t="inlineStr">
        <is>
          <t>Requested: "What was our peak intraday liquidity usage by currency? Show the cumulative net position through the day and where it peaked."</t>
        </is>
      </c>
    </row>
    <row r="3">
      <c r="A3" s="3" t="inlineStr">
        <is>
          <t>Synthetic / non-production data. Figures computed from source, not generated.</t>
        </is>
      </c>
    </row>
    <row r="5">
      <c r="A5" s="4" t="inlineStr">
        <is>
          <t>Value Date</t>
        </is>
      </c>
      <c r="B5" s="4" t="inlineStr">
        <is>
          <t>CCY (Local)</t>
        </is>
      </c>
      <c r="C5" s="4" t="inlineStr">
        <is>
          <t>Peak position</t>
        </is>
      </c>
      <c r="D5" s="4" t="inlineStr">
        <is>
          <t>Peak at</t>
        </is>
      </c>
      <c r="E5" s="4" t="inlineStr">
        <is>
          <t>Largest usage</t>
        </is>
      </c>
      <c r="F5" s="4" t="inlineStr">
        <is>
          <t>Usage at</t>
        </is>
      </c>
      <c r="G5" s="4" t="inlineStr">
        <is>
          <t>Closing position</t>
        </is>
      </c>
      <c r="H5" s="4" t="inlineStr">
        <is>
          <t>Movements</t>
        </is>
      </c>
    </row>
    <row r="6">
      <c r="A6" s="5" t="n">
        <v>46241</v>
      </c>
      <c r="B6" s="6" t="inlineStr">
        <is>
          <t>USD</t>
        </is>
      </c>
      <c r="C6" s="7" t="n">
        <v>3651980700.335</v>
      </c>
      <c r="D6" s="6" t="inlineStr">
        <is>
          <t>08:54</t>
        </is>
      </c>
      <c r="E6" s="7" t="n">
        <v>-75161138913.35899</v>
      </c>
      <c r="F6" s="6" t="inlineStr">
        <is>
          <t>11:48</t>
        </is>
      </c>
      <c r="G6" s="7" t="n">
        <v>-73804517358.489</v>
      </c>
      <c r="H6" s="7" t="n">
        <v>141</v>
      </c>
    </row>
    <row r="7">
      <c r="A7" s="5" t="n">
        <v>46232</v>
      </c>
      <c r="B7" s="6" t="inlineStr">
        <is>
          <t>EUR</t>
        </is>
      </c>
      <c r="C7" s="7" t="n">
        <v>2106543350.406</v>
      </c>
      <c r="D7" s="6" t="inlineStr">
        <is>
          <t>08:37</t>
        </is>
      </c>
      <c r="E7" s="7" t="n">
        <v>-71676533031.68401</v>
      </c>
      <c r="F7" s="6" t="inlineStr">
        <is>
          <t>14:29</t>
        </is>
      </c>
      <c r="G7" s="7" t="n">
        <v>-68606740858.249</v>
      </c>
      <c r="H7" s="7" t="n">
        <v>139</v>
      </c>
    </row>
    <row r="8">
      <c r="A8" s="5" t="n">
        <v>46237</v>
      </c>
      <c r="B8" s="6" t="inlineStr">
        <is>
          <t>EUR</t>
        </is>
      </c>
      <c r="C8" s="7" t="n">
        <v>251592717.139</v>
      </c>
      <c r="D8" s="6" t="inlineStr">
        <is>
          <t>11:05</t>
        </is>
      </c>
      <c r="E8" s="7" t="n">
        <v>-63399763349.402</v>
      </c>
      <c r="F8" s="6" t="inlineStr">
        <is>
          <t>19:30</t>
        </is>
      </c>
      <c r="G8" s="7" t="n">
        <v>-63364620089.022</v>
      </c>
      <c r="H8" s="7" t="n">
        <v>104</v>
      </c>
    </row>
    <row r="9">
      <c r="A9" s="5" t="n">
        <v>46251</v>
      </c>
      <c r="B9" s="6" t="inlineStr">
        <is>
          <t>USD</t>
        </is>
      </c>
      <c r="C9" s="7" t="n">
        <v>127125042.499</v>
      </c>
      <c r="D9" s="6" t="inlineStr">
        <is>
          <t>06:00</t>
        </is>
      </c>
      <c r="E9" s="7" t="n">
        <v>-57906037999.212</v>
      </c>
      <c r="F9" s="6" t="inlineStr">
        <is>
          <t>08:05</t>
        </is>
      </c>
      <c r="G9" s="7" t="n">
        <v>-54057939663.631</v>
      </c>
      <c r="H9" s="7" t="n">
        <v>113</v>
      </c>
    </row>
    <row r="10">
      <c r="A10" s="5" t="n">
        <v>46237</v>
      </c>
      <c r="B10" s="6" t="inlineStr">
        <is>
          <t>USD</t>
        </is>
      </c>
      <c r="C10" s="7" t="n">
        <v>260907051.287</v>
      </c>
      <c r="D10" s="6" t="inlineStr">
        <is>
          <t>05:02</t>
        </is>
      </c>
      <c r="E10" s="7" t="n">
        <v>-50627771984.015</v>
      </c>
      <c r="F10" s="6" t="inlineStr">
        <is>
          <t>17:28</t>
        </is>
      </c>
      <c r="G10" s="7" t="n">
        <v>-48908513422.111</v>
      </c>
      <c r="H10" s="7" t="n">
        <v>160</v>
      </c>
    </row>
    <row r="11">
      <c r="A11" s="5" t="n">
        <v>46252</v>
      </c>
      <c r="B11" s="6" t="inlineStr">
        <is>
          <t>USD</t>
        </is>
      </c>
      <c r="C11" s="7" t="n">
        <v>453456524.035</v>
      </c>
      <c r="D11" s="6" t="inlineStr">
        <is>
          <t>06:21</t>
        </is>
      </c>
      <c r="E11" s="7" t="n">
        <v>-47432040467.172</v>
      </c>
      <c r="F11" s="6" t="inlineStr">
        <is>
          <t>18:17</t>
        </is>
      </c>
      <c r="G11" s="7" t="n">
        <v>-47139267688.178</v>
      </c>
      <c r="H11" s="7" t="n">
        <v>131</v>
      </c>
    </row>
    <row r="12">
      <c r="A12" s="5" t="n">
        <v>46231</v>
      </c>
      <c r="B12" s="6" t="inlineStr">
        <is>
          <t>AUD</t>
        </is>
      </c>
      <c r="C12" s="7" t="n">
        <v>215721174.04</v>
      </c>
      <c r="D12" s="6" t="inlineStr">
        <is>
          <t>14:56</t>
        </is>
      </c>
      <c r="E12" s="7" t="n">
        <v>-45071690080.945</v>
      </c>
      <c r="F12" s="6" t="inlineStr">
        <is>
          <t>15:34</t>
        </is>
      </c>
      <c r="G12" s="7" t="n">
        <v>-45070373759.376</v>
      </c>
      <c r="H12" s="7" t="n">
        <v>20</v>
      </c>
    </row>
    <row r="13">
      <c r="A13" s="5" t="n">
        <v>46238</v>
      </c>
      <c r="B13" s="6" t="inlineStr">
        <is>
          <t>USD</t>
        </is>
      </c>
      <c r="C13" s="7" t="n">
        <v>410792942.029</v>
      </c>
      <c r="D13" s="6" t="inlineStr">
        <is>
          <t>06:11</t>
        </is>
      </c>
      <c r="E13" s="7" t="n">
        <v>-44075049100.094</v>
      </c>
      <c r="F13" s="6" t="inlineStr">
        <is>
          <t>18:04</t>
        </is>
      </c>
      <c r="G13" s="7" t="n">
        <v>-43159221219.891</v>
      </c>
      <c r="H13" s="7" t="n">
        <v>280</v>
      </c>
    </row>
    <row r="14">
      <c r="A14" s="5" t="n">
        <v>46238</v>
      </c>
      <c r="B14" s="6" t="inlineStr">
        <is>
          <t>EUR</t>
        </is>
      </c>
      <c r="C14" s="7" t="n">
        <v>40516770638.144</v>
      </c>
      <c r="D14" s="6" t="inlineStr">
        <is>
          <t>19:56</t>
        </is>
      </c>
      <c r="E14" s="7" t="n">
        <v>-38852364316.898</v>
      </c>
      <c r="F14" s="6" t="inlineStr">
        <is>
          <t>16:22</t>
        </is>
      </c>
      <c r="G14" s="7" t="n">
        <v>39925526300.662</v>
      </c>
      <c r="H14" s="7" t="n">
        <v>186</v>
      </c>
    </row>
    <row r="15">
      <c r="A15" s="5" t="n">
        <v>46226</v>
      </c>
      <c r="B15" s="6" t="inlineStr">
        <is>
          <t>CAD</t>
        </is>
      </c>
      <c r="C15" s="7" t="n">
        <v>69564550.69499999</v>
      </c>
      <c r="D15" s="6" t="inlineStr">
        <is>
          <t>07:33</t>
        </is>
      </c>
      <c r="E15" s="7" t="n">
        <v>-34179352462.355</v>
      </c>
      <c r="F15" s="6" t="inlineStr">
        <is>
          <t>08:32</t>
        </is>
      </c>
      <c r="G15" s="7" t="n">
        <v>-33814112659.613</v>
      </c>
      <c r="H15" s="7" t="n">
        <v>19</v>
      </c>
    </row>
    <row r="16">
      <c r="A16" s="5" t="n">
        <v>46231</v>
      </c>
      <c r="B16" s="6" t="inlineStr">
        <is>
          <t>USD</t>
        </is>
      </c>
      <c r="C16" s="7" t="n">
        <v>338903.709</v>
      </c>
      <c r="D16" s="6" t="inlineStr">
        <is>
          <t>02:00</t>
        </is>
      </c>
      <c r="E16" s="7" t="n">
        <v>-29098130457.811</v>
      </c>
      <c r="F16" s="6" t="inlineStr">
        <is>
          <t>15:43</t>
        </is>
      </c>
      <c r="G16" s="7" t="n">
        <v>-26927847695.108</v>
      </c>
      <c r="H16" s="7" t="n">
        <v>164</v>
      </c>
    </row>
    <row r="17">
      <c r="A17" s="5" t="n">
        <v>46246</v>
      </c>
      <c r="B17" s="6" t="inlineStr">
        <is>
          <t>EUR</t>
        </is>
      </c>
      <c r="C17" s="7" t="n">
        <v>-5936766.922</v>
      </c>
      <c r="D17" s="6" t="inlineStr">
        <is>
          <t>06:29</t>
        </is>
      </c>
      <c r="E17" s="7" t="n">
        <v>-29005116174.552</v>
      </c>
      <c r="F17" s="6" t="inlineStr">
        <is>
          <t>16:57</t>
        </is>
      </c>
      <c r="G17" s="7" t="n">
        <v>-27991283070.397</v>
      </c>
      <c r="H17" s="7" t="n">
        <v>80</v>
      </c>
    </row>
    <row r="18">
      <c r="A18" s="5" t="n">
        <v>46227</v>
      </c>
      <c r="B18" s="6" t="inlineStr">
        <is>
          <t>USD</t>
        </is>
      </c>
      <c r="C18" s="7" t="n">
        <v>11744692.176</v>
      </c>
      <c r="D18" s="6" t="inlineStr">
        <is>
          <t>06:02</t>
        </is>
      </c>
      <c r="E18" s="7" t="n">
        <v>-24322955393.815</v>
      </c>
      <c r="F18" s="6" t="inlineStr">
        <is>
          <t>19:44</t>
        </is>
      </c>
      <c r="G18" s="7" t="n">
        <v>-24322428842.707</v>
      </c>
      <c r="H18" s="7" t="n">
        <v>114</v>
      </c>
    </row>
    <row r="19">
      <c r="A19" s="5" t="n">
        <v>46225</v>
      </c>
      <c r="B19" s="6" t="inlineStr">
        <is>
          <t>EUR</t>
        </is>
      </c>
      <c r="C19" s="7" t="n">
        <v>-591724818.978</v>
      </c>
      <c r="D19" s="6" t="inlineStr">
        <is>
          <t>01:19</t>
        </is>
      </c>
      <c r="E19" s="7" t="n">
        <v>-21214615997.926</v>
      </c>
      <c r="F19" s="6" t="inlineStr">
        <is>
          <t>13:58</t>
        </is>
      </c>
      <c r="G19" s="7" t="n">
        <v>-13630119794.89</v>
      </c>
      <c r="H19" s="7" t="n">
        <v>76</v>
      </c>
    </row>
    <row r="20">
      <c r="A20" s="5" t="n">
        <v>46232</v>
      </c>
      <c r="B20" s="6" t="inlineStr">
        <is>
          <t>USD</t>
        </is>
      </c>
      <c r="C20" s="7" t="n">
        <v>22073081850.794</v>
      </c>
      <c r="D20" s="6" t="inlineStr">
        <is>
          <t>10:00</t>
        </is>
      </c>
      <c r="E20" s="7" t="n">
        <v>-17056617978.075</v>
      </c>
      <c r="F20" s="6" t="inlineStr">
        <is>
          <t>16:18</t>
        </is>
      </c>
      <c r="G20" s="7" t="n">
        <v>-13188868933.056</v>
      </c>
      <c r="H20" s="7" t="n">
        <v>180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6" customWidth="1" min="2" max="2"/>
  </cols>
  <sheetData>
    <row r="1">
      <c r="A1" s="8" t="inlineStr">
        <is>
          <t>What was asked</t>
        </is>
      </c>
    </row>
    <row r="2">
      <c r="A2" s="9" t="inlineStr">
        <is>
          <t>Question</t>
        </is>
      </c>
      <c r="B2" s="10" t="inlineStr">
        <is>
          <t>What was our peak intraday liquidity usage by currency? Show the cumulative net position through the day and where it peaked.</t>
        </is>
      </c>
    </row>
    <row r="3">
      <c r="A3" s="9" t="inlineStr">
        <is>
          <t>Interpreted as</t>
        </is>
      </c>
      <c r="B3" s="10" t="inlineStr">
        <is>
          <t>The user wants to know the peak intraday liquidity usage by currency, including the cumulative net position through the day and the point at which it peaked.</t>
        </is>
      </c>
    </row>
    <row r="4">
      <c r="A4" s="9" t="inlineStr">
        <is>
          <t>Commentary</t>
        </is>
      </c>
      <c r="B4" s="10" t="inlineStr">
        <is>
          <t>The report presents the peak intraday liquidity usage by currency, detailing the cumulative net position throughout the day and the specific time at which the peak occurred. The most significant peak position was observed in EUR on 2026-08-04, reaching 40,516,770,638.14 at 19:56. The largest usage was recorded in USD on 2026-08-07, with a usage of -75,161,138,913.36 at 11:48. Operations should particularly note the substantial negative closing positions, such as -73,804,517,358.49 in USD on 2026-08-07, which may require further analysis.</t>
        </is>
      </c>
    </row>
    <row r="6">
      <c r="A6" s="8" t="inlineStr">
        <is>
          <t>Limitations</t>
        </is>
      </c>
    </row>
    <row r="7">
      <c r="B7" s="10" t="inlineStr">
        <is>
          <t>- Showing the 15 largest usage positions of 556 day/group combinations, worst first. Ask for a specific currency or date to see the rest.</t>
        </is>
      </c>
    </row>
    <row r="8">
      <c r="B8" s="10" t="inlineStr">
        <is>
          <t>- The view is scoped to the value date range from 2026-07-20 to 2026-08-18.</t>
        </is>
      </c>
    </row>
    <row r="9">
      <c r="B9" s="10" t="inlineStr">
        <is>
          <t>- Amounts are translated using static synthetic FX rates to GBP.</t>
        </is>
      </c>
    </row>
    <row r="10">
      <c r="B10" s="10" t="inlineStr">
        <is>
          <t>- The data is synthetic and non-production.</t>
        </is>
      </c>
    </row>
    <row r="12">
      <c r="A12" s="8" t="inlineStr">
        <is>
          <t>Dependencies</t>
        </is>
      </c>
    </row>
    <row r="13">
      <c r="B13" s="10" t="inlineStr">
        <is>
          <t>- The calculation of peak intraday liquidity usage depends on the completeness of transaction data within the specified date range.</t>
        </is>
      </c>
    </row>
    <row r="15">
      <c r="A15" s="8" t="inlineStr">
        <is>
          <t>How the figures were produced</t>
        </is>
      </c>
    </row>
    <row r="16">
      <c r="A16" s="9" t="inlineStr">
        <is>
          <t>Source</t>
        </is>
      </c>
      <c r="B16" s="10" t="inlineStr">
        <is>
          <t>Business Ledger Txn View (synthetic_liquidity_month.xlsx)</t>
        </is>
      </c>
    </row>
    <row r="17">
      <c r="A17" s="9" t="inlineStr">
        <is>
          <t>Mode</t>
        </is>
      </c>
      <c r="B17" s="10" t="inlineStr">
        <is>
          <t>peak</t>
        </is>
      </c>
    </row>
    <row r="18">
      <c r="A18" s="9" t="inlineStr">
        <is>
          <t>Measures</t>
        </is>
      </c>
      <c r="B18" s="10" t="inlineStr">
        <is>
          <t>-</t>
        </is>
      </c>
    </row>
    <row r="19">
      <c r="A19" s="9" t="inlineStr">
        <is>
          <t>Grouped by</t>
        </is>
      </c>
      <c r="B19" s="10" t="inlineStr">
        <is>
          <t>not grouped</t>
        </is>
      </c>
    </row>
    <row r="20">
      <c r="A20" s="9" t="inlineStr">
        <is>
          <t>Filters</t>
        </is>
      </c>
      <c r="B20" s="10" t="inlineStr">
        <is>
          <t>none</t>
        </is>
      </c>
    </row>
    <row r="21">
      <c r="A21" s="9" t="inlineStr">
        <is>
          <t>Rows</t>
        </is>
      </c>
      <c r="B21" s="10" t="inlineStr">
        <is>
          <t>9780 of 9780 after filters; 15 returned</t>
        </is>
      </c>
    </row>
    <row r="22">
      <c r="A22" s="9" t="inlineStr">
        <is>
          <t>Executed</t>
        </is>
      </c>
      <c r="B22" s="10" t="inlineStr">
        <is>
          <t>2026-08-20T11:30:25</t>
        </is>
      </c>
    </row>
    <row r="23">
      <c r="A23" s="9" t="inlineStr">
        <is>
          <t>Exported</t>
        </is>
      </c>
      <c r="B23" s="10" t="inlineStr">
        <is>
          <t>20 August 2026 at 11:30:28</t>
        </is>
      </c>
    </row>
    <row r="25">
      <c r="A25" s="8" t="inlineStr">
        <is>
          <t>Important</t>
        </is>
      </c>
    </row>
    <row r="26">
      <c r="B26" s="11"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2026-08-20T09:30:28Z</dcterms:created>
  <dcterms:modified xsi:type="dcterms:W3CDTF">2026-08-20T09:30:28Z</dcterms:modified>
</cp:coreProperties>
</file>