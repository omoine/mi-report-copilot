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 this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0B0B0B"/>
      <sz val="13"/>
    </font>
    <font>
      <i val="1"/>
      <color rgb="0052514E"/>
      <sz val="9"/>
    </font>
    <font>
      <color rgb="00898781"/>
      <sz val="8"/>
    </font>
    <font>
      <b val="1"/>
      <color rgb="000B0B0B"/>
      <sz val="10"/>
    </font>
    <font>
      <b val="1"/>
      <color rgb="008A15E0"/>
      <sz val="11"/>
    </font>
    <font>
      <b val="1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2EAFB"/>
      </patternFill>
    </fill>
  </fills>
  <borders count="3">
    <border>
      <left/>
      <right/>
      <top/>
      <bottom/>
      <diagonal/>
    </border>
    <border>
      <bottom style="medium">
        <color rgb="008A15E0"/>
      </bottom>
    </border>
    <border>
      <bottom style="thin">
        <color rgb="00E1E0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2" pivotButton="0" quotePrefix="0" xfId="0"/>
    <xf numFmtId="164" fontId="0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Sum of Amount (Display) by Counterparty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'Data'!B5</f>
            </strRef>
          </tx>
          <spPr>
            <a:ln>
              <a:prstDash val="solid"/>
            </a:ln>
          </spPr>
          <cat>
            <numRef>
              <f>'Data'!$A$6:$A$15</f>
            </numRef>
          </cat>
          <val>
            <numRef>
              <f>'Data'!$B$6:$B$15</f>
            </numRef>
          </val>
        </ser>
        <ser>
          <idx val="1"/>
          <order val="1"/>
          <tx>
            <strRef>
              <f>'Data'!C5</f>
            </strRef>
          </tx>
          <spPr>
            <a:ln>
              <a:prstDash val="solid"/>
            </a:ln>
          </spPr>
          <cat>
            <numRef>
              <f>'Data'!$A$6:$A$15</f>
            </numRef>
          </cat>
          <val>
            <numRef>
              <f>'Data'!$C$6:$C$15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30" customWidth="1" min="3" max="3"/>
  </cols>
  <sheetData>
    <row r="1">
      <c r="A1" s="1" t="inlineStr">
        <is>
          <t>Sum of Amount (Display) by Counterparty</t>
        </is>
      </c>
    </row>
    <row r="2">
      <c r="A2" s="2" t="inlineStr">
        <is>
          <t>Requested: "Which counterparties account for the largest share of ledger flow? Show the top ten with their share of the total."</t>
        </is>
      </c>
    </row>
    <row r="3">
      <c r="A3" s="3" t="inlineStr">
        <is>
          <t>Synthetic / non-production data. Figures computed from source, not generated.</t>
        </is>
      </c>
    </row>
    <row r="5">
      <c r="A5" s="4" t="inlineStr">
        <is>
          <t>Counterparty</t>
        </is>
      </c>
      <c r="B5" s="4" t="inlineStr">
        <is>
          <t>Amount (Display)</t>
        </is>
      </c>
      <c r="C5" s="4" t="inlineStr">
        <is>
          <t>% of total Amount (Display)</t>
        </is>
      </c>
    </row>
    <row r="6">
      <c r="A6" s="5" t="inlineStr">
        <is>
          <t>Nightjar Trust</t>
        </is>
      </c>
      <c r="B6" s="6" t="n">
        <v>74022638054.772</v>
      </c>
      <c r="C6" s="6" t="n">
        <v>25.72</v>
      </c>
    </row>
    <row r="7">
      <c r="A7" s="5" t="inlineStr">
        <is>
          <t>Zephyr Settlement Bank</t>
        </is>
      </c>
      <c r="B7" s="6" t="n">
        <v>54108323920.02299</v>
      </c>
      <c r="C7" s="6" t="n">
        <v>18.8</v>
      </c>
    </row>
    <row r="8">
      <c r="A8" s="5" t="inlineStr">
        <is>
          <t>Kestrel Trust</t>
        </is>
      </c>
      <c r="B8" s="6" t="n">
        <v>47768593382.491</v>
      </c>
      <c r="C8" s="6" t="n">
        <v>16.6</v>
      </c>
    </row>
    <row r="9">
      <c r="A9" s="5" t="inlineStr">
        <is>
          <t>Ironbark Settlement Bank</t>
        </is>
      </c>
      <c r="B9" s="6" t="n">
        <v>31604464455.65901</v>
      </c>
      <c r="C9" s="6" t="n">
        <v>10.98</v>
      </c>
    </row>
    <row r="10">
      <c r="A10" s="5" t="inlineStr">
        <is>
          <t>Wrenfield Trust</t>
        </is>
      </c>
      <c r="B10" s="6" t="n">
        <v>18492103189.506</v>
      </c>
      <c r="C10" s="6" t="n">
        <v>6.42</v>
      </c>
    </row>
    <row r="11">
      <c r="A11" s="5" t="inlineStr">
        <is>
          <t>Larkspur Commercial Bank</t>
        </is>
      </c>
      <c r="B11" s="6" t="n">
        <v>16220479750.534</v>
      </c>
      <c r="C11" s="6" t="n">
        <v>5.64</v>
      </c>
    </row>
    <row r="12">
      <c r="A12" s="5" t="inlineStr">
        <is>
          <t>Kestrel Settlement Bank</t>
        </is>
      </c>
      <c r="B12" s="6" t="n">
        <v>14852611968.759</v>
      </c>
      <c r="C12" s="6" t="n">
        <v>5.16</v>
      </c>
    </row>
    <row r="13">
      <c r="A13" s="5" t="inlineStr">
        <is>
          <t>Vetchling Trust</t>
        </is>
      </c>
      <c r="B13" s="6" t="n">
        <v>13941997099.886</v>
      </c>
      <c r="C13" s="6" t="n">
        <v>4.84</v>
      </c>
    </row>
    <row r="14">
      <c r="A14" s="5" t="inlineStr">
        <is>
          <t>Granite Bank</t>
        </is>
      </c>
      <c r="B14" s="6" t="n">
        <v>9365898488.500002</v>
      </c>
      <c r="C14" s="6" t="n">
        <v>3.25</v>
      </c>
    </row>
    <row r="15">
      <c r="A15" s="5" t="inlineStr">
        <is>
          <t>Mallow Trust</t>
        </is>
      </c>
      <c r="B15" s="6" t="n">
        <v>7454667883.149002</v>
      </c>
      <c r="C15" s="6" t="n">
        <v>2.59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7" t="inlineStr">
        <is>
          <t>What was asked</t>
        </is>
      </c>
    </row>
    <row r="2">
      <c r="A2" s="8" t="inlineStr">
        <is>
          <t>Question</t>
        </is>
      </c>
      <c r="B2" s="9" t="inlineStr">
        <is>
          <t>Which counterparties account for the largest share of ledger flow? Show the top ten with their share of the total.</t>
        </is>
      </c>
    </row>
    <row r="3">
      <c r="A3" s="8" t="inlineStr">
        <is>
          <t>Interpreted as</t>
        </is>
      </c>
      <c r="B3" s="9" t="inlineStr">
        <is>
          <t>Identify the top ten counterparties that account for the largest share of the total ledger flow, and display their share of the total.</t>
        </is>
      </c>
    </row>
    <row r="4">
      <c r="A4" s="8" t="inlineStr">
        <is>
          <t>Commentary</t>
        </is>
      </c>
      <c r="B4" s="9" t="inlineStr">
        <is>
          <t>The report identifies the top ten counterparties contributing to the total ledger flow, with Nightjar Trust leading at 25.72% of the total. Zephyr Settlement Bank and Kestrel Trust follow, accounting for 18.80% and 16.60%, respectively. These three counterparties alone represent over 60% of the total ledger flow, indicating a significant concentration among them. Operations should particularly note the dominance of Nightjar Trust, as its transactions constitute over a quarter of the total flow.</t>
        </is>
      </c>
    </row>
    <row r="6">
      <c r="A6" s="7" t="inlineStr">
        <is>
          <t>Limitations</t>
        </is>
      </c>
    </row>
    <row r="7">
      <c r="B7" s="9" t="inlineStr">
        <is>
          <t>- The view is scoped to the value date range from 2026-07-20 to 2026-08-18.</t>
        </is>
      </c>
    </row>
    <row r="8">
      <c r="B8" s="9" t="inlineStr">
        <is>
          <t>- Amounts are translated using static synthetic FX rates to GBP.</t>
        </is>
      </c>
    </row>
    <row r="9">
      <c r="B9" s="9" t="inlineStr">
        <is>
          <t>- This is synthetic, non-production data.</t>
        </is>
      </c>
    </row>
    <row r="11">
      <c r="A11" s="7" t="inlineStr">
        <is>
          <t>Dependencies</t>
        </is>
      </c>
    </row>
    <row r="12">
      <c r="B12" s="9" t="inlineStr">
        <is>
          <t>- - none recorded -</t>
        </is>
      </c>
    </row>
    <row r="14">
      <c r="A14" s="7" t="inlineStr">
        <is>
          <t>How the figures were produced</t>
        </is>
      </c>
    </row>
    <row r="15">
      <c r="A15" s="8" t="inlineStr">
        <is>
          <t>Source</t>
        </is>
      </c>
      <c r="B15" s="9" t="inlineStr">
        <is>
          <t>Business Ledger Txn View (synthetic_liquidity_month.xlsx)</t>
        </is>
      </c>
    </row>
    <row r="16">
      <c r="A16" s="8" t="inlineStr">
        <is>
          <t>Mode</t>
        </is>
      </c>
      <c r="B16" s="9" t="inlineStr">
        <is>
          <t>aggregate</t>
        </is>
      </c>
    </row>
    <row r="17">
      <c r="A17" s="8" t="inlineStr">
        <is>
          <t>Measures</t>
        </is>
      </c>
      <c r="B17" s="9" t="inlineStr">
        <is>
          <t>sum of Amount (Display)</t>
        </is>
      </c>
    </row>
    <row r="18">
      <c r="A18" s="8" t="inlineStr">
        <is>
          <t>Grouped by</t>
        </is>
      </c>
      <c r="B18" s="9" t="inlineStr">
        <is>
          <t>Counterparty</t>
        </is>
      </c>
    </row>
    <row r="19">
      <c r="A19" s="8" t="inlineStr">
        <is>
          <t>Filters</t>
        </is>
      </c>
      <c r="B19" s="9" t="inlineStr">
        <is>
          <t>none</t>
        </is>
      </c>
    </row>
    <row r="20">
      <c r="A20" s="8" t="inlineStr">
        <is>
          <t>Rows</t>
        </is>
      </c>
      <c r="B20" s="9" t="inlineStr">
        <is>
          <t>9780 of 9780 after filters; 10 returned</t>
        </is>
      </c>
    </row>
    <row r="21">
      <c r="A21" s="8" t="inlineStr">
        <is>
          <t>Executed</t>
        </is>
      </c>
      <c r="B21" s="9" t="inlineStr">
        <is>
          <t>2026-08-20T11:30:13</t>
        </is>
      </c>
    </row>
    <row r="22">
      <c r="A22" s="8" t="inlineStr">
        <is>
          <t>Exported</t>
        </is>
      </c>
      <c r="B22" s="9" t="inlineStr">
        <is>
          <t>20 August 2026 at 11:30:17</t>
        </is>
      </c>
    </row>
    <row r="24">
      <c r="A24" s="7" t="inlineStr">
        <is>
          <t>Important</t>
        </is>
      </c>
    </row>
    <row r="25">
      <c r="B25" s="10" t="inlineStr">
        <is>
          <t>Every figure here was computed directly from the source data by a deterministic query. No figure was generated, estimated or adjusted by a language model; the AI selected the query and wrote the commentary only. This is synthetic, non-production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2026-08-20T09:30:17Z</dcterms:created>
  <dcterms:modified xsi:type="dcterms:W3CDTF">2026-08-20T09:30:17Z</dcterms:modified>
</cp:coreProperties>
</file>