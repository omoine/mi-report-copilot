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About this 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9">
    <font>
      <name val="Calibri"/>
      <family val="2"/>
      <color theme="1"/>
      <sz val="11"/>
      <scheme val="minor"/>
    </font>
    <font>
      <b val="1"/>
      <color rgb="000B0B0B"/>
      <sz val="13"/>
    </font>
    <font>
      <i val="1"/>
      <color rgb="0052514E"/>
      <sz val="9"/>
    </font>
    <font>
      <color rgb="00898781"/>
      <sz val="8"/>
    </font>
    <font>
      <b val="1"/>
      <color rgb="000B0B0B"/>
      <sz val="10"/>
    </font>
    <font>
      <b val="1"/>
      <color rgb="008A15E0"/>
      <sz val="11"/>
    </font>
    <font>
      <b val="1"/>
      <sz val="9"/>
    </font>
    <font>
      <sz val="9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F2EAFB"/>
      </patternFill>
    </fill>
  </fills>
  <borders count="3">
    <border>
      <left/>
      <right/>
      <top/>
      <bottom/>
      <diagonal/>
    </border>
    <border>
      <bottom style="medium">
        <color rgb="008A15E0"/>
      </bottom>
    </border>
    <border>
      <bottom style="thin">
        <color rgb="00E1E0D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0" borderId="2" pivotButton="0" quotePrefix="0" xfId="0"/>
    <xf numFmtId="164" fontId="0" fillId="0" borderId="2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Distribution of Swing (Display) by Account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'Data'!B5</f>
            </strRef>
          </tx>
          <spPr>
            <a:ln>
              <a:prstDash val="solid"/>
            </a:ln>
          </spPr>
          <cat>
            <numRef>
              <f>'Data'!$A$6:$A$30</f>
            </numRef>
          </cat>
          <val>
            <numRef>
              <f>'Data'!$B$6:$B$30</f>
            </numRef>
          </val>
        </ser>
        <ser>
          <idx val="1"/>
          <order val="1"/>
          <tx>
            <strRef>
              <f>'Data'!C5</f>
            </strRef>
          </tx>
          <spPr>
            <a:ln>
              <a:prstDash val="solid"/>
            </a:ln>
          </spPr>
          <cat>
            <numRef>
              <f>'Data'!$A$6:$A$30</f>
            </numRef>
          </cat>
          <val>
            <numRef>
              <f>'Data'!$C$6:$C$30</f>
            </numRef>
          </val>
        </ser>
        <ser>
          <idx val="2"/>
          <order val="2"/>
          <tx>
            <strRef>
              <f>'Data'!D5</f>
            </strRef>
          </tx>
          <spPr>
            <a:ln>
              <a:prstDash val="solid"/>
            </a:ln>
          </spPr>
          <cat>
            <numRef>
              <f>'Data'!$A$6:$A$30</f>
            </numRef>
          </cat>
          <val>
            <numRef>
              <f>'Data'!$D$6:$D$30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4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2" customWidth="1" min="3" max="3"/>
    <col width="12" customWidth="1" min="4" max="4"/>
    <col width="21" customWidth="1" min="5" max="5"/>
    <col width="16" customWidth="1" min="6" max="6"/>
    <col width="15" customWidth="1" min="7" max="7"/>
  </cols>
  <sheetData>
    <row r="1">
      <c r="A1" s="1" t="inlineStr">
        <is>
          <t>Distribution of Swing (Display) by Account</t>
        </is>
      </c>
    </row>
    <row r="2">
      <c r="A2" s="2" t="inlineStr">
        <is>
          <t>Requested: "Which client accounts have the most volatile daily balance swing? Show the spread of their daily swing, largest first."</t>
        </is>
      </c>
    </row>
    <row r="3">
      <c r="A3" s="3" t="inlineStr">
        <is>
          <t>Synthetic / non-production data. Figures computed from source, not generated.</t>
        </is>
      </c>
    </row>
    <row r="5">
      <c r="A5" s="4" t="inlineStr">
        <is>
          <t>Account</t>
        </is>
      </c>
      <c r="B5" s="4" t="inlineStr">
        <is>
          <t>count</t>
        </is>
      </c>
      <c r="C5" s="4" t="inlineStr">
        <is>
          <t>mean</t>
        </is>
      </c>
      <c r="D5" s="4" t="inlineStr">
        <is>
          <t>median</t>
        </is>
      </c>
      <c r="E5" s="4" t="inlineStr">
        <is>
          <t>std</t>
        </is>
      </c>
      <c r="F5" s="4" t="inlineStr">
        <is>
          <t>min</t>
        </is>
      </c>
      <c r="G5" s="4" t="inlineStr">
        <is>
          <t>max</t>
        </is>
      </c>
    </row>
    <row r="6">
      <c r="A6" s="5" t="inlineStr">
        <is>
          <t>291830171278</t>
        </is>
      </c>
      <c r="B6" s="6" t="n">
        <v>22</v>
      </c>
      <c r="C6" s="6" t="n">
        <v>35004.65040909175</v>
      </c>
      <c r="D6" s="6" t="n">
        <v>0</v>
      </c>
      <c r="E6" s="6" t="n">
        <v>28134547.29805277</v>
      </c>
      <c r="F6" s="6" t="n">
        <v>-83009992.37199999</v>
      </c>
      <c r="G6" s="6" t="n">
        <v>88886454.01000001</v>
      </c>
    </row>
    <row r="7">
      <c r="A7" s="5" t="inlineStr">
        <is>
          <t>205205184376</t>
        </is>
      </c>
      <c r="B7" s="6" t="n">
        <v>22</v>
      </c>
      <c r="C7" s="6" t="n">
        <v>626694.8368636363</v>
      </c>
      <c r="D7" s="6" t="n">
        <v>0</v>
      </c>
      <c r="E7" s="6" t="n">
        <v>26852240.17080068</v>
      </c>
      <c r="F7" s="6" t="n">
        <v>-80741446.914</v>
      </c>
      <c r="G7" s="6" t="n">
        <v>92896812.617</v>
      </c>
    </row>
    <row r="8">
      <c r="A8" s="5" t="inlineStr">
        <is>
          <t>944794220428</t>
        </is>
      </c>
      <c r="B8" s="6" t="n">
        <v>22</v>
      </c>
      <c r="C8" s="6" t="n">
        <v>-2070961.491681818</v>
      </c>
      <c r="D8" s="6" t="n">
        <v>0</v>
      </c>
      <c r="E8" s="6" t="n">
        <v>24622423.62897</v>
      </c>
      <c r="F8" s="6" t="n">
        <v>-92930034.479</v>
      </c>
      <c r="G8" s="6" t="n">
        <v>63066025.422</v>
      </c>
    </row>
    <row r="9">
      <c r="A9" s="5" t="inlineStr">
        <is>
          <t>849109355298</t>
        </is>
      </c>
      <c r="B9" s="6" t="n">
        <v>22</v>
      </c>
      <c r="C9" s="6" t="n">
        <v>9115596.225590907</v>
      </c>
      <c r="D9" s="6" t="n">
        <v>0</v>
      </c>
      <c r="E9" s="6" t="n">
        <v>24002943.5702833</v>
      </c>
      <c r="F9" s="6" t="n">
        <v>-15558342.948</v>
      </c>
      <c r="G9" s="6" t="n">
        <v>72776105.604</v>
      </c>
    </row>
    <row r="10">
      <c r="A10" s="5" t="inlineStr">
        <is>
          <t>909098465252</t>
        </is>
      </c>
      <c r="B10" s="6" t="n">
        <v>22</v>
      </c>
      <c r="C10" s="6" t="n">
        <v>-6139568.633045455</v>
      </c>
      <c r="D10" s="6" t="n">
        <v>0</v>
      </c>
      <c r="E10" s="6" t="n">
        <v>23838052.7480761</v>
      </c>
      <c r="F10" s="6" t="n">
        <v>-89918456.294</v>
      </c>
      <c r="G10" s="6" t="n">
        <v>13669728.285</v>
      </c>
    </row>
    <row r="11">
      <c r="A11" s="5" t="inlineStr">
        <is>
          <t>539031262681</t>
        </is>
      </c>
      <c r="B11" s="6" t="n">
        <v>22</v>
      </c>
      <c r="C11" s="6" t="n">
        <v>3027443.646681818</v>
      </c>
      <c r="D11" s="6" t="n">
        <v>0</v>
      </c>
      <c r="E11" s="6" t="n">
        <v>20717707.62245652</v>
      </c>
      <c r="F11" s="6" t="n">
        <v>-24237989.77</v>
      </c>
      <c r="G11" s="6" t="n">
        <v>87507932.439</v>
      </c>
    </row>
    <row r="12">
      <c r="A12" s="5" t="inlineStr">
        <is>
          <t>320114759233</t>
        </is>
      </c>
      <c r="B12" s="6" t="n">
        <v>22</v>
      </c>
      <c r="C12" s="6" t="n">
        <v>3873266.2125</v>
      </c>
      <c r="D12" s="6" t="n">
        <v>0</v>
      </c>
      <c r="E12" s="6" t="n">
        <v>20353372.34604251</v>
      </c>
      <c r="F12" s="6" t="n">
        <v>-34596831.627</v>
      </c>
      <c r="G12" s="6" t="n">
        <v>75705587.079</v>
      </c>
    </row>
    <row r="13">
      <c r="A13" s="5" t="inlineStr">
        <is>
          <t>840969010950</t>
        </is>
      </c>
      <c r="B13" s="6" t="n">
        <v>22</v>
      </c>
      <c r="C13" s="6" t="n">
        <v>630596.9230454545</v>
      </c>
      <c r="D13" s="6" t="n">
        <v>0</v>
      </c>
      <c r="E13" s="6" t="n">
        <v>20066868.75994485</v>
      </c>
      <c r="F13" s="6" t="n">
        <v>-55203907.49</v>
      </c>
      <c r="G13" s="6" t="n">
        <v>71652945.728</v>
      </c>
    </row>
    <row r="14">
      <c r="A14" s="5" t="inlineStr">
        <is>
          <t>910275754061</t>
        </is>
      </c>
      <c r="B14" s="6" t="n">
        <v>22</v>
      </c>
      <c r="C14" s="6" t="n">
        <v>-2062229.502136364</v>
      </c>
      <c r="D14" s="6" t="n">
        <v>0</v>
      </c>
      <c r="E14" s="6" t="n">
        <v>19835916.13963535</v>
      </c>
      <c r="F14" s="6" t="n">
        <v>-67029820.904</v>
      </c>
      <c r="G14" s="6" t="n">
        <v>39940515.189</v>
      </c>
    </row>
    <row r="15">
      <c r="A15" s="5" t="inlineStr">
        <is>
          <t>555572694805</t>
        </is>
      </c>
      <c r="B15" s="6" t="n">
        <v>22</v>
      </c>
      <c r="C15" s="6" t="n">
        <v>6351868.928090907</v>
      </c>
      <c r="D15" s="6" t="n">
        <v>0</v>
      </c>
      <c r="E15" s="6" t="n">
        <v>19214341.27259245</v>
      </c>
      <c r="F15" s="6" t="n">
        <v>-5993655.774</v>
      </c>
      <c r="G15" s="6" t="n">
        <v>79658377.98199999</v>
      </c>
    </row>
    <row r="16">
      <c r="A16" s="5" t="inlineStr">
        <is>
          <t>225430746975</t>
        </is>
      </c>
      <c r="B16" s="6" t="n">
        <v>22</v>
      </c>
      <c r="C16" s="6" t="n">
        <v>4363946.908409092</v>
      </c>
      <c r="D16" s="6" t="n">
        <v>0</v>
      </c>
      <c r="E16" s="6" t="n">
        <v>18755348.11609289</v>
      </c>
      <c r="F16" s="6" t="n">
        <v>-347398.743</v>
      </c>
      <c r="G16" s="6" t="n">
        <v>88011538.046</v>
      </c>
    </row>
    <row r="17">
      <c r="A17" s="5" t="inlineStr">
        <is>
          <t>967624358937</t>
        </is>
      </c>
      <c r="B17" s="6" t="n">
        <v>22</v>
      </c>
      <c r="C17" s="6" t="n">
        <v>3538532.759409091</v>
      </c>
      <c r="D17" s="6" t="n">
        <v>0</v>
      </c>
      <c r="E17" s="6" t="n">
        <v>18709644.543097</v>
      </c>
      <c r="F17" s="6" t="n">
        <v>-8148360.976</v>
      </c>
      <c r="G17" s="6" t="n">
        <v>86929125.152</v>
      </c>
    </row>
    <row r="18">
      <c r="A18" s="5" t="inlineStr">
        <is>
          <t>820967287796</t>
        </is>
      </c>
      <c r="B18" s="6" t="n">
        <v>22</v>
      </c>
      <c r="C18" s="6" t="n">
        <v>4996493.5825</v>
      </c>
      <c r="D18" s="6" t="n">
        <v>3729.235</v>
      </c>
      <c r="E18" s="6" t="n">
        <v>18412630.5570051</v>
      </c>
      <c r="F18" s="6" t="n">
        <v>-16653686.67</v>
      </c>
      <c r="G18" s="6" t="n">
        <v>79395887.733</v>
      </c>
    </row>
    <row r="19">
      <c r="A19" s="5" t="inlineStr">
        <is>
          <t>118308640809</t>
        </is>
      </c>
      <c r="B19" s="6" t="n">
        <v>22</v>
      </c>
      <c r="C19" s="6" t="n">
        <v>2169885.159545455</v>
      </c>
      <c r="D19" s="6" t="n">
        <v>761.635</v>
      </c>
      <c r="E19" s="6" t="n">
        <v>18383393.7689628</v>
      </c>
      <c r="F19" s="6" t="n">
        <v>-29243500.069</v>
      </c>
      <c r="G19" s="6" t="n">
        <v>79619914.62199999</v>
      </c>
    </row>
    <row r="20">
      <c r="A20" s="5" t="inlineStr">
        <is>
          <t>389836464400</t>
        </is>
      </c>
      <c r="B20" s="6" t="n">
        <v>22</v>
      </c>
      <c r="C20" s="6" t="n">
        <v>4168791.455454546</v>
      </c>
      <c r="D20" s="6" t="n">
        <v>0</v>
      </c>
      <c r="E20" s="6" t="n">
        <v>18289408.64045432</v>
      </c>
      <c r="F20" s="6" t="n">
        <v>-1383483.864</v>
      </c>
      <c r="G20" s="6" t="n">
        <v>85894358.501</v>
      </c>
    </row>
    <row r="21">
      <c r="A21" s="5" t="inlineStr">
        <is>
          <t>947625227984</t>
        </is>
      </c>
      <c r="B21" s="6" t="n">
        <v>22</v>
      </c>
      <c r="C21" s="6" t="n">
        <v>5038719.769545455</v>
      </c>
      <c r="D21" s="6" t="n">
        <v>23668.68</v>
      </c>
      <c r="E21" s="6" t="n">
        <v>17889181.37845215</v>
      </c>
      <c r="F21" s="6" t="n">
        <v>-2078441.112</v>
      </c>
      <c r="G21" s="6" t="n">
        <v>83057533.272</v>
      </c>
    </row>
    <row r="22">
      <c r="A22" s="5" t="inlineStr">
        <is>
          <t>263732603516</t>
        </is>
      </c>
      <c r="B22" s="6" t="n">
        <v>22</v>
      </c>
      <c r="C22" s="6" t="n">
        <v>-4331517.936636362</v>
      </c>
      <c r="D22" s="6" t="n">
        <v>0</v>
      </c>
      <c r="E22" s="6" t="n">
        <v>17802663.56653964</v>
      </c>
      <c r="F22" s="6" t="n">
        <v>-83769596.646</v>
      </c>
      <c r="G22" s="6" t="n">
        <v>139831.047</v>
      </c>
    </row>
    <row r="23">
      <c r="A23" s="5" t="inlineStr">
        <is>
          <t>793184613977</t>
        </is>
      </c>
      <c r="B23" s="6" t="n">
        <v>22</v>
      </c>
      <c r="C23" s="6" t="n">
        <v>2084933.707727273</v>
      </c>
      <c r="D23" s="6" t="n">
        <v>0</v>
      </c>
      <c r="E23" s="6" t="n">
        <v>17688340.10024504</v>
      </c>
      <c r="F23" s="6" t="n">
        <v>-33964121.218</v>
      </c>
      <c r="G23" s="6" t="n">
        <v>61091181.44</v>
      </c>
    </row>
    <row r="24">
      <c r="A24" s="5" t="inlineStr">
        <is>
          <t>385672994728</t>
        </is>
      </c>
      <c r="B24" s="6" t="n">
        <v>22</v>
      </c>
      <c r="C24" s="6" t="n">
        <v>-3734730.089863637</v>
      </c>
      <c r="D24" s="6" t="n">
        <v>0</v>
      </c>
      <c r="E24" s="6" t="n">
        <v>17675120.3195458</v>
      </c>
      <c r="F24" s="6" t="n">
        <v>-82584041.449</v>
      </c>
      <c r="G24" s="6" t="n">
        <v>5090611.831</v>
      </c>
    </row>
    <row r="25">
      <c r="A25" s="5" t="inlineStr">
        <is>
          <t>542779002005</t>
        </is>
      </c>
      <c r="B25" s="6" t="n">
        <v>22</v>
      </c>
      <c r="C25" s="6" t="n">
        <v>-2137356.170681819</v>
      </c>
      <c r="D25" s="6" t="n">
        <v>0</v>
      </c>
      <c r="E25" s="6" t="n">
        <v>17421309.7102487</v>
      </c>
      <c r="F25" s="6" t="n">
        <v>-76221726.207</v>
      </c>
      <c r="G25" s="6" t="n">
        <v>20901115.742</v>
      </c>
    </row>
    <row r="26">
      <c r="A26" s="5" t="inlineStr">
        <is>
          <t>714506164459</t>
        </is>
      </c>
      <c r="B26" s="6" t="n">
        <v>22</v>
      </c>
      <c r="C26" s="6" t="n">
        <v>-2913312.366318182</v>
      </c>
      <c r="D26" s="6" t="n">
        <v>0</v>
      </c>
      <c r="E26" s="6" t="n">
        <v>17410722.18693544</v>
      </c>
      <c r="F26" s="6" t="n">
        <v>-79234036.86300001</v>
      </c>
      <c r="G26" s="6" t="n">
        <v>15481123.105</v>
      </c>
    </row>
    <row r="27">
      <c r="A27" s="5" t="inlineStr">
        <is>
          <t>205518767075</t>
        </is>
      </c>
      <c r="B27" s="6" t="n">
        <v>22</v>
      </c>
      <c r="C27" s="6" t="n">
        <v>683930.7583181813</v>
      </c>
      <c r="D27" s="6" t="n">
        <v>0</v>
      </c>
      <c r="E27" s="6" t="n">
        <v>17359106.38950486</v>
      </c>
      <c r="F27" s="6" t="n">
        <v>-63087440.661</v>
      </c>
      <c r="G27" s="6" t="n">
        <v>36862515.537</v>
      </c>
    </row>
    <row r="28">
      <c r="A28" s="5" t="inlineStr">
        <is>
          <t>118234992610</t>
        </is>
      </c>
      <c r="B28" s="6" t="n">
        <v>22</v>
      </c>
      <c r="C28" s="6" t="n">
        <v>3438421.696181818</v>
      </c>
      <c r="D28" s="6" t="n">
        <v>0</v>
      </c>
      <c r="E28" s="6" t="n">
        <v>17234030.56230082</v>
      </c>
      <c r="F28" s="6" t="n">
        <v>-4665527.34</v>
      </c>
      <c r="G28" s="6" t="n">
        <v>80146247.801</v>
      </c>
    </row>
    <row r="29">
      <c r="A29" s="5" t="inlineStr">
        <is>
          <t>921847628421</t>
        </is>
      </c>
      <c r="B29" s="6" t="n">
        <v>22</v>
      </c>
      <c r="C29" s="6" t="n">
        <v>3187165.808863637</v>
      </c>
      <c r="D29" s="6" t="n">
        <v>523.978</v>
      </c>
      <c r="E29" s="6" t="n">
        <v>17010076.42227921</v>
      </c>
      <c r="F29" s="6" t="n">
        <v>-16415683.019</v>
      </c>
      <c r="G29" s="6" t="n">
        <v>77495656.23999999</v>
      </c>
    </row>
    <row r="30">
      <c r="A30" s="5" t="inlineStr">
        <is>
          <t>845072216498</t>
        </is>
      </c>
      <c r="B30" s="6" t="n">
        <v>22</v>
      </c>
      <c r="C30" s="6" t="n">
        <v>3808328.056</v>
      </c>
      <c r="D30" s="6" t="n">
        <v>0</v>
      </c>
      <c r="E30" s="6" t="n">
        <v>16996540.54946499</v>
      </c>
      <c r="F30" s="6" t="n">
        <v>-23943134.561</v>
      </c>
      <c r="G30" s="6" t="n">
        <v>44036573.266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7" t="inlineStr">
        <is>
          <t>What was asked</t>
        </is>
      </c>
    </row>
    <row r="2">
      <c r="A2" s="8" t="inlineStr">
        <is>
          <t>Question</t>
        </is>
      </c>
      <c r="B2" s="9" t="inlineStr">
        <is>
          <t>Which client accounts have the most volatile daily balance swing? Show the spread of their daily swing, largest first.</t>
        </is>
      </c>
    </row>
    <row r="3">
      <c r="A3" s="8" t="inlineStr">
        <is>
          <t>Interpreted as</t>
        </is>
      </c>
      <c r="B3" s="9" t="inlineStr">
        <is>
          <t>Identify client accounts with the most volatile daily balance swing and display the spread of their daily swing, sorted by the largest swing first.</t>
        </is>
      </c>
    </row>
    <row r="4">
      <c r="A4" s="8" t="inlineStr">
        <is>
          <t>Commentary</t>
        </is>
      </c>
      <c r="B4" s="9" t="inlineStr">
        <is>
          <t>The report identifies client accounts with the most volatile daily balance swings, ranked by the spread of their daily swings. The account with the largest swing is 291830171278, showing a maximum swing range from -83,009,992.37 to 88,886,454.01, with a standard deviation of 28,134,547.30. Notably, account 205205184376 also exhibits significant volatility, with a range from -80,741,446.91 to 92,896,812.62 and a standard deviation of 26,852,240.17. Operations should closely monitor these accounts due to their high volatility, which could impact liquidity management.</t>
        </is>
      </c>
    </row>
    <row r="6">
      <c r="A6" s="7" t="inlineStr">
        <is>
          <t>Limitations</t>
        </is>
      </c>
    </row>
    <row r="7">
      <c r="B7" s="9" t="inlineStr">
        <is>
          <t>- Showing the 25 most variable of 900 groups, by standard deviation.</t>
        </is>
      </c>
    </row>
    <row r="8">
      <c r="B8" s="9" t="inlineStr">
        <is>
          <t>- The view is scoped to the value date range from 2026-07-20 to 2026-08-18.</t>
        </is>
      </c>
    </row>
    <row r="9">
      <c r="B9" s="9" t="inlineStr">
        <is>
          <t>- The Swing (Display) is calculated using static synthetic FX rates.</t>
        </is>
      </c>
    </row>
    <row r="10">
      <c r="B10" s="9" t="inlineStr">
        <is>
          <t>- Data classification: synthetic, non-production.</t>
        </is>
      </c>
    </row>
    <row r="12">
      <c r="A12" s="7" t="inlineStr">
        <is>
          <t>Dependencies</t>
        </is>
      </c>
    </row>
    <row r="13">
      <c r="B13" s="9" t="inlineStr">
        <is>
          <t>- - none recorded -</t>
        </is>
      </c>
    </row>
    <row r="15">
      <c r="A15" s="7" t="inlineStr">
        <is>
          <t>How the figures were produced</t>
        </is>
      </c>
    </row>
    <row r="16">
      <c r="A16" s="8" t="inlineStr">
        <is>
          <t>Source</t>
        </is>
      </c>
      <c r="B16" s="9" t="inlineStr">
        <is>
          <t>Client View (synthetic_liquidity_month.xlsx)</t>
        </is>
      </c>
    </row>
    <row r="17">
      <c r="A17" s="8" t="inlineStr">
        <is>
          <t>Mode</t>
        </is>
      </c>
      <c r="B17" s="9" t="inlineStr">
        <is>
          <t>distribution</t>
        </is>
      </c>
    </row>
    <row r="18">
      <c r="A18" s="8" t="inlineStr">
        <is>
          <t>Measures</t>
        </is>
      </c>
      <c r="B18" s="9" t="inlineStr">
        <is>
          <t>distribution of Swing (Display)</t>
        </is>
      </c>
    </row>
    <row r="19">
      <c r="A19" s="8" t="inlineStr">
        <is>
          <t>Grouped by</t>
        </is>
      </c>
      <c r="B19" s="9" t="inlineStr">
        <is>
          <t>not grouped</t>
        </is>
      </c>
    </row>
    <row r="20">
      <c r="A20" s="8" t="inlineStr">
        <is>
          <t>Filters</t>
        </is>
      </c>
      <c r="B20" s="9" t="inlineStr">
        <is>
          <t>none</t>
        </is>
      </c>
    </row>
    <row r="21">
      <c r="A21" s="8" t="inlineStr">
        <is>
          <t>Rows</t>
        </is>
      </c>
      <c r="B21" s="9" t="inlineStr">
        <is>
          <t>19800 of 19800 after filters; 25 returned</t>
        </is>
      </c>
    </row>
    <row r="22">
      <c r="A22" s="8" t="inlineStr">
        <is>
          <t>Executed</t>
        </is>
      </c>
      <c r="B22" s="9" t="inlineStr">
        <is>
          <t>2026-08-20T11:29:26</t>
        </is>
      </c>
    </row>
    <row r="23">
      <c r="A23" s="8" t="inlineStr">
        <is>
          <t>Exported</t>
        </is>
      </c>
      <c r="B23" s="9" t="inlineStr">
        <is>
          <t>20 August 2026 at 11:29:29</t>
        </is>
      </c>
    </row>
    <row r="25">
      <c r="A25" s="7" t="inlineStr">
        <is>
          <t>Important</t>
        </is>
      </c>
    </row>
    <row r="26">
      <c r="B26" s="10" t="inlineStr">
        <is>
          <t>Every figure here was computed directly from the source data by a deterministic query. No figure was generated, estimated or adjusted by a language model; the AI selected the query and wrote the commentary only. This is synthetic, non-production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2026-08-20T09:29:29Z</dcterms:created>
  <dcterms:modified xsi:type="dcterms:W3CDTF">2026-08-20T09:29:29Z</dcterms:modified>
</cp:coreProperties>
</file>