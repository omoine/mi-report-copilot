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Sum of Amount (Display) by Sub Branch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cat>
            <numRef>
              <f>'Data'!$A$6:$A$13</f>
            </numRef>
          </cat>
          <val>
            <numRef>
              <f>'Data'!$B$6:$B$13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cat>
            <numRef>
              <f>'Data'!$A$6:$A$13</f>
            </numRef>
          </cat>
          <val>
            <numRef>
              <f>'Data'!$C$6:$C$13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0" customWidth="1" min="3" max="3"/>
  </cols>
  <sheetData>
    <row r="1">
      <c r="A1" s="1" t="inlineStr">
        <is>
          <t>Sum of Amount (Display) by Sub Branch</t>
        </is>
      </c>
    </row>
    <row r="2">
      <c r="A2" s="2" t="inlineStr">
        <is>
          <t>Requested: "Compare our desks: total ledger flow by sub branch, with each desk's share, and break it down by legal entity as well."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Sub Branch</t>
        </is>
      </c>
      <c r="B5" s="4" t="inlineStr">
        <is>
          <t>Amount (Display)</t>
        </is>
      </c>
      <c r="C5" s="4" t="inlineStr">
        <is>
          <t>% of gross Amount (Display)</t>
        </is>
      </c>
    </row>
    <row r="6">
      <c r="A6" s="5" t="inlineStr">
        <is>
          <t>BRBX</t>
        </is>
      </c>
      <c r="B6" s="6" t="n">
        <v>72533247792.61401</v>
      </c>
      <c r="C6" s="6" t="n">
        <v>13.03</v>
      </c>
    </row>
    <row r="7">
      <c r="A7" s="5" t="inlineStr">
        <is>
          <t>BRCC</t>
        </is>
      </c>
      <c r="B7" s="6" t="n">
        <v>64042938012.021</v>
      </c>
      <c r="C7" s="6" t="n">
        <v>11.5</v>
      </c>
    </row>
    <row r="8">
      <c r="A8" s="5" t="inlineStr">
        <is>
          <t>BRGL</t>
        </is>
      </c>
      <c r="B8" s="6" t="n">
        <v>-994939663.0270138</v>
      </c>
      <c r="C8" s="6" t="n">
        <v>0.18</v>
      </c>
    </row>
    <row r="9">
      <c r="A9" s="5" t="inlineStr">
        <is>
          <t>BRGX</t>
        </is>
      </c>
      <c r="B9" s="6" t="n">
        <v>-30186619873.56401</v>
      </c>
      <c r="C9" s="6" t="n">
        <v>5.42</v>
      </c>
    </row>
    <row r="10">
      <c r="A10" s="5" t="inlineStr">
        <is>
          <t>BRAA</t>
        </is>
      </c>
      <c r="B10" s="6" t="n">
        <v>-38927227926.70802</v>
      </c>
      <c r="C10" s="6" t="n">
        <v>6.99</v>
      </c>
    </row>
    <row r="11">
      <c r="A11" s="5" t="inlineStr">
        <is>
          <t>BRMD</t>
        </is>
      </c>
      <c r="B11" s="6" t="n">
        <v>-40549013038.12199</v>
      </c>
      <c r="C11" s="6" t="n">
        <v>7.28</v>
      </c>
    </row>
    <row r="12">
      <c r="A12" s="5" t="inlineStr">
        <is>
          <t>BRNK</t>
        </is>
      </c>
      <c r="B12" s="6" t="n">
        <v>-65413324590.13301</v>
      </c>
      <c r="C12" s="6" t="n">
        <v>11.75</v>
      </c>
    </row>
    <row r="13">
      <c r="A13" s="5" t="inlineStr">
        <is>
          <t>BRYG</t>
        </is>
      </c>
      <c r="B13" s="6" t="n">
        <v>-244140158034.867</v>
      </c>
      <c r="C13" s="6" t="n">
        <v>43.85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Compare our desks: total ledger flow by sub branch, with each desk's share, and break it down by legal entity as well.</t>
        </is>
      </c>
    </row>
    <row r="3">
      <c r="A3" s="8" t="inlineStr">
        <is>
          <t>Interpreted as</t>
        </is>
      </c>
      <c r="B3" s="9" t="inlineStr">
        <is>
          <t>The user wants to compare total ledger flow by sub branch, including each desk's share of the total.</t>
        </is>
      </c>
    </row>
    <row r="4">
      <c r="A4" s="8" t="inlineStr">
        <is>
          <t>Commentary</t>
        </is>
      </c>
      <c r="B4" s="9" t="inlineStr">
        <is>
          <t>The report provides a comparison of total ledger flow by sub branch, highlighting each desk's share of the total. The sub branch BRYG has the most significant negative ledger flow, amounting to -244,140,158,034.87, which constitutes 43.85% of the gross amount. In contrast, BRBX shows the highest positive ledger flow at 72,533,247,792.61, representing 13.03% of the total. The substantial negative flow in BRYG is a notable outlier and should be examined further by the operations team.</t>
        </is>
      </c>
    </row>
    <row r="6">
      <c r="A6" s="7" t="inlineStr">
        <is>
          <t>Limitations</t>
        </is>
      </c>
    </row>
    <row r="7">
      <c r="B7" s="9" t="inlineStr">
        <is>
          <t>- Shares are calculated on gross flow because the figures include both debits and credits: as a share of the net total they would exceed 100% and could be negative.</t>
        </is>
      </c>
    </row>
    <row r="8">
      <c r="B8" s="9" t="inlineStr">
        <is>
          <t>- The view is scoped to the value date range from 2026-07-20 to 2026-08-18.</t>
        </is>
      </c>
    </row>
    <row r="9">
      <c r="B9" s="9" t="inlineStr">
        <is>
          <t>- The amounts are translated using static synthetic FX rates to GBP.</t>
        </is>
      </c>
    </row>
    <row r="10">
      <c r="B10" s="9" t="inlineStr">
        <is>
          <t>- This is synthetic, non-production data.</t>
        </is>
      </c>
    </row>
    <row r="12">
      <c r="A12" s="7" t="inlineStr">
        <is>
          <t>Dependencies</t>
        </is>
      </c>
    </row>
    <row r="13">
      <c r="B13" s="9" t="inlineStr">
        <is>
          <t>- - none recorded -</t>
        </is>
      </c>
    </row>
    <row r="15">
      <c r="A15" s="7" t="inlineStr">
        <is>
          <t>How the figures were produced</t>
        </is>
      </c>
    </row>
    <row r="16">
      <c r="A16" s="8" t="inlineStr">
        <is>
          <t>Source</t>
        </is>
      </c>
      <c r="B16" s="9" t="inlineStr">
        <is>
          <t>Business Ledger Txn View (synthetic_liquidity_month.xlsx)</t>
        </is>
      </c>
    </row>
    <row r="17">
      <c r="A17" s="8" t="inlineStr">
        <is>
          <t>Mode</t>
        </is>
      </c>
      <c r="B17" s="9" t="inlineStr">
        <is>
          <t>aggregate</t>
        </is>
      </c>
    </row>
    <row r="18">
      <c r="A18" s="8" t="inlineStr">
        <is>
          <t>Measures</t>
        </is>
      </c>
      <c r="B18" s="9" t="inlineStr">
        <is>
          <t>sum of Amount (Display)</t>
        </is>
      </c>
    </row>
    <row r="19">
      <c r="A19" s="8" t="inlineStr">
        <is>
          <t>Grouped by</t>
        </is>
      </c>
      <c r="B19" s="9" t="inlineStr">
        <is>
          <t>Sub Branch</t>
        </is>
      </c>
    </row>
    <row r="20">
      <c r="A20" s="8" t="inlineStr">
        <is>
          <t>Filters</t>
        </is>
      </c>
      <c r="B20" s="9" t="inlineStr">
        <is>
          <t>none</t>
        </is>
      </c>
    </row>
    <row r="21">
      <c r="A21" s="8" t="inlineStr">
        <is>
          <t>Rows</t>
        </is>
      </c>
      <c r="B21" s="9" t="inlineStr">
        <is>
          <t>9780 of 9780 after filters; 8 returned</t>
        </is>
      </c>
    </row>
    <row r="22">
      <c r="A22" s="8" t="inlineStr">
        <is>
          <t>Executed</t>
        </is>
      </c>
      <c r="B22" s="9" t="inlineStr">
        <is>
          <t>2026-08-20T11:29:49</t>
        </is>
      </c>
    </row>
    <row r="23">
      <c r="A23" s="8" t="inlineStr">
        <is>
          <t>Exported</t>
        </is>
      </c>
      <c r="B23" s="9" t="inlineStr">
        <is>
          <t>20 August 2026 at 11:29:51</t>
        </is>
      </c>
    </row>
    <row r="25">
      <c r="A25" s="7" t="inlineStr">
        <is>
          <t>Important</t>
        </is>
      </c>
    </row>
    <row r="26">
      <c r="B26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2026-08-20T09:29:52Z</dcterms:created>
  <dcterms:modified xsi:type="dcterms:W3CDTF">2026-08-20T09:29:52Z</dcterms:modified>
</cp:coreProperties>
</file>