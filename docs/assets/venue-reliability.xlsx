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Count of records by Target Account Venue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cat>
            <numRef>
              <f>'Data'!$A$6:$A$15</f>
            </numRef>
          </cat>
          <val>
            <numRef>
              <f>'Data'!$B$6:$B$15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cat>
            <numRef>
              <f>'Data'!$A$6:$A$15</f>
            </numRef>
          </cat>
          <val>
            <numRef>
              <f>'Data'!$C$6:$C$15</f>
            </numRef>
          </val>
        </ser>
        <ser>
          <idx val="2"/>
          <order val="2"/>
          <tx>
            <strRef>
              <f>'Data'!D5</f>
            </strRef>
          </tx>
          <spPr>
            <a:ln>
              <a:prstDash val="solid"/>
            </a:ln>
          </spPr>
          <cat>
            <numRef>
              <f>'Data'!$A$6:$A$15</f>
            </numRef>
          </cat>
          <val>
            <numRef>
              <f>'Data'!$D$6:$D$15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Count of records by Target Account Venue Location</t>
        </is>
      </c>
    </row>
    <row r="2">
      <c r="A2" s="2" t="inlineStr">
        <is>
          <t>Requested: "Which venues have the highest rate of failed or rejected transfers, relative to the total volume we send them?"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Target Account Venue Location</t>
        </is>
      </c>
      <c r="B5" s="4" t="inlineStr">
        <is>
          <t>count</t>
        </is>
      </c>
      <c r="C5" s="4" t="inlineStr">
        <is>
          <t>Failure rate %</t>
        </is>
      </c>
      <c r="D5" s="4" t="inlineStr">
        <is>
          <t>Matching</t>
        </is>
      </c>
      <c r="E5" s="4" t="inlineStr">
        <is>
          <t>Of total</t>
        </is>
      </c>
    </row>
    <row r="6">
      <c r="A6" s="5" t="inlineStr">
        <is>
          <t>Zephyr Clearing Hong Kong</t>
        </is>
      </c>
      <c r="B6" s="6" t="n">
        <v>76</v>
      </c>
      <c r="C6" s="6" t="n">
        <v>10.5</v>
      </c>
      <c r="D6" s="6" t="n">
        <v>8</v>
      </c>
      <c r="E6" s="6" t="n">
        <v>76</v>
      </c>
    </row>
    <row r="7">
      <c r="A7" s="5" t="inlineStr">
        <is>
          <t>Sablewood Settlement Bank Hong Kong</t>
        </is>
      </c>
      <c r="B7" s="6" t="n">
        <v>75</v>
      </c>
      <c r="C7" s="6" t="n">
        <v>9.300000000000001</v>
      </c>
      <c r="D7" s="6" t="n">
        <v>7</v>
      </c>
      <c r="E7" s="6" t="n">
        <v>75</v>
      </c>
    </row>
    <row r="8">
      <c r="A8" s="5" t="inlineStr">
        <is>
          <t>Dunlin Bank Hong Kong</t>
        </is>
      </c>
      <c r="B8" s="6" t="n">
        <v>74</v>
      </c>
      <c r="C8" s="6" t="n">
        <v>8.1</v>
      </c>
      <c r="D8" s="6" t="n">
        <v>6</v>
      </c>
      <c r="E8" s="6" t="n">
        <v>74</v>
      </c>
    </row>
    <row r="9">
      <c r="A9" s="5" t="inlineStr">
        <is>
          <t>Umberton Bank Dublin</t>
        </is>
      </c>
      <c r="B9" s="6" t="n">
        <v>88</v>
      </c>
      <c r="C9" s="6" t="n">
        <v>8</v>
      </c>
      <c r="D9" s="6" t="n">
        <v>7</v>
      </c>
      <c r="E9" s="6" t="n">
        <v>88</v>
      </c>
    </row>
    <row r="10">
      <c r="A10" s="5" t="inlineStr">
        <is>
          <t>Pinehurst Settlement Bank Milan</t>
        </is>
      </c>
      <c r="B10" s="6" t="n">
        <v>97</v>
      </c>
      <c r="C10" s="6" t="n">
        <v>7.2</v>
      </c>
      <c r="D10" s="6" t="n">
        <v>7</v>
      </c>
      <c r="E10" s="6" t="n">
        <v>97</v>
      </c>
    </row>
    <row r="11">
      <c r="A11" s="5" t="inlineStr">
        <is>
          <t>Alder Commercial Bank Hong Kong</t>
        </is>
      </c>
      <c r="B11" s="6" t="n">
        <v>84</v>
      </c>
      <c r="C11" s="6" t="n">
        <v>7.1</v>
      </c>
      <c r="D11" s="6" t="n">
        <v>6</v>
      </c>
      <c r="E11" s="6" t="n">
        <v>84</v>
      </c>
    </row>
    <row r="12">
      <c r="A12" s="5" t="inlineStr">
        <is>
          <t>Elmwood Clearing Stockholm</t>
        </is>
      </c>
      <c r="B12" s="6" t="n">
        <v>84</v>
      </c>
      <c r="C12" s="6" t="n">
        <v>7.1</v>
      </c>
      <c r="D12" s="6" t="n">
        <v>6</v>
      </c>
      <c r="E12" s="6" t="n">
        <v>84</v>
      </c>
    </row>
    <row r="13">
      <c r="A13" s="5" t="inlineStr">
        <is>
          <t>Vetchling Commercial Bank Luxembourg</t>
        </is>
      </c>
      <c r="B13" s="6" t="n">
        <v>104</v>
      </c>
      <c r="C13" s="6" t="n">
        <v>6.7</v>
      </c>
      <c r="D13" s="6" t="n">
        <v>7</v>
      </c>
      <c r="E13" s="6" t="n">
        <v>104</v>
      </c>
    </row>
    <row r="14">
      <c r="A14" s="5" t="inlineStr">
        <is>
          <t>Dunlin Bank Paris</t>
        </is>
      </c>
      <c r="B14" s="6" t="n">
        <v>90</v>
      </c>
      <c r="C14" s="6" t="n">
        <v>6.7</v>
      </c>
      <c r="D14" s="6" t="n">
        <v>6</v>
      </c>
      <c r="E14" s="6" t="n">
        <v>90</v>
      </c>
    </row>
    <row r="15">
      <c r="A15" s="5" t="inlineStr">
        <is>
          <t>Cedar Clearing Frankfurt</t>
        </is>
      </c>
      <c r="B15" s="6" t="n">
        <v>76</v>
      </c>
      <c r="C15" s="6" t="n">
        <v>6.6</v>
      </c>
      <c r="D15" s="6" t="n">
        <v>5</v>
      </c>
      <c r="E15" s="6" t="n">
        <v>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Which venues have the highest rate of failed or rejected transfers, relative to the total volume we send them?</t>
        </is>
      </c>
    </row>
    <row r="3">
      <c r="A3" s="8" t="inlineStr">
        <is>
          <t>Interpreted as</t>
        </is>
      </c>
      <c r="B3" s="9" t="inlineStr">
        <is>
          <t>Identify the venues with the highest failure rate of transfers, considering both failed and rejected statuses, relative to the total volume of transfers sent to them.</t>
        </is>
      </c>
    </row>
    <row r="4">
      <c r="A4" s="8" t="inlineStr">
        <is>
          <t>Commentary</t>
        </is>
      </c>
      <c r="B4" s="9" t="inlineStr">
        <is>
          <t>The report identifies Zephyr Clearing in Hong Kong as having the highest failure rate of transfers, with a rate of 10.50% relative to the total volume of 76 transfers sent to them. Sablewood Settlement Bank, also in Hong Kong, follows with a failure rate of 9.30% out of 75 transfers. Notably, Hong Kong venues appear prominently in the top three positions for failure rates, indicating a potential area for further investigation. Operations should particularly focus on the processes involving Zephyr Clearing and Sablewood Settlement Bank to understand the reasons behind these higher failure rates.</t>
        </is>
      </c>
    </row>
    <row r="6">
      <c r="A6" s="7" t="inlineStr">
        <is>
          <t>Limitations</t>
        </is>
      </c>
    </row>
    <row r="7">
      <c r="B7" s="9" t="inlineStr">
        <is>
          <t>- The amounts are in different currencies and are therefore not directly comparable or summable.</t>
        </is>
      </c>
    </row>
    <row r="8">
      <c r="B8" s="9" t="inlineStr">
        <is>
          <t>- The view is scoped to the value date range from 2026-07-20 to 2026-08-18.</t>
        </is>
      </c>
    </row>
    <row r="9">
      <c r="B9" s="9" t="inlineStr">
        <is>
          <t>- Display currency is GBP, but the 'Value Amount' is in the transfer's own currency.</t>
        </is>
      </c>
    </row>
    <row r="11">
      <c r="A11" s="7" t="inlineStr">
        <is>
          <t>Dependencies</t>
        </is>
      </c>
    </row>
    <row r="12">
      <c r="B12" s="9" t="inlineStr">
        <is>
          <t>- The calculation of failure rate depends on the 'Transfer Status' and 'Message Status' fields.</t>
        </is>
      </c>
    </row>
    <row r="14">
      <c r="A14" s="7" t="inlineStr">
        <is>
          <t>How the figures were produced</t>
        </is>
      </c>
    </row>
    <row r="15">
      <c r="A15" s="8" t="inlineStr">
        <is>
          <t>Source</t>
        </is>
      </c>
      <c r="B15" s="9" t="inlineStr">
        <is>
          <t>Nostro Transfer View (synthetic_liquidity_month.xlsx)</t>
        </is>
      </c>
    </row>
    <row r="16">
      <c r="A16" s="8" t="inlineStr">
        <is>
          <t>Mode</t>
        </is>
      </c>
      <c r="B16" s="9" t="inlineStr">
        <is>
          <t>aggregate</t>
        </is>
      </c>
    </row>
    <row r="17">
      <c r="A17" s="8" t="inlineStr">
        <is>
          <t>Measures</t>
        </is>
      </c>
      <c r="B17" s="9" t="inlineStr">
        <is>
          <t>count of rows</t>
        </is>
      </c>
    </row>
    <row r="18">
      <c r="A18" s="8" t="inlineStr">
        <is>
          <t>Grouped by</t>
        </is>
      </c>
      <c r="B18" s="9" t="inlineStr">
        <is>
          <t>Target Account Venue Location</t>
        </is>
      </c>
    </row>
    <row r="19">
      <c r="A19" s="8" t="inlineStr">
        <is>
          <t>Filters</t>
        </is>
      </c>
      <c r="B19" s="9" t="inlineStr">
        <is>
          <t>none</t>
        </is>
      </c>
    </row>
    <row r="20">
      <c r="A20" s="8" t="inlineStr">
        <is>
          <t>Rows</t>
        </is>
      </c>
      <c r="B20" s="9" t="inlineStr">
        <is>
          <t>4781 of 4781 after filters; 10 returned</t>
        </is>
      </c>
    </row>
    <row r="21">
      <c r="A21" s="8" t="inlineStr">
        <is>
          <t>Executed</t>
        </is>
      </c>
      <c r="B21" s="9" t="inlineStr">
        <is>
          <t>2026-08-20T11:29:29</t>
        </is>
      </c>
    </row>
    <row r="22">
      <c r="A22" s="8" t="inlineStr">
        <is>
          <t>Exported</t>
        </is>
      </c>
      <c r="B22" s="9" t="inlineStr">
        <is>
          <t>20 August 2026 at 11:29:32</t>
        </is>
      </c>
    </row>
    <row r="24">
      <c r="A24" s="7" t="inlineStr">
        <is>
          <t>Important</t>
        </is>
      </c>
    </row>
    <row r="25">
      <c r="B25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2026-08-20T09:29:33Z</dcterms:created>
  <dcterms:modified xsi:type="dcterms:W3CDTF">2026-08-20T09:29:33Z</dcterms:modified>
</cp:coreProperties>
</file>