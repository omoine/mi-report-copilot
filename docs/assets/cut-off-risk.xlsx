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About this view"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9">
    <font>
      <name val="Calibri"/>
      <family val="2"/>
      <color theme="1"/>
      <sz val="11"/>
      <scheme val="minor"/>
    </font>
    <font>
      <b val="1"/>
      <color rgb="000B0B0B"/>
      <sz val="13"/>
    </font>
    <font>
      <i val="1"/>
      <color rgb="0052514E"/>
      <sz val="9"/>
    </font>
    <font>
      <color rgb="00898781"/>
      <sz val="8"/>
    </font>
    <font>
      <b val="1"/>
      <color rgb="000B0B0B"/>
      <sz val="10"/>
    </font>
    <font>
      <b val="1"/>
      <color rgb="008A15E0"/>
      <sz val="11"/>
    </font>
    <font>
      <b val="1"/>
      <sz val="9"/>
    </font>
    <font>
      <sz val="9"/>
    </font>
    <font>
      <i val="1"/>
      <sz val="9"/>
    </font>
  </fonts>
  <fills count="3">
    <fill>
      <patternFill/>
    </fill>
    <fill>
      <patternFill patternType="gray125"/>
    </fill>
    <fill>
      <patternFill patternType="solid">
        <fgColor rgb="00F2EAFB"/>
      </patternFill>
    </fill>
  </fills>
  <borders count="3">
    <border>
      <left/>
      <right/>
      <top/>
      <bottom/>
      <diagonal/>
    </border>
    <border>
      <bottom style="medium">
        <color rgb="008A15E0"/>
      </bottom>
    </border>
    <border>
      <bottom style="thin">
        <color rgb="00E1E0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2" pivotButton="0" quotePrefix="0" xfId="0"/>
    <xf numFmtId="164" fontId="0" fillId="0" borderId="2"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2"/>
  <chart>
    <title>
      <tx>
        <rich>
          <a:bodyPr/>
          <a:p>
            <a:pPr>
              <a:defRPr/>
            </a:pPr>
            <a:r>
              <a:t>Sum of Amount (Display) by CCY (Local), Sub Branch - Hour of day at least 16:00</a:t>
            </a:r>
          </a:p>
        </rich>
      </tx>
    </title>
    <plotArea>
      <barChart>
        <barDir val="col"/>
        <grouping val="clustered"/>
        <ser>
          <idx val="0"/>
          <order val="0"/>
          <tx>
            <strRef>
              <f>'Data'!C5</f>
            </strRef>
          </tx>
          <spPr>
            <a:ln>
              <a:prstDash val="solid"/>
            </a:ln>
          </spPr>
          <cat>
            <numRef>
              <f>'Data'!$A$6:$A$30</f>
            </numRef>
          </cat>
          <val>
            <numRef>
              <f>'Data'!$C$6:$C$30</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30"/>
  <sheetViews>
    <sheetView workbookViewId="0">
      <pane ySplit="5" topLeftCell="A6" activePane="bottomLeft" state="frozen"/>
      <selection pane="bottomLeft" activeCell="A1" sqref="A1"/>
    </sheetView>
  </sheetViews>
  <sheetFormatPr baseColWidth="8" defaultRowHeight="15"/>
  <cols>
    <col width="14" customWidth="1" min="1" max="1"/>
    <col width="13" customWidth="1" min="2" max="2"/>
    <col width="21" customWidth="1" min="3" max="3"/>
  </cols>
  <sheetData>
    <row r="1">
      <c r="A1" s="1" t="inlineStr">
        <is>
          <t>Sum of Amount (Display) by CCY (Local), Sub Branch - Hour of day at least 16:00</t>
        </is>
      </c>
    </row>
    <row r="2">
      <c r="A2" s="2" t="inlineStr">
        <is>
          <t>Requested: "How much ledger value settles after 16:00 each day, and which currencies and desks does it sit in?"</t>
        </is>
      </c>
    </row>
    <row r="3">
      <c r="A3" s="3" t="inlineStr">
        <is>
          <t>Synthetic / non-production data. Figures computed from source, not generated.</t>
        </is>
      </c>
    </row>
    <row r="5">
      <c r="A5" s="4" t="inlineStr">
        <is>
          <t>CCY (Local)</t>
        </is>
      </c>
      <c r="B5" s="4" t="inlineStr">
        <is>
          <t>Sub Branch</t>
        </is>
      </c>
      <c r="C5" s="4" t="inlineStr">
        <is>
          <t>Amount (Display)</t>
        </is>
      </c>
    </row>
    <row r="6">
      <c r="A6" s="5" t="inlineStr">
        <is>
          <t>EUR</t>
        </is>
      </c>
      <c r="B6" s="5" t="inlineStr">
        <is>
          <t>BRCC</t>
        </is>
      </c>
      <c r="C6" s="6" t="n">
        <v>77665853366.722</v>
      </c>
    </row>
    <row r="7">
      <c r="A7" s="5" t="inlineStr">
        <is>
          <t>EUR</t>
        </is>
      </c>
      <c r="B7" s="5" t="inlineStr">
        <is>
          <t>BRBX</t>
        </is>
      </c>
      <c r="C7" s="6" t="n">
        <v>14375758416.687</v>
      </c>
    </row>
    <row r="8">
      <c r="A8" s="5" t="inlineStr">
        <is>
          <t>USD</t>
        </is>
      </c>
      <c r="B8" s="5" t="inlineStr">
        <is>
          <t>BRBX</t>
        </is>
      </c>
      <c r="C8" s="6" t="n">
        <v>12825628251.326</v>
      </c>
    </row>
    <row r="9">
      <c r="A9" s="5" t="inlineStr">
        <is>
          <t>EUR</t>
        </is>
      </c>
      <c r="B9" s="5" t="inlineStr">
        <is>
          <t>BRGL</t>
        </is>
      </c>
      <c r="C9" s="6" t="n">
        <v>8215181048.532999</v>
      </c>
    </row>
    <row r="10">
      <c r="A10" s="5" t="inlineStr">
        <is>
          <t>CNY</t>
        </is>
      </c>
      <c r="B10" s="5" t="inlineStr">
        <is>
          <t>BRBX</t>
        </is>
      </c>
      <c r="C10" s="6" t="n">
        <v>6904845115.352</v>
      </c>
    </row>
    <row r="11">
      <c r="A11" s="5" t="inlineStr">
        <is>
          <t>HKD</t>
        </is>
      </c>
      <c r="B11" s="5" t="inlineStr">
        <is>
          <t>BRNK</t>
        </is>
      </c>
      <c r="C11" s="6" t="n">
        <v>1961290667.333</v>
      </c>
    </row>
    <row r="12">
      <c r="A12" s="5" t="inlineStr">
        <is>
          <t>EUR</t>
        </is>
      </c>
      <c r="B12" s="5" t="inlineStr">
        <is>
          <t>BRAA</t>
        </is>
      </c>
      <c r="C12" s="6" t="n">
        <v>1729653242.57</v>
      </c>
    </row>
    <row r="13">
      <c r="A13" s="5" t="inlineStr">
        <is>
          <t>CHF</t>
        </is>
      </c>
      <c r="B13" s="5" t="inlineStr">
        <is>
          <t>BRGL</t>
        </is>
      </c>
      <c r="C13" s="6" t="n">
        <v>1174690820.576</v>
      </c>
    </row>
    <row r="14">
      <c r="A14" s="5" t="inlineStr">
        <is>
          <t>CAD</t>
        </is>
      </c>
      <c r="B14" s="5" t="inlineStr">
        <is>
          <t>BRYG</t>
        </is>
      </c>
      <c r="C14" s="6" t="n">
        <v>725606616.8380001</v>
      </c>
    </row>
    <row r="15">
      <c r="A15" s="5" t="inlineStr">
        <is>
          <t>TRY</t>
        </is>
      </c>
      <c r="B15" s="5" t="inlineStr">
        <is>
          <t>BRBX</t>
        </is>
      </c>
      <c r="C15" s="6" t="n">
        <v>721085729.092</v>
      </c>
    </row>
    <row r="16">
      <c r="A16" s="5" t="inlineStr">
        <is>
          <t>AUD</t>
        </is>
      </c>
      <c r="B16" s="5" t="inlineStr">
        <is>
          <t>BRCC</t>
        </is>
      </c>
      <c r="C16" s="6" t="n">
        <v>701056431.103</v>
      </c>
    </row>
    <row r="17">
      <c r="A17" s="5" t="inlineStr">
        <is>
          <t>CHF</t>
        </is>
      </c>
      <c r="B17" s="5" t="inlineStr">
        <is>
          <t>BRYG</t>
        </is>
      </c>
      <c r="C17" s="6" t="n">
        <v>686153775.9510001</v>
      </c>
    </row>
    <row r="18">
      <c r="A18" s="5" t="inlineStr">
        <is>
          <t>PLN</t>
        </is>
      </c>
      <c r="B18" s="5" t="inlineStr">
        <is>
          <t>BRGX</t>
        </is>
      </c>
      <c r="C18" s="6" t="n">
        <v>678580431.024</v>
      </c>
    </row>
    <row r="19">
      <c r="A19" s="5" t="inlineStr">
        <is>
          <t>AUD</t>
        </is>
      </c>
      <c r="B19" s="5" t="inlineStr">
        <is>
          <t>BRYG</t>
        </is>
      </c>
      <c r="C19" s="6" t="n">
        <v>638413349.779</v>
      </c>
    </row>
    <row r="20">
      <c r="A20" s="5" t="inlineStr">
        <is>
          <t>AUD</t>
        </is>
      </c>
      <c r="B20" s="5" t="inlineStr">
        <is>
          <t>BRMD</t>
        </is>
      </c>
      <c r="C20" s="6" t="n">
        <v>548436564.2819999</v>
      </c>
    </row>
    <row r="21">
      <c r="A21" s="5" t="inlineStr">
        <is>
          <t>GBP</t>
        </is>
      </c>
      <c r="B21" s="5" t="inlineStr">
        <is>
          <t>BRBX</t>
        </is>
      </c>
      <c r="C21" s="6" t="n">
        <v>522447232.2370001</v>
      </c>
    </row>
    <row r="22">
      <c r="A22" s="5" t="inlineStr">
        <is>
          <t>GBP</t>
        </is>
      </c>
      <c r="B22" s="5" t="inlineStr">
        <is>
          <t>BRNK</t>
        </is>
      </c>
      <c r="C22" s="6" t="n">
        <v>456637020.284</v>
      </c>
    </row>
    <row r="23">
      <c r="A23" s="5" t="inlineStr">
        <is>
          <t>GBP</t>
        </is>
      </c>
      <c r="B23" s="5" t="inlineStr">
        <is>
          <t>BRYG</t>
        </is>
      </c>
      <c r="C23" s="6" t="n">
        <v>393128583.7079999</v>
      </c>
    </row>
    <row r="24">
      <c r="A24" s="5" t="inlineStr">
        <is>
          <t>AUD</t>
        </is>
      </c>
      <c r="B24" s="5" t="inlineStr">
        <is>
          <t>BRGL</t>
        </is>
      </c>
      <c r="C24" s="6" t="n">
        <v>337148648.974</v>
      </c>
    </row>
    <row r="25">
      <c r="A25" s="5" t="inlineStr">
        <is>
          <t>MXN</t>
        </is>
      </c>
      <c r="B25" s="5" t="inlineStr">
        <is>
          <t>BRMD</t>
        </is>
      </c>
      <c r="C25" s="6" t="n">
        <v>314259848.272</v>
      </c>
    </row>
    <row r="26">
      <c r="A26" s="5" t="inlineStr">
        <is>
          <t>GBP</t>
        </is>
      </c>
      <c r="B26" s="5" t="inlineStr">
        <is>
          <t>BRAA</t>
        </is>
      </c>
      <c r="C26" s="6" t="n">
        <v>310121979.099</v>
      </c>
    </row>
    <row r="27">
      <c r="A27" s="5" t="inlineStr">
        <is>
          <t>EUR</t>
        </is>
      </c>
      <c r="B27" s="5" t="inlineStr">
        <is>
          <t>BRGX</t>
        </is>
      </c>
      <c r="C27" s="6" t="n">
        <v>238433875.0379999</v>
      </c>
    </row>
    <row r="28">
      <c r="A28" s="5" t="inlineStr">
        <is>
          <t>SAR</t>
        </is>
      </c>
      <c r="B28" s="5" t="inlineStr">
        <is>
          <t>BRGX</t>
        </is>
      </c>
      <c r="C28" s="6" t="n">
        <v>198212179.221</v>
      </c>
    </row>
    <row r="29">
      <c r="A29" s="5" t="inlineStr">
        <is>
          <t>INR</t>
        </is>
      </c>
      <c r="B29" s="5" t="inlineStr">
        <is>
          <t>BRNK</t>
        </is>
      </c>
      <c r="C29" s="6" t="n">
        <v>172301864.09</v>
      </c>
    </row>
    <row r="30">
      <c r="A30" s="5" t="inlineStr">
        <is>
          <t>Other (111)</t>
        </is>
      </c>
      <c r="B30" s="5" t="inlineStr"/>
      <c r="C30" s="6" t="n">
        <v>-114370900617.221</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96" customWidth="1" min="2" max="2"/>
  </cols>
  <sheetData>
    <row r="1">
      <c r="A1" s="7" t="inlineStr">
        <is>
          <t>What was asked</t>
        </is>
      </c>
    </row>
    <row r="2">
      <c r="A2" s="8" t="inlineStr">
        <is>
          <t>Question</t>
        </is>
      </c>
      <c r="B2" s="9" t="inlineStr">
        <is>
          <t>How much ledger value settles after 16:00 each day, and which currencies and desks does it sit in?</t>
        </is>
      </c>
    </row>
    <row r="3">
      <c r="A3" s="8" t="inlineStr">
        <is>
          <t>Interpreted as</t>
        </is>
      </c>
      <c r="B3" s="9" t="inlineStr">
        <is>
          <t>The user wants to know the total ledger value that settles after 16:00 each day, broken down by currency and desk.</t>
        </is>
      </c>
    </row>
    <row r="4">
      <c r="A4" s="8" t="inlineStr">
        <is>
          <t>Commentary</t>
        </is>
      </c>
      <c r="B4" s="9" t="inlineStr">
        <is>
          <t>The report provides a breakdown of the total ledger value settling after 16:00 each day, categorized by currency and desk. The most significant contributor is the EUR currency, particularly in the BRCC sub-branch, with a substantial amount of 77,665,853,366.72. Notably, the BRBX sub-branch also shows significant activity in EUR and USD, with amounts of 14,375,758,416.69 and 12,825,628,251.33, respectively. An operations reader should closely examine the negative value in the "Other (111)" category, which stands at -114,370,900,617.22, as it may indicate an imbalance or offset that requires further investigation.</t>
        </is>
      </c>
    </row>
    <row r="6">
      <c r="A6" s="7" t="inlineStr">
        <is>
          <t>Limitations</t>
        </is>
      </c>
    </row>
    <row r="7">
      <c r="B7" s="9" t="inlineStr">
        <is>
          <t>- 135 groups were returned. The 24 largest are shown individually and the remaining 111 are combined into "Other" - a breakdown this long is not readable as a management view. Ask for a specific group, or a top-N, to go further.</t>
        </is>
      </c>
    </row>
    <row r="8">
      <c r="B8" s="9" t="inlineStr">
        <is>
          <t>- The view is scoped to the value date range from 2026-07-20 to 2026-08-18.</t>
        </is>
      </c>
    </row>
    <row r="9">
      <c r="B9" s="9" t="inlineStr">
        <is>
          <t>- The amounts are translated using static synthetic FX rates to GBP.</t>
        </is>
      </c>
    </row>
    <row r="10">
      <c r="B10" s="9" t="inlineStr">
        <is>
          <t>- The data is synthetic and non-production.</t>
        </is>
      </c>
    </row>
    <row r="12">
      <c r="A12" s="7" t="inlineStr">
        <is>
          <t>Dependencies</t>
        </is>
      </c>
    </row>
    <row r="13">
      <c r="B13" s="9" t="inlineStr">
        <is>
          <t>- - none recorded -</t>
        </is>
      </c>
    </row>
    <row r="15">
      <c r="A15" s="7" t="inlineStr">
        <is>
          <t>How the figures were produced</t>
        </is>
      </c>
    </row>
    <row r="16">
      <c r="A16" s="8" t="inlineStr">
        <is>
          <t>Source</t>
        </is>
      </c>
      <c r="B16" s="9" t="inlineStr">
        <is>
          <t>Business Ledger Txn View (synthetic_liquidity_month.xlsx)</t>
        </is>
      </c>
    </row>
    <row r="17">
      <c r="A17" s="8" t="inlineStr">
        <is>
          <t>Mode</t>
        </is>
      </c>
      <c r="B17" s="9" t="inlineStr">
        <is>
          <t>aggregate</t>
        </is>
      </c>
    </row>
    <row r="18">
      <c r="A18" s="8" t="inlineStr">
        <is>
          <t>Measures</t>
        </is>
      </c>
      <c r="B18" s="9" t="inlineStr">
        <is>
          <t>sum of Amount (Display)</t>
        </is>
      </c>
    </row>
    <row r="19">
      <c r="A19" s="8" t="inlineStr">
        <is>
          <t>Grouped by</t>
        </is>
      </c>
      <c r="B19" s="9" t="inlineStr">
        <is>
          <t>CCY (Local), Sub Branch</t>
        </is>
      </c>
    </row>
    <row r="20">
      <c r="A20" s="8" t="inlineStr">
        <is>
          <t>Filters</t>
        </is>
      </c>
      <c r="B20" s="9" t="inlineStr">
        <is>
          <t>Hour of day gte 16:00</t>
        </is>
      </c>
    </row>
    <row r="21">
      <c r="A21" s="8" t="inlineStr">
        <is>
          <t>Calculated columns</t>
        </is>
      </c>
      <c r="B21" s="9" t="inlineStr">
        <is>
          <t>Hour of day</t>
        </is>
      </c>
    </row>
    <row r="22">
      <c r="A22" s="8" t="inlineStr">
        <is>
          <t>Rows</t>
        </is>
      </c>
      <c r="B22" s="9" t="inlineStr">
        <is>
          <t>1589 of 9780 after filters; 25 returned</t>
        </is>
      </c>
    </row>
    <row r="23">
      <c r="A23" s="8" t="inlineStr">
        <is>
          <t>Executed</t>
        </is>
      </c>
      <c r="B23" s="9" t="inlineStr">
        <is>
          <t>2026-08-20T11:29:42</t>
        </is>
      </c>
    </row>
    <row r="24">
      <c r="A24" s="8" t="inlineStr">
        <is>
          <t>Exported</t>
        </is>
      </c>
      <c r="B24" s="9" t="inlineStr">
        <is>
          <t>20 August 2026 at 11:29:45</t>
        </is>
      </c>
    </row>
    <row r="26">
      <c r="A26" s="7" t="inlineStr">
        <is>
          <t>Important</t>
        </is>
      </c>
    </row>
    <row r="27">
      <c r="B27" s="10" t="inlineStr">
        <is>
          <t>Every figure here was computed directly from the source data by a deterministic query. No figure was generated, estimated or adjusted by a language model; the AI selected the query and wrote the commentary only. This is synthetic, non-production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2026-08-20T09:29:45Z</dcterms:created>
  <dcterms:modified xsi:type="dcterms:W3CDTF">2026-08-20T09:29:45Z</dcterms:modified>
</cp:coreProperties>
</file>