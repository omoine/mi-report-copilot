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Value Date vs Difference (Local) by Account, Account Name, Currency - Match is unmatched</a:t>
            </a:r>
          </a:p>
        </rich>
      </tx>
    </title>
    <plotArea>
      <barChart>
        <barDir val="col"/>
        <grouping val="clustered"/>
        <ser>
          <idx val="0"/>
          <order val="0"/>
          <tx>
            <strRef>
              <f>'Data'!D5</f>
            </strRef>
          </tx>
          <spPr>
            <a:ln>
              <a:prstDash val="solid"/>
            </a:ln>
          </spPr>
          <cat>
            <numRef>
              <f>'Data'!$A$6:$A$29</f>
            </numRef>
          </cat>
          <val>
            <numRef>
              <f>'Data'!$D$6:$D$29</f>
            </numRef>
          </val>
        </ser>
        <ser>
          <idx val="1"/>
          <order val="1"/>
          <tx>
            <strRef>
              <f>'Data'!E5</f>
            </strRef>
          </tx>
          <spPr>
            <a:ln>
              <a:prstDash val="solid"/>
            </a:ln>
          </spPr>
          <cat>
            <numRef>
              <f>'Data'!$A$6:$A$29</f>
            </numRef>
          </cat>
          <val>
            <numRef>
              <f>'Data'!$E$6:$E$29</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9"/>
  <sheetViews>
    <sheetView workbookViewId="0">
      <pane ySplit="5" topLeftCell="A6" activePane="bottomLeft" state="frozen"/>
      <selection pane="bottomLeft" activeCell="A1" sqref="A1"/>
    </sheetView>
  </sheetViews>
  <sheetFormatPr baseColWidth="8" defaultRowHeight="15"/>
  <cols>
    <col width="15" customWidth="1" min="1" max="1"/>
    <col width="22" customWidth="1" min="2" max="2"/>
    <col width="12" customWidth="1" min="3" max="3"/>
    <col width="13" customWidth="1" min="4" max="4"/>
    <col width="21" customWidth="1" min="5" max="5"/>
  </cols>
  <sheetData>
    <row r="1">
      <c r="A1" s="1" t="inlineStr">
        <is>
          <t>Value Date vs Difference (Local) by Account, Account Name, Currency - Match is unmatched</t>
        </is>
      </c>
    </row>
    <row r="2">
      <c r="A2" s="2" t="inlineStr">
        <is>
          <t>Requested: "Which client accounts had reconciliation breaks? For each one show how many days it broke and the total difference, worst first, so I can see the repeat offenders rather than every individual break."</t>
        </is>
      </c>
    </row>
    <row r="3">
      <c r="A3" s="3" t="inlineStr">
        <is>
          <t>Synthetic / non-production data. Figures computed from source, not generated.</t>
        </is>
      </c>
    </row>
    <row r="5">
      <c r="A5" s="4" t="inlineStr">
        <is>
          <t>Account</t>
        </is>
      </c>
      <c r="B5" s="4" t="inlineStr">
        <is>
          <t>Account Name</t>
        </is>
      </c>
      <c r="C5" s="4" t="inlineStr">
        <is>
          <t>Currency</t>
        </is>
      </c>
      <c r="D5" s="4" t="inlineStr">
        <is>
          <t>Value Date</t>
        </is>
      </c>
      <c r="E5" s="4" t="inlineStr">
        <is>
          <t>Difference (Local)</t>
        </is>
      </c>
    </row>
    <row r="6">
      <c r="A6" s="5" t="inlineStr">
        <is>
          <t>635895235692</t>
        </is>
      </c>
      <c r="B6" s="5" t="inlineStr">
        <is>
          <t>Liquidity HUF 05</t>
        </is>
      </c>
      <c r="C6" s="5" t="inlineStr">
        <is>
          <t>HUF</t>
        </is>
      </c>
      <c r="D6" s="6" t="n">
        <v>2</v>
      </c>
      <c r="E6" s="6" t="n">
        <v>23834846.183</v>
      </c>
    </row>
    <row r="7">
      <c r="A7" s="5" t="inlineStr">
        <is>
          <t>506429042208</t>
        </is>
      </c>
      <c r="B7" s="5" t="inlineStr">
        <is>
          <t>Fees KRW 67</t>
        </is>
      </c>
      <c r="C7" s="5" t="inlineStr">
        <is>
          <t>KRW</t>
        </is>
      </c>
      <c r="D7" s="6" t="n">
        <v>1</v>
      </c>
      <c r="E7" s="6" t="n">
        <v>9804129.702</v>
      </c>
    </row>
    <row r="8">
      <c r="A8" s="5" t="inlineStr">
        <is>
          <t>136727044598</t>
        </is>
      </c>
      <c r="B8" s="5" t="inlineStr">
        <is>
          <t>Liquidity NZD 65</t>
        </is>
      </c>
      <c r="C8" s="5" t="inlineStr">
        <is>
          <t>NZD</t>
        </is>
      </c>
      <c r="D8" s="6" t="n">
        <v>2</v>
      </c>
      <c r="E8" s="6" t="n">
        <v>6294663.838</v>
      </c>
    </row>
    <row r="9">
      <c r="A9" s="5" t="inlineStr">
        <is>
          <t>554175105181</t>
        </is>
      </c>
      <c r="B9" s="5" t="inlineStr">
        <is>
          <t>Client Money EUR 21</t>
        </is>
      </c>
      <c r="C9" s="5" t="inlineStr">
        <is>
          <t>EUR</t>
        </is>
      </c>
      <c r="D9" s="6" t="n">
        <v>2</v>
      </c>
      <c r="E9" s="6" t="n">
        <v>5742530.824</v>
      </c>
    </row>
    <row r="10">
      <c r="A10" s="5" t="inlineStr">
        <is>
          <t>557420453767</t>
        </is>
      </c>
      <c r="B10" s="5" t="inlineStr">
        <is>
          <t>Nostro TRY 10</t>
        </is>
      </c>
      <c r="C10" s="5" t="inlineStr">
        <is>
          <t>TRY</t>
        </is>
      </c>
      <c r="D10" s="6" t="n">
        <v>1</v>
      </c>
      <c r="E10" s="6" t="n">
        <v>5732838.833</v>
      </c>
    </row>
    <row r="11">
      <c r="A11" s="5" t="inlineStr">
        <is>
          <t>647564070032</t>
        </is>
      </c>
      <c r="B11" s="5" t="inlineStr">
        <is>
          <t>Operating USD 26</t>
        </is>
      </c>
      <c r="C11" s="5" t="inlineStr">
        <is>
          <t>USD</t>
        </is>
      </c>
      <c r="D11" s="6" t="n">
        <v>1</v>
      </c>
      <c r="E11" s="6" t="n">
        <v>4506177.971</v>
      </c>
    </row>
    <row r="12">
      <c r="A12" s="5" t="inlineStr">
        <is>
          <t>139885175341</t>
        </is>
      </c>
      <c r="B12" s="5" t="inlineStr">
        <is>
          <t>Client Money NOK 18</t>
        </is>
      </c>
      <c r="C12" s="5" t="inlineStr">
        <is>
          <t>NOK</t>
        </is>
      </c>
      <c r="D12" s="6" t="n">
        <v>1</v>
      </c>
      <c r="E12" s="6" t="n">
        <v>4199982.317</v>
      </c>
    </row>
    <row r="13">
      <c r="A13" s="5" t="inlineStr">
        <is>
          <t>367590845932</t>
        </is>
      </c>
      <c r="B13" s="5" t="inlineStr">
        <is>
          <t>Reserve ZAR 84</t>
        </is>
      </c>
      <c r="C13" s="5" t="inlineStr">
        <is>
          <t>ZAR</t>
        </is>
      </c>
      <c r="D13" s="6" t="n">
        <v>2</v>
      </c>
      <c r="E13" s="6" t="n">
        <v>3855693.408</v>
      </c>
    </row>
    <row r="14">
      <c r="A14" s="5" t="inlineStr">
        <is>
          <t>392285777666</t>
        </is>
      </c>
      <c r="B14" s="5" t="inlineStr">
        <is>
          <t>Client Money EUR 06</t>
        </is>
      </c>
      <c r="C14" s="5" t="inlineStr">
        <is>
          <t>EUR</t>
        </is>
      </c>
      <c r="D14" s="6" t="n">
        <v>1</v>
      </c>
      <c r="E14" s="6" t="n">
        <v>3769330.304</v>
      </c>
    </row>
    <row r="15">
      <c r="A15" s="5" t="inlineStr">
        <is>
          <t>992781903044</t>
        </is>
      </c>
      <c r="B15" s="5" t="inlineStr">
        <is>
          <t>Fees SAR 16</t>
        </is>
      </c>
      <c r="C15" s="5" t="inlineStr">
        <is>
          <t>SAR</t>
        </is>
      </c>
      <c r="D15" s="6" t="n">
        <v>1</v>
      </c>
      <c r="E15" s="6" t="n">
        <v>3734657.884</v>
      </c>
    </row>
    <row r="16">
      <c r="A16" s="5" t="inlineStr">
        <is>
          <t>840264396104</t>
        </is>
      </c>
      <c r="B16" s="5" t="inlineStr">
        <is>
          <t>Operating USD 07</t>
        </is>
      </c>
      <c r="C16" s="5" t="inlineStr">
        <is>
          <t>USD</t>
        </is>
      </c>
      <c r="D16" s="6" t="n">
        <v>3</v>
      </c>
      <c r="E16" s="6" t="n">
        <v>3612015.255</v>
      </c>
    </row>
    <row r="17">
      <c r="A17" s="5" t="inlineStr">
        <is>
          <t>869030207549</t>
        </is>
      </c>
      <c r="B17" s="5" t="inlineStr">
        <is>
          <t>Operating HKD 52</t>
        </is>
      </c>
      <c r="C17" s="5" t="inlineStr">
        <is>
          <t>HKD</t>
        </is>
      </c>
      <c r="D17" s="6" t="n">
        <v>2</v>
      </c>
      <c r="E17" s="6" t="n">
        <v>3525019.318</v>
      </c>
    </row>
    <row r="18">
      <c r="A18" s="5" t="inlineStr">
        <is>
          <t>174292189143</t>
        </is>
      </c>
      <c r="B18" s="5" t="inlineStr">
        <is>
          <t>Nostro EUR 02</t>
        </is>
      </c>
      <c r="C18" s="5" t="inlineStr">
        <is>
          <t>EUR</t>
        </is>
      </c>
      <c r="D18" s="6" t="n">
        <v>1</v>
      </c>
      <c r="E18" s="6" t="n">
        <v>3472890.389</v>
      </c>
    </row>
    <row r="19">
      <c r="A19" s="5" t="inlineStr">
        <is>
          <t>781591349216</t>
        </is>
      </c>
      <c r="B19" s="5" t="inlineStr">
        <is>
          <t>Operating USD 52</t>
        </is>
      </c>
      <c r="C19" s="5" t="inlineStr">
        <is>
          <t>USD</t>
        </is>
      </c>
      <c r="D19" s="6" t="n">
        <v>3</v>
      </c>
      <c r="E19" s="6" t="n">
        <v>3406485.795</v>
      </c>
    </row>
    <row r="20">
      <c r="A20" s="5" t="inlineStr">
        <is>
          <t>234718343740</t>
        </is>
      </c>
      <c r="B20" s="5" t="inlineStr">
        <is>
          <t>Reserve AUD 59</t>
        </is>
      </c>
      <c r="C20" s="5" t="inlineStr">
        <is>
          <t>AUD</t>
        </is>
      </c>
      <c r="D20" s="6" t="n">
        <v>3</v>
      </c>
      <c r="E20" s="6" t="n">
        <v>3354291.317</v>
      </c>
    </row>
    <row r="21">
      <c r="A21" s="5" t="inlineStr">
        <is>
          <t>493972530540</t>
        </is>
      </c>
      <c r="B21" s="5" t="inlineStr">
        <is>
          <t>Fees USD 88</t>
        </is>
      </c>
      <c r="C21" s="5" t="inlineStr">
        <is>
          <t>USD</t>
        </is>
      </c>
      <c r="D21" s="6" t="n">
        <v>2</v>
      </c>
      <c r="E21" s="6" t="n">
        <v>2998233.73</v>
      </c>
    </row>
    <row r="22">
      <c r="A22" s="5" t="inlineStr">
        <is>
          <t>388302175639</t>
        </is>
      </c>
      <c r="B22" s="5" t="inlineStr">
        <is>
          <t>Settlement PLN 25</t>
        </is>
      </c>
      <c r="C22" s="5" t="inlineStr">
        <is>
          <t>PLN</t>
        </is>
      </c>
      <c r="D22" s="6" t="n">
        <v>1</v>
      </c>
      <c r="E22" s="6" t="n">
        <v>2955738.024</v>
      </c>
    </row>
    <row r="23">
      <c r="A23" s="5" t="inlineStr">
        <is>
          <t>366583448027</t>
        </is>
      </c>
      <c r="B23" s="5" t="inlineStr">
        <is>
          <t>Liquidity HKD 23</t>
        </is>
      </c>
      <c r="C23" s="5" t="inlineStr">
        <is>
          <t>HKD</t>
        </is>
      </c>
      <c r="D23" s="6" t="n">
        <v>2</v>
      </c>
      <c r="E23" s="6" t="n">
        <v>2757820.01</v>
      </c>
    </row>
    <row r="24">
      <c r="A24" s="5" t="inlineStr">
        <is>
          <t>759684352419</t>
        </is>
      </c>
      <c r="B24" s="5" t="inlineStr">
        <is>
          <t>Settlement USD 38</t>
        </is>
      </c>
      <c r="C24" s="5" t="inlineStr">
        <is>
          <t>USD</t>
        </is>
      </c>
      <c r="D24" s="6" t="n">
        <v>2</v>
      </c>
      <c r="E24" s="6" t="n">
        <v>2752059.853</v>
      </c>
    </row>
    <row r="25">
      <c r="A25" s="5" t="inlineStr">
        <is>
          <t>234047922297</t>
        </is>
      </c>
      <c r="B25" s="5" t="inlineStr">
        <is>
          <t>Liquidity NZD 20</t>
        </is>
      </c>
      <c r="C25" s="5" t="inlineStr">
        <is>
          <t>NZD</t>
        </is>
      </c>
      <c r="D25" s="6" t="n">
        <v>1</v>
      </c>
      <c r="E25" s="6" t="n">
        <v>2534984.874</v>
      </c>
    </row>
    <row r="26">
      <c r="A26" s="5" t="inlineStr">
        <is>
          <t>968057590558</t>
        </is>
      </c>
      <c r="B26" s="5" t="inlineStr">
        <is>
          <t>Collateral EUR 78</t>
        </is>
      </c>
      <c r="C26" s="5" t="inlineStr">
        <is>
          <t>EUR</t>
        </is>
      </c>
      <c r="D26" s="6" t="n">
        <v>1</v>
      </c>
      <c r="E26" s="6" t="n">
        <v>2421506.398</v>
      </c>
    </row>
    <row r="27">
      <c r="A27" s="5" t="inlineStr">
        <is>
          <t>820705568190</t>
        </is>
      </c>
      <c r="B27" s="5" t="inlineStr">
        <is>
          <t>Reserve RON 08</t>
        </is>
      </c>
      <c r="C27" s="5" t="inlineStr">
        <is>
          <t>RON</t>
        </is>
      </c>
      <c r="D27" s="6" t="n">
        <v>1</v>
      </c>
      <c r="E27" s="6" t="n">
        <v>2420690.439</v>
      </c>
    </row>
    <row r="28">
      <c r="A28" s="5" t="inlineStr">
        <is>
          <t>549254148563</t>
        </is>
      </c>
      <c r="B28" s="5" t="inlineStr">
        <is>
          <t>Client Money USD 41</t>
        </is>
      </c>
      <c r="C28" s="5" t="inlineStr">
        <is>
          <t>USD</t>
        </is>
      </c>
      <c r="D28" s="6" t="n">
        <v>2</v>
      </c>
      <c r="E28" s="6" t="n">
        <v>2320298.916</v>
      </c>
    </row>
    <row r="29">
      <c r="A29" s="5" t="inlineStr">
        <is>
          <t>879176587681</t>
        </is>
      </c>
      <c r="B29" s="5" t="inlineStr">
        <is>
          <t>Collateral EUR 23</t>
        </is>
      </c>
      <c r="C29" s="5" t="inlineStr">
        <is>
          <t>EUR</t>
        </is>
      </c>
      <c r="D29" s="6" t="n">
        <v>3</v>
      </c>
      <c r="E29" s="6" t="n">
        <v>2277410.134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Which client accounts had reconciliation breaks? For each one show how many days it broke and the total difference, worst first, so I can see the repeat offenders rather than every individual break.</t>
        </is>
      </c>
    </row>
    <row r="3">
      <c r="A3" s="8" t="inlineStr">
        <is>
          <t>Interpreted as</t>
        </is>
      </c>
      <c r="B3" s="9" t="inlineStr">
        <is>
          <t>Identify client accounts with reconciliation breaks, showing the number of days each account had breaks and the total difference in value by currency, sorted by the largest total difference.</t>
        </is>
      </c>
    </row>
    <row r="4">
      <c r="A4" s="8" t="inlineStr">
        <is>
          <t>Commentary</t>
        </is>
      </c>
      <c r="B4" s="9" t="inlineStr">
        <is>
          <t>The report identifies client accounts with reconciliation breaks, highlighting the number of days each account experienced breaks and the total difference in value, sorted by the largest total difference. The account "Liquidity HUF 05" had the most significant total difference, with a discrepancy of 23,834,846.18 HUF over 2 days. Other notable accounts include "Fees KRW 67" with a difference of 9,804,129.70 KRW over 1 day and "Liquidity NZD 65" with a difference of 6,294,663.84 NZD over 2 days. The operations team should particularly focus on accounts with large discrepancies, such as "Liquidity HUF 05," to understand the underlying issues.</t>
        </is>
      </c>
    </row>
    <row r="6">
      <c r="A6" s="7" t="inlineStr">
        <is>
          <t>Limitations</t>
        </is>
      </c>
    </row>
    <row r="7">
      <c r="B7" s="9" t="inlineStr">
        <is>
          <t>- Showing the 24 largest of 375 groups. The rest are omitted rather than combined, because averaging an average would not give a meaningful figure.</t>
        </is>
      </c>
    </row>
    <row r="8">
      <c r="B8" s="9" t="inlineStr">
        <is>
          <t>- The view is scoped to the value date range from 2026-07-20 to 2026-08-18.</t>
        </is>
      </c>
    </row>
    <row r="9">
      <c r="B9" s="9" t="inlineStr">
        <is>
          <t>- The total difference is in local currency and grouped by currency to ensure comparability.</t>
        </is>
      </c>
    </row>
    <row r="11">
      <c r="A11" s="7" t="inlineStr">
        <is>
          <t>Dependencies</t>
        </is>
      </c>
    </row>
    <row r="12">
      <c r="B12" s="9" t="inlineStr">
        <is>
          <t>- The reconciliation status depends on the match tolerance setting of 0.01.</t>
        </is>
      </c>
    </row>
    <row r="14">
      <c r="A14" s="7" t="inlineStr">
        <is>
          <t>How the figures were produced</t>
        </is>
      </c>
    </row>
    <row r="15">
      <c r="A15" s="8" t="inlineStr">
        <is>
          <t>Source</t>
        </is>
      </c>
      <c r="B15" s="9" t="inlineStr">
        <is>
          <t>Client View (synthetic_liquidity_month.xlsx)</t>
        </is>
      </c>
    </row>
    <row r="16">
      <c r="A16" s="8" t="inlineStr">
        <is>
          <t>Mode</t>
        </is>
      </c>
      <c r="B16" s="9" t="inlineStr">
        <is>
          <t>aggregate</t>
        </is>
      </c>
    </row>
    <row r="17">
      <c r="A17" s="8" t="inlineStr">
        <is>
          <t>Measures</t>
        </is>
      </c>
      <c r="B17" s="9" t="inlineStr">
        <is>
          <t>nunique of Value Date, sum of Difference (Local)</t>
        </is>
      </c>
    </row>
    <row r="18">
      <c r="A18" s="8" t="inlineStr">
        <is>
          <t>Grouped by</t>
        </is>
      </c>
      <c r="B18" s="9" t="inlineStr">
        <is>
          <t>Account, Account Name, Currency</t>
        </is>
      </c>
    </row>
    <row r="19">
      <c r="A19" s="8" t="inlineStr">
        <is>
          <t>Filters</t>
        </is>
      </c>
      <c r="B19" s="9" t="inlineStr">
        <is>
          <t>Match eq unmatched</t>
        </is>
      </c>
    </row>
    <row r="20">
      <c r="A20" s="8" t="inlineStr">
        <is>
          <t>Rows</t>
        </is>
      </c>
      <c r="B20" s="9" t="inlineStr">
        <is>
          <t>481 of 19800 after filters; 24 returned</t>
        </is>
      </c>
    </row>
    <row r="21">
      <c r="A21" s="8" t="inlineStr">
        <is>
          <t>Executed</t>
        </is>
      </c>
      <c r="B21" s="9" t="inlineStr">
        <is>
          <t>2026-08-20T11:29:55</t>
        </is>
      </c>
    </row>
    <row r="22">
      <c r="A22" s="8" t="inlineStr">
        <is>
          <t>Exported</t>
        </is>
      </c>
      <c r="B22" s="9" t="inlineStr">
        <is>
          <t>20 August 2026 at 11:29:57</t>
        </is>
      </c>
    </row>
    <row r="24">
      <c r="A24" s="7" t="inlineStr">
        <is>
          <t>Important</t>
        </is>
      </c>
    </row>
    <row r="25">
      <c r="B25"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2026-08-20T09:29:57Z</dcterms:created>
  <dcterms:modified xsi:type="dcterms:W3CDTF">2026-08-20T09:29:57Z</dcterms:modified>
</cp:coreProperties>
</file>