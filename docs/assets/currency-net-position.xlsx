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About this view"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9">
    <font>
      <name val="Calibri"/>
      <family val="2"/>
      <color theme="1"/>
      <sz val="11"/>
      <scheme val="minor"/>
    </font>
    <font>
      <b val="1"/>
      <color rgb="000B0B0B"/>
      <sz val="13"/>
    </font>
    <font>
      <i val="1"/>
      <color rgb="0052514E"/>
      <sz val="9"/>
    </font>
    <font>
      <color rgb="00898781"/>
      <sz val="8"/>
    </font>
    <font>
      <b val="1"/>
      <color rgb="000B0B0B"/>
      <sz val="10"/>
    </font>
    <font>
      <b val="1"/>
      <color rgb="008A15E0"/>
      <sz val="11"/>
    </font>
    <font>
      <b val="1"/>
      <sz val="9"/>
    </font>
    <font>
      <sz val="9"/>
    </font>
    <font>
      <i val="1"/>
      <sz val="9"/>
    </font>
  </fonts>
  <fills count="3">
    <fill>
      <patternFill/>
    </fill>
    <fill>
      <patternFill patternType="gray125"/>
    </fill>
    <fill>
      <patternFill patternType="solid">
        <fgColor rgb="00F2EAFB"/>
      </patternFill>
    </fill>
  </fills>
  <borders count="3">
    <border>
      <left/>
      <right/>
      <top/>
      <bottom/>
      <diagonal/>
    </border>
    <border>
      <bottom style="medium">
        <color rgb="008A15E0"/>
      </bottom>
    </border>
    <border>
      <bottom style="thin">
        <color rgb="00E1E0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0" fillId="0" borderId="2" pivotButton="0" quotePrefix="0" xfId="0"/>
    <xf numFmtId="164" fontId="0" fillId="0" borderId="2"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2"/>
  <chart>
    <title>
      <tx>
        <rich>
          <a:bodyPr/>
          <a:p>
            <a:pPr>
              <a:defRPr/>
            </a:pPr>
            <a:r>
              <a:t>Sum of Net Position by Currency</a:t>
            </a:r>
          </a:p>
        </rich>
      </tx>
    </title>
    <plotArea>
      <barChart>
        <barDir val="col"/>
        <grouping val="clustered"/>
        <ser>
          <idx val="0"/>
          <order val="0"/>
          <tx>
            <strRef>
              <f>'Data'!B5</f>
            </strRef>
          </tx>
          <spPr>
            <a:ln>
              <a:prstDash val="solid"/>
            </a:ln>
          </spPr>
          <cat>
            <numRef>
              <f>'Data'!$A$6:$A$30</f>
            </numRef>
          </cat>
          <val>
            <numRef>
              <f>'Data'!$B$6:$B$30</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4</row>
      <rowOff>0</rowOff>
    </from>
    <ext cx="72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pane ySplit="5" topLeftCell="A6" activePane="bottomLeft" state="frozen"/>
      <selection pane="bottomLeft" activeCell="A1" sqref="A1"/>
    </sheetView>
  </sheetViews>
  <sheetFormatPr baseColWidth="8" defaultRowHeight="15"/>
  <cols>
    <col width="12" customWidth="1" min="1" max="1"/>
    <col width="21" customWidth="1" min="2" max="2"/>
  </cols>
  <sheetData>
    <row r="1">
      <c r="A1" s="1" t="inlineStr">
        <is>
          <t>Sum of Net Position by Currency</t>
        </is>
      </c>
    </row>
    <row r="2">
      <c r="A2" s="2" t="inlineStr">
        <is>
          <t>Requested: "Show the net position by currency across the month - credits less debits - so I can see which currencies we are structurally short of."</t>
        </is>
      </c>
    </row>
    <row r="3">
      <c r="A3" s="3" t="inlineStr">
        <is>
          <t>Synthetic / non-production data. Figures computed from source, not generated.</t>
        </is>
      </c>
    </row>
    <row r="5">
      <c r="A5" s="4" t="inlineStr">
        <is>
          <t>Currency</t>
        </is>
      </c>
      <c r="B5" s="4" t="inlineStr">
        <is>
          <t>Net Position</t>
        </is>
      </c>
    </row>
    <row r="6">
      <c r="A6" s="5" t="inlineStr">
        <is>
          <t>USD</t>
        </is>
      </c>
      <c r="B6" s="6" t="n">
        <v>58352868317.048</v>
      </c>
    </row>
    <row r="7">
      <c r="A7" s="5" t="inlineStr">
        <is>
          <t>EUR</t>
        </is>
      </c>
      <c r="B7" s="6" t="n">
        <v>37202618870.244</v>
      </c>
    </row>
    <row r="8">
      <c r="A8" s="5" t="inlineStr">
        <is>
          <t>CHF</t>
        </is>
      </c>
      <c r="B8" s="6" t="n">
        <v>8151918994.810999</v>
      </c>
    </row>
    <row r="9">
      <c r="A9" s="5" t="inlineStr">
        <is>
          <t>AUD</t>
        </is>
      </c>
      <c r="B9" s="6" t="n">
        <v>5555501221.773</v>
      </c>
    </row>
    <row r="10">
      <c r="A10" s="5" t="inlineStr">
        <is>
          <t>GBP</t>
        </is>
      </c>
      <c r="B10" s="6" t="n">
        <v>5461242061.712</v>
      </c>
    </row>
    <row r="11">
      <c r="A11" s="5" t="inlineStr">
        <is>
          <t>CAD</t>
        </is>
      </c>
      <c r="B11" s="6" t="n">
        <v>5180379237.208</v>
      </c>
    </row>
    <row r="12">
      <c r="A12" s="5" t="inlineStr">
        <is>
          <t>PLN</t>
        </is>
      </c>
      <c r="B12" s="6" t="n">
        <v>1739913185.525</v>
      </c>
    </row>
    <row r="13">
      <c r="A13" s="5" t="inlineStr">
        <is>
          <t>SGD</t>
        </is>
      </c>
      <c r="B13" s="6" t="n">
        <v>1494627231.916</v>
      </c>
    </row>
    <row r="14">
      <c r="A14" s="5" t="inlineStr">
        <is>
          <t>SAR</t>
        </is>
      </c>
      <c r="B14" s="6" t="n">
        <v>1045550665.697</v>
      </c>
    </row>
    <row r="15">
      <c r="A15" s="5" t="inlineStr">
        <is>
          <t>AED</t>
        </is>
      </c>
      <c r="B15" s="6" t="n">
        <v>929011268.3220001</v>
      </c>
    </row>
    <row r="16">
      <c r="A16" s="5" t="inlineStr">
        <is>
          <t>NOK</t>
        </is>
      </c>
      <c r="B16" s="6" t="n">
        <v>842126736.824</v>
      </c>
    </row>
    <row r="17">
      <c r="A17" s="5" t="inlineStr">
        <is>
          <t>CNY</t>
        </is>
      </c>
      <c r="B17" s="6" t="n">
        <v>821936328.2189999</v>
      </c>
    </row>
    <row r="18">
      <c r="A18" s="5" t="inlineStr">
        <is>
          <t>NZD</t>
        </is>
      </c>
      <c r="B18" s="6" t="n">
        <v>791352133.562</v>
      </c>
    </row>
    <row r="19">
      <c r="A19" s="5" t="inlineStr">
        <is>
          <t>HKD</t>
        </is>
      </c>
      <c r="B19" s="6" t="n">
        <v>703277132.915</v>
      </c>
    </row>
    <row r="20">
      <c r="A20" s="5" t="inlineStr">
        <is>
          <t>MXN</t>
        </is>
      </c>
      <c r="B20" s="6" t="n">
        <v>693788957.873</v>
      </c>
    </row>
    <row r="21">
      <c r="A21" s="5" t="inlineStr">
        <is>
          <t>ILS</t>
        </is>
      </c>
      <c r="B21" s="6" t="n">
        <v>573871487.275</v>
      </c>
    </row>
    <row r="22">
      <c r="A22" s="5" t="inlineStr">
        <is>
          <t>ZAR</t>
        </is>
      </c>
      <c r="B22" s="6" t="n">
        <v>444067305.271</v>
      </c>
    </row>
    <row r="23">
      <c r="A23" s="5" t="inlineStr">
        <is>
          <t>RON</t>
        </is>
      </c>
      <c r="B23" s="6" t="n">
        <v>423211268.5650001</v>
      </c>
    </row>
    <row r="24">
      <c r="A24" s="5" t="inlineStr">
        <is>
          <t>SEK</t>
        </is>
      </c>
      <c r="B24" s="6" t="n">
        <v>329489211.191</v>
      </c>
    </row>
    <row r="25">
      <c r="A25" s="5" t="inlineStr">
        <is>
          <t>TRY</t>
        </is>
      </c>
      <c r="B25" s="6" t="n">
        <v>222046864.956</v>
      </c>
    </row>
    <row r="26">
      <c r="A26" s="5" t="inlineStr">
        <is>
          <t>DKK</t>
        </is>
      </c>
      <c r="B26" s="6" t="n">
        <v>154281887.851</v>
      </c>
    </row>
    <row r="27">
      <c r="A27" s="5" t="inlineStr">
        <is>
          <t>THB</t>
        </is>
      </c>
      <c r="B27" s="6" t="n">
        <v>57796552.864</v>
      </c>
    </row>
    <row r="28">
      <c r="A28" s="5" t="inlineStr">
        <is>
          <t>HUF</t>
        </is>
      </c>
      <c r="B28" s="6" t="n">
        <v>49252265.383</v>
      </c>
    </row>
    <row r="29">
      <c r="A29" s="5" t="inlineStr">
        <is>
          <t>CZK</t>
        </is>
      </c>
      <c r="B29" s="6" t="n">
        <v>48641849.205</v>
      </c>
    </row>
    <row r="30">
      <c r="A30" s="5" t="inlineStr">
        <is>
          <t>Other (3)</t>
        </is>
      </c>
      <c r="B30" s="6" t="n">
        <v>44974070.535</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6" customWidth="1" min="2" max="2"/>
  </cols>
  <sheetData>
    <row r="1">
      <c r="A1" s="7" t="inlineStr">
        <is>
          <t>What was asked</t>
        </is>
      </c>
    </row>
    <row r="2">
      <c r="A2" s="8" t="inlineStr">
        <is>
          <t>Question</t>
        </is>
      </c>
      <c r="B2" s="9" t="inlineStr">
        <is>
          <t>Show the net position by currency across the month - credits less debits - so I can see which currencies we are structurally short of.</t>
        </is>
      </c>
    </row>
    <row r="3">
      <c r="A3" s="8" t="inlineStr">
        <is>
          <t>Interpreted as</t>
        </is>
      </c>
      <c r="B3" s="9" t="inlineStr">
        <is>
          <t>Provide the net position by currency for the month, calculated as credits less debits, to identify which currencies are structurally short.</t>
        </is>
      </c>
    </row>
    <row r="4">
      <c r="A4" s="8" t="inlineStr">
        <is>
          <t>Commentary</t>
        </is>
      </c>
      <c r="B4" s="9" t="inlineStr">
        <is>
          <t>The report displays the net position by currency for the month, highlighting which currencies the bank is structurally short of. The USD has the largest net position at 58,352,868,317.05, followed by the EUR at 37,202,618,870.24, indicating a significant surplus in these currencies. The smallest net positions are observed in the HUF and CZK, with values of 49,252,265.38 and 48,641,849.20, respectively. Operations should closely monitor these smaller net positions to ensure adequate liquidity coverage.</t>
        </is>
      </c>
    </row>
    <row r="6">
      <c r="A6" s="7" t="inlineStr">
        <is>
          <t>Limitations</t>
        </is>
      </c>
    </row>
    <row r="7">
      <c r="B7" s="9" t="inlineStr">
        <is>
          <t>- 27 groups were returned. The 24 largest are shown individually and the remaining 3 are combined into "Other" - a breakdown this long is not readable as a management view. Ask for a specific group, or a top-N, to go further.</t>
        </is>
      </c>
    </row>
    <row r="8">
      <c r="B8" s="9" t="inlineStr">
        <is>
          <t>- The view is scoped to the value date range from 2026-07-20 to 2026-08-18.</t>
        </is>
      </c>
    </row>
    <row r="9">
      <c r="B9" s="9" t="inlineStr">
        <is>
          <t>- The net position is calculated using static synthetic FX rates for display currency translation.</t>
        </is>
      </c>
    </row>
    <row r="10">
      <c r="B10" s="9" t="inlineStr">
        <is>
          <t>- This analysis assumes all transactions have been received and processed for the period.</t>
        </is>
      </c>
    </row>
    <row r="12">
      <c r="A12" s="7" t="inlineStr">
        <is>
          <t>Dependencies</t>
        </is>
      </c>
    </row>
    <row r="13">
      <c r="B13" s="9" t="inlineStr">
        <is>
          <t>- The calculation depends on the derived column 'Net Position' which is not directly sourced.</t>
        </is>
      </c>
    </row>
    <row r="15">
      <c r="A15" s="7" t="inlineStr">
        <is>
          <t>How the figures were produced</t>
        </is>
      </c>
    </row>
    <row r="16">
      <c r="A16" s="8" t="inlineStr">
        <is>
          <t>Source</t>
        </is>
      </c>
      <c r="B16" s="9" t="inlineStr">
        <is>
          <t>Client View (synthetic_liquidity_month.xlsx)</t>
        </is>
      </c>
    </row>
    <row r="17">
      <c r="A17" s="8" t="inlineStr">
        <is>
          <t>Mode</t>
        </is>
      </c>
      <c r="B17" s="9" t="inlineStr">
        <is>
          <t>aggregate</t>
        </is>
      </c>
    </row>
    <row r="18">
      <c r="A18" s="8" t="inlineStr">
        <is>
          <t>Measures</t>
        </is>
      </c>
      <c r="B18" s="9" t="inlineStr">
        <is>
          <t>sum of Net Position</t>
        </is>
      </c>
    </row>
    <row r="19">
      <c r="A19" s="8" t="inlineStr">
        <is>
          <t>Grouped by</t>
        </is>
      </c>
      <c r="B19" s="9" t="inlineStr">
        <is>
          <t>Currency</t>
        </is>
      </c>
    </row>
    <row r="20">
      <c r="A20" s="8" t="inlineStr">
        <is>
          <t>Filters</t>
        </is>
      </c>
      <c r="B20" s="9" t="inlineStr">
        <is>
          <t>none</t>
        </is>
      </c>
    </row>
    <row r="21">
      <c r="A21" s="8" t="inlineStr">
        <is>
          <t>Calculated columns</t>
        </is>
      </c>
      <c r="B21" s="9" t="inlineStr">
        <is>
          <t>Net Position</t>
        </is>
      </c>
    </row>
    <row r="22">
      <c r="A22" s="8" t="inlineStr">
        <is>
          <t>Rows</t>
        </is>
      </c>
      <c r="B22" s="9" t="inlineStr">
        <is>
          <t>19800 of 19800 after filters; 25 returned</t>
        </is>
      </c>
    </row>
    <row r="23">
      <c r="A23" s="8" t="inlineStr">
        <is>
          <t>Executed</t>
        </is>
      </c>
      <c r="B23" s="9" t="inlineStr">
        <is>
          <t>2026-08-20T11:29:34</t>
        </is>
      </c>
    </row>
    <row r="24">
      <c r="A24" s="8" t="inlineStr">
        <is>
          <t>Exported</t>
        </is>
      </c>
      <c r="B24" s="9" t="inlineStr">
        <is>
          <t>20 August 2026 at 11:29:36</t>
        </is>
      </c>
    </row>
    <row r="26">
      <c r="A26" s="7" t="inlineStr">
        <is>
          <t>Important</t>
        </is>
      </c>
    </row>
    <row r="27">
      <c r="B27" s="10" t="inlineStr">
        <is>
          <t>Every figure here was computed directly from the source data by a deterministic query. No figure was generated, estimated or adjusted by a language model; the AI selected the query and wrote the commentary only. This is synthetic, non-production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2026-08-20T09:29:36Z</dcterms:created>
  <dcterms:modified xsi:type="dcterms:W3CDTF">2026-08-20T09:29:36Z</dcterms:modified>
</cp:coreProperties>
</file>